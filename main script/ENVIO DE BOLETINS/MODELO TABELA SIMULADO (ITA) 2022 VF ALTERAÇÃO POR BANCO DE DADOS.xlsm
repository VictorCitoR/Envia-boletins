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itó\PycharmProjects\EnviaBoletins\ENVIO DE BOLETINS\"/>
    </mc:Choice>
  </mc:AlternateContent>
  <xr:revisionPtr revIDLastSave="0" documentId="13_ncr:1_{2ED8E1BC-BE34-43AA-A802-DF47B88026FB}" xr6:coauthVersionLast="47" xr6:coauthVersionMax="47" xr10:uidLastSave="{00000000-0000-0000-0000-000000000000}"/>
  <bookViews>
    <workbookView xWindow="3744" yWindow="3468" windowWidth="17280" windowHeight="9420" firstSheet="2" activeTab="6" xr2:uid="{00000000-000D-0000-FFFF-FFFF00000000}"/>
  </bookViews>
  <sheets>
    <sheet name="NOTAS" sheetId="7" r:id="rId1"/>
    <sheet name="PROVÃO ITA" sheetId="15" r:id="rId2"/>
    <sheet name="ITA - MAT" sheetId="10" r:id="rId3"/>
    <sheet name="ITA - QUI" sheetId="3" r:id="rId4"/>
    <sheet name="ITA - FIS" sheetId="9" r:id="rId5"/>
    <sheet name="ITA - RED" sheetId="13" r:id="rId6"/>
    <sheet name="RES. INDIVIDUAL" sheetId="8" r:id="rId7"/>
    <sheet name="ALUNOS" sheetId="16" r:id="rId8"/>
    <sheet name="CORTES" sheetId="14" r:id="rId9"/>
    <sheet name="BANCO DE DADOS" sheetId="19" r:id="rId10"/>
    <sheet name="RANKING" sheetId="17" r:id="rId11"/>
  </sheets>
  <functionGroups builtInGroupCount="19"/>
  <definedNames>
    <definedName name="_FilterDatabase" localSheetId="4" hidden="1">'ITA - FIS'!$B$22:$N$50</definedName>
    <definedName name="_FilterDatabase" localSheetId="2" hidden="1">'ITA - MAT'!$A$1:$M$29</definedName>
    <definedName name="_FilterDatabase" localSheetId="3" hidden="1">'ITA - QUI'!$A$1:$M$32</definedName>
    <definedName name="_FilterDatabase" localSheetId="5" hidden="1">'ITA - RED'!$B$1:$G$29</definedName>
    <definedName name="_FilterDatabase" localSheetId="0" hidden="1">NOTAS!$B$1:$G$29</definedName>
    <definedName name="_xlnm._FilterDatabase" localSheetId="7" hidden="1">ALUNOS!$A$1:$B$1</definedName>
    <definedName name="_xlnm._FilterDatabase" localSheetId="4" hidden="1">'ITA - FIS'!$A$25:$N$123</definedName>
    <definedName name="_xlnm._FilterDatabase" localSheetId="2" hidden="1">'ITA - MAT'!$A$25:$N$123</definedName>
    <definedName name="_xlnm._FilterDatabase" localSheetId="3" hidden="1">'ITA - QUI'!$A$25:$N$123</definedName>
    <definedName name="_xlnm._FilterDatabase" localSheetId="5" hidden="1">'ITA - RED'!$B$1:$I$1</definedName>
    <definedName name="_xlnm._FilterDatabase" localSheetId="0" hidden="1">NOTAS!$B$1:$H$29</definedName>
    <definedName name="_xlnm._FilterDatabase" localSheetId="1" hidden="1">'PROVÃO ITA'!$B$2:$P$2</definedName>
    <definedName name="ListaDeAlunos">ALUNOS!$A$2:$B$4</definedName>
    <definedName name="ListaDeProfFIS">'BANCO DE DADOS'!$C$3:$F$3</definedName>
    <definedName name="ListaDeProfMAT">'BANCO DE DADOS'!$C$10:$F$10</definedName>
    <definedName name="ListaDeProfQUI">'BANCO DE DADOS'!$C$17:$F$17</definedName>
    <definedName name="NotaIndividualPorAlunoFIS">'ITA - FIS'!$C$22:$N$120</definedName>
    <definedName name="NotaIndividualPorAlunoMAT">'ITA - MAT'!$C$22:$N$120</definedName>
    <definedName name="NotaIndividualPorAlunoPROVAO">'PROVÃO ITA'!$C$2:$P$100</definedName>
    <definedName name="NotaIndividualPorAlunoQUI">'ITA - QUI'!$C$25:$N$123</definedName>
    <definedName name="NotaIndividualPorAlunoRED">'ITA - RED'!$C$1:$I$99</definedName>
    <definedName name="QuestõesFISProf1">'BANCO DE DADOS'!$C$4:$C$8</definedName>
    <definedName name="QuestõesFISProf2">'BANCO DE DADOS'!$D$4:$D$8</definedName>
    <definedName name="QuestõesFISProf3">'BANCO DE DADOS'!$E$4:$E$8</definedName>
    <definedName name="QuestõesFISProf4">'BANCO DE DADOS'!$F$4:$F$8</definedName>
    <definedName name="QuestõesMATProf1">'BANCO DE DADOS'!$C$11:$C$15</definedName>
    <definedName name="QuestõesMATProf2">'BANCO DE DADOS'!$D$11:$D$15</definedName>
    <definedName name="QuestõesMATProf3">'BANCO DE DADOS'!$E$11:$E$15</definedName>
    <definedName name="QuestõesMATProf4">'BANCO DE DADOS'!$F$11:$F$15</definedName>
    <definedName name="QuestõesQUIProf1">'BANCO DE DADOS'!$C$18:$C$22</definedName>
    <definedName name="QuestõesQUIProf2">'BANCO DE DADOS'!$D$18:$D$22</definedName>
    <definedName name="QuestõesQUIProf3">'BANCO DE DADOS'!$E$18:$E$22</definedName>
    <definedName name="QuestõesQUIProf4">'BANCO DE DADOS'!$F$18:$F$22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A7" i="8" s="1"/>
  <c r="A1671" i="8" a="1"/>
  <c r="A1671" i="8" s="1"/>
  <c r="A1654" i="8" a="1"/>
  <c r="A1654" i="8" s="1"/>
  <c r="A1637" i="8" a="1"/>
  <c r="A1637" i="8" s="1"/>
  <c r="A1620" i="8" a="1"/>
  <c r="A1620" i="8" s="1"/>
  <c r="A1622" i="8" s="1"/>
  <c r="A1603" i="8" a="1"/>
  <c r="A1603" i="8" s="1"/>
  <c r="A1586" i="8" a="1"/>
  <c r="A1586" i="8" s="1"/>
  <c r="A1569" i="8" a="1"/>
  <c r="A1569" i="8" s="1"/>
  <c r="A1552" i="8" a="1"/>
  <c r="A1552" i="8" s="1"/>
  <c r="A1535" i="8" a="1"/>
  <c r="A1535" i="8" s="1"/>
  <c r="A1518" i="8" a="1"/>
  <c r="A1518" i="8" s="1"/>
  <c r="A1520" i="8" s="1"/>
  <c r="A1501" i="8" a="1"/>
  <c r="A1501" i="8" s="1"/>
  <c r="A1484" i="8" a="1"/>
  <c r="A1484" i="8" s="1"/>
  <c r="A1467" i="8" a="1"/>
  <c r="A1467" i="8" s="1"/>
  <c r="A1450" i="8" a="1"/>
  <c r="A1450" i="8" s="1"/>
  <c r="A1433" i="8" a="1"/>
  <c r="A1433" i="8" s="1"/>
  <c r="A1435" i="8" s="1"/>
  <c r="A1416" i="8" a="1"/>
  <c r="A1416" i="8" s="1"/>
  <c r="A1399" i="8" a="1"/>
  <c r="A1399" i="8" s="1"/>
  <c r="A1382" i="8" a="1"/>
  <c r="A1382" i="8" s="1"/>
  <c r="A1365" i="8" a="1"/>
  <c r="A1365" i="8" s="1"/>
  <c r="A1348" i="8" a="1"/>
  <c r="A1348" i="8" s="1"/>
  <c r="A1331" i="8" a="1"/>
  <c r="A1331" i="8" s="1"/>
  <c r="A1314" i="8" a="1"/>
  <c r="A1314" i="8" s="1"/>
  <c r="A1297" i="8" a="1"/>
  <c r="A1297" i="8" s="1"/>
  <c r="A1280" i="8" a="1"/>
  <c r="A1280" i="8" s="1"/>
  <c r="A1263" i="8" a="1"/>
  <c r="A1263" i="8" s="1"/>
  <c r="A1265" i="8" s="1"/>
  <c r="A1246" i="8" a="1"/>
  <c r="A1246" i="8" s="1"/>
  <c r="A1248" i="8" s="1"/>
  <c r="A1229" i="8" a="1"/>
  <c r="A1229" i="8" s="1"/>
  <c r="A1212" i="8" a="1"/>
  <c r="A1212" i="8" s="1"/>
  <c r="A1195" i="8" a="1"/>
  <c r="A1195" i="8" s="1"/>
  <c r="A1178" i="8" a="1"/>
  <c r="A1178" i="8" s="1"/>
  <c r="A1161" i="8" a="1"/>
  <c r="A1161" i="8" s="1"/>
  <c r="A1144" i="8" a="1"/>
  <c r="A1144" i="8" s="1"/>
  <c r="A1127" i="8" a="1"/>
  <c r="A1127" i="8" s="1"/>
  <c r="A1110" i="8" a="1"/>
  <c r="A1110" i="8" s="1"/>
  <c r="A1093" i="8" a="1"/>
  <c r="A1093" i="8" s="1"/>
  <c r="A1076" i="8" a="1"/>
  <c r="A1076" i="8" s="1"/>
  <c r="A1059" i="8" a="1"/>
  <c r="A1059" i="8" s="1"/>
  <c r="A1042" i="8" a="1"/>
  <c r="A1042" i="8" s="1"/>
  <c r="A1025" i="8" a="1"/>
  <c r="A1025" i="8" s="1"/>
  <c r="A1008" i="8" a="1"/>
  <c r="A1008" i="8" s="1"/>
  <c r="A991" i="8" a="1"/>
  <c r="A991" i="8" s="1"/>
  <c r="A974" i="8" a="1"/>
  <c r="A974" i="8" s="1"/>
  <c r="A957" i="8" a="1"/>
  <c r="A957" i="8" s="1"/>
  <c r="A940" i="8" a="1"/>
  <c r="A940" i="8" s="1"/>
  <c r="A923" i="8" a="1"/>
  <c r="A923" i="8" s="1"/>
  <c r="A906" i="8" a="1"/>
  <c r="A906" i="8" s="1"/>
  <c r="A889" i="8" a="1"/>
  <c r="A889" i="8" s="1"/>
  <c r="A872" i="8" a="1"/>
  <c r="A872" i="8" s="1"/>
  <c r="A855" i="8" a="1"/>
  <c r="A855" i="8" s="1"/>
  <c r="A838" i="8" a="1"/>
  <c r="A838" i="8" s="1"/>
  <c r="A821" i="8" a="1"/>
  <c r="A821" i="8" s="1"/>
  <c r="A804" i="8" a="1"/>
  <c r="A804" i="8" s="1"/>
  <c r="A787" i="8" a="1"/>
  <c r="A787" i="8" s="1"/>
  <c r="A770" i="8" a="1"/>
  <c r="A770" i="8" s="1"/>
  <c r="A753" i="8" a="1"/>
  <c r="A753" i="8" s="1"/>
  <c r="A736" i="8" a="1"/>
  <c r="A736" i="8" s="1"/>
  <c r="A719" i="8" a="1"/>
  <c r="A719" i="8" s="1"/>
  <c r="A721" i="8" s="1"/>
  <c r="A702" i="8" a="1"/>
  <c r="A702" i="8" s="1"/>
  <c r="A685" i="8" a="1"/>
  <c r="A685" i="8" s="1"/>
  <c r="A668" i="8" a="1"/>
  <c r="A668" i="8" s="1"/>
  <c r="A651" i="8" a="1"/>
  <c r="A651" i="8" s="1"/>
  <c r="A634" i="8" a="1"/>
  <c r="A634" i="8" s="1"/>
  <c r="A617" i="8" a="1"/>
  <c r="A617" i="8" s="1"/>
  <c r="A600" i="8" a="1"/>
  <c r="A600" i="8" s="1"/>
  <c r="A583" i="8" a="1"/>
  <c r="A583" i="8" s="1"/>
  <c r="A566" i="8" a="1"/>
  <c r="A566" i="8" s="1"/>
  <c r="A549" i="8" a="1"/>
  <c r="A549" i="8" s="1"/>
  <c r="A532" i="8" a="1"/>
  <c r="A532" i="8" s="1"/>
  <c r="A515" i="8" a="1"/>
  <c r="A515" i="8" s="1"/>
  <c r="A498" i="8" a="1"/>
  <c r="A498" i="8" s="1"/>
  <c r="A481" i="8" a="1"/>
  <c r="A481" i="8" s="1"/>
  <c r="A464" i="8" a="1"/>
  <c r="A464" i="8" s="1"/>
  <c r="A447" i="8" a="1"/>
  <c r="A447" i="8" s="1"/>
  <c r="A430" i="8" a="1"/>
  <c r="A430" i="8" s="1"/>
  <c r="A413" i="8" a="1"/>
  <c r="A413" i="8" s="1"/>
  <c r="A396" i="8" a="1"/>
  <c r="A396" i="8" s="1"/>
  <c r="A379" i="8" a="1"/>
  <c r="A379" i="8" s="1"/>
  <c r="A362" i="8" a="1"/>
  <c r="A362" i="8" s="1"/>
  <c r="A345" i="8" a="1"/>
  <c r="A345" i="8" s="1"/>
  <c r="A328" i="8" a="1"/>
  <c r="A328" i="8" s="1"/>
  <c r="A311" i="8" a="1"/>
  <c r="A311" i="8" s="1"/>
  <c r="A294" i="8" a="1"/>
  <c r="A294" i="8" s="1"/>
  <c r="A277" i="8" a="1"/>
  <c r="A277" i="8" s="1"/>
  <c r="A260" i="8" a="1"/>
  <c r="A260" i="8" s="1"/>
  <c r="A243" i="8" a="1"/>
  <c r="A243" i="8" s="1"/>
  <c r="A226" i="8" a="1"/>
  <c r="A226" i="8" s="1"/>
  <c r="A209" i="8" a="1"/>
  <c r="A209" i="8" s="1"/>
  <c r="A192" i="8" a="1"/>
  <c r="A192" i="8" s="1"/>
  <c r="A175" i="8" a="1"/>
  <c r="A175" i="8" s="1"/>
  <c r="A158" i="8" a="1"/>
  <c r="A158" i="8" s="1"/>
  <c r="A141" i="8" a="1"/>
  <c r="A141" i="8" s="1"/>
  <c r="A124" i="8" a="1"/>
  <c r="A124" i="8" s="1"/>
  <c r="A107" i="8" a="1"/>
  <c r="A107" i="8" s="1"/>
  <c r="A90" i="8" a="1"/>
  <c r="A90" i="8" s="1"/>
  <c r="A73" i="8" a="1"/>
  <c r="A73" i="8" s="1"/>
  <c r="A56" i="8" a="1"/>
  <c r="A56" i="8" s="1"/>
  <c r="A58" i="8" s="1"/>
  <c r="A39" i="8" a="1"/>
  <c r="A39" i="8" s="1"/>
  <c r="A22" i="8" a="1"/>
  <c r="A22" i="8" s="1"/>
  <c r="C123" i="9" a="1"/>
  <c r="C123" i="9" s="1"/>
  <c r="E123" i="9" s="1"/>
  <c r="B123" i="9" a="1"/>
  <c r="B123" i="9" s="1"/>
  <c r="C122" i="9" a="1"/>
  <c r="C122" i="9" s="1"/>
  <c r="N122" i="9" s="1"/>
  <c r="B122" i="9" a="1"/>
  <c r="B122" i="9" s="1"/>
  <c r="C121" i="9" a="1"/>
  <c r="C121" i="9" s="1"/>
  <c r="M121" i="9" s="1"/>
  <c r="B121" i="9" a="1"/>
  <c r="B121" i="9" s="1"/>
  <c r="C120" i="9" a="1"/>
  <c r="C120" i="9" s="1"/>
  <c r="L120" i="9" s="1"/>
  <c r="B120" i="9" a="1"/>
  <c r="B120" i="9" s="1"/>
  <c r="C119" i="9" a="1"/>
  <c r="C119" i="9" s="1"/>
  <c r="K119" i="9" s="1"/>
  <c r="B119" i="9" a="1"/>
  <c r="B119" i="9" s="1"/>
  <c r="C118" i="9" a="1"/>
  <c r="C118" i="9" s="1"/>
  <c r="F118" i="9" s="1"/>
  <c r="B118" i="9" a="1"/>
  <c r="B118" i="9" s="1"/>
  <c r="C117" i="9" a="1"/>
  <c r="C117" i="9" s="1"/>
  <c r="E117" i="9" s="1"/>
  <c r="B117" i="9" a="1"/>
  <c r="B117" i="9" s="1"/>
  <c r="C116" i="9" a="1"/>
  <c r="C116" i="9" s="1"/>
  <c r="B116" i="9" a="1"/>
  <c r="B116" i="9" s="1"/>
  <c r="C115" i="9" a="1"/>
  <c r="C115" i="9" s="1"/>
  <c r="B115" i="9" a="1"/>
  <c r="B115" i="9" s="1"/>
  <c r="C114" i="9" a="1"/>
  <c r="C114" i="9" s="1"/>
  <c r="B114" i="9" a="1"/>
  <c r="B114" i="9" s="1"/>
  <c r="C113" i="9" a="1"/>
  <c r="C113" i="9" s="1"/>
  <c r="B113" i="9" a="1"/>
  <c r="B113" i="9" s="1"/>
  <c r="C112" i="9" a="1"/>
  <c r="C112" i="9" s="1"/>
  <c r="H112" i="9" s="1"/>
  <c r="B112" i="9" a="1"/>
  <c r="B112" i="9" s="1"/>
  <c r="C111" i="9" a="1"/>
  <c r="C111" i="9" s="1"/>
  <c r="G111" i="9" s="1"/>
  <c r="B111" i="9" a="1"/>
  <c r="B111" i="9" s="1"/>
  <c r="C110" i="9" a="1"/>
  <c r="C110" i="9" s="1"/>
  <c r="F110" i="9" s="1"/>
  <c r="B110" i="9" a="1"/>
  <c r="B110" i="9" s="1"/>
  <c r="C109" i="9" a="1"/>
  <c r="C109" i="9" s="1"/>
  <c r="M109" i="9" s="1"/>
  <c r="B109" i="9" a="1"/>
  <c r="B109" i="9" s="1"/>
  <c r="C108" i="9" a="1"/>
  <c r="C108" i="9" s="1"/>
  <c r="N108" i="9" s="1"/>
  <c r="B108" i="9" a="1"/>
  <c r="B108" i="9" s="1"/>
  <c r="C107" i="9" a="1"/>
  <c r="C107" i="9" s="1"/>
  <c r="G107" i="9" s="1"/>
  <c r="B107" i="9" a="1"/>
  <c r="B107" i="9" s="1"/>
  <c r="C106" i="9" a="1"/>
  <c r="C106" i="9" s="1"/>
  <c r="N106" i="9" s="1"/>
  <c r="B106" i="9" a="1"/>
  <c r="B106" i="9" s="1"/>
  <c r="C105" i="9" a="1"/>
  <c r="C105" i="9" s="1"/>
  <c r="E105" i="9" s="1"/>
  <c r="B105" i="9" a="1"/>
  <c r="B105" i="9" s="1"/>
  <c r="C104" i="9" a="1"/>
  <c r="C104" i="9" s="1"/>
  <c r="D104" i="9" s="1"/>
  <c r="B104" i="9" a="1"/>
  <c r="B104" i="9" s="1"/>
  <c r="C103" i="9" a="1"/>
  <c r="C103" i="9" s="1"/>
  <c r="B103" i="9" a="1"/>
  <c r="B103" i="9" s="1"/>
  <c r="C102" i="9" a="1"/>
  <c r="C102" i="9" s="1"/>
  <c r="N102" i="9" s="1"/>
  <c r="B102" i="9" a="1"/>
  <c r="B102" i="9" s="1"/>
  <c r="C101" i="9" a="1"/>
  <c r="C101" i="9" s="1"/>
  <c r="G101" i="9" s="1"/>
  <c r="B101" i="9" a="1"/>
  <c r="B101" i="9" s="1"/>
  <c r="C100" i="9" a="1"/>
  <c r="C100" i="9" s="1"/>
  <c r="F100" i="9" s="1"/>
  <c r="B100" i="9" a="1"/>
  <c r="B100" i="9" s="1"/>
  <c r="C99" i="9" a="1"/>
  <c r="C99" i="9" s="1"/>
  <c r="G99" i="9" s="1"/>
  <c r="B99" i="9" a="1"/>
  <c r="B99" i="9" s="1"/>
  <c r="C98" i="9" a="1"/>
  <c r="C98" i="9" s="1"/>
  <c r="F98" i="9" s="1"/>
  <c r="B98" i="9" a="1"/>
  <c r="B98" i="9" s="1"/>
  <c r="C97" i="9" a="1"/>
  <c r="C97" i="9" s="1"/>
  <c r="B97" i="9" a="1"/>
  <c r="B97" i="9" s="1"/>
  <c r="C96" i="9" a="1"/>
  <c r="C96" i="9" s="1"/>
  <c r="B96" i="9" a="1"/>
  <c r="B96" i="9" s="1"/>
  <c r="C95" i="9" a="1"/>
  <c r="C95" i="9" s="1"/>
  <c r="K95" i="9" s="1"/>
  <c r="B95" i="9" a="1"/>
  <c r="B95" i="9" s="1"/>
  <c r="C94" i="9" a="1"/>
  <c r="C94" i="9" s="1"/>
  <c r="N94" i="9" s="1"/>
  <c r="B94" i="9" a="1"/>
  <c r="B94" i="9" s="1"/>
  <c r="C93" i="9" a="1"/>
  <c r="C93" i="9" s="1"/>
  <c r="G93" i="9" s="1"/>
  <c r="B93" i="9" a="1"/>
  <c r="B93" i="9" s="1"/>
  <c r="C92" i="9" a="1"/>
  <c r="C92" i="9" s="1"/>
  <c r="F92" i="9" s="1"/>
  <c r="B92" i="9" a="1"/>
  <c r="B92" i="9" s="1"/>
  <c r="C91" i="9" a="1"/>
  <c r="C91" i="9" s="1"/>
  <c r="E91" i="9" s="1"/>
  <c r="B91" i="9" a="1"/>
  <c r="B91" i="9" s="1"/>
  <c r="C90" i="9" a="1"/>
  <c r="C90" i="9" s="1"/>
  <c r="D90" i="9" s="1"/>
  <c r="B90" i="9" a="1"/>
  <c r="B90" i="9" s="1"/>
  <c r="C89" i="9" a="1"/>
  <c r="C89" i="9" s="1"/>
  <c r="E89" i="9" s="1"/>
  <c r="B89" i="9" a="1"/>
  <c r="B89" i="9" s="1"/>
  <c r="C88" i="9" a="1"/>
  <c r="C88" i="9" s="1"/>
  <c r="D88" i="9" s="1"/>
  <c r="B88" i="9" a="1"/>
  <c r="B88" i="9" s="1"/>
  <c r="C87" i="9" a="1"/>
  <c r="C87" i="9" s="1"/>
  <c r="K87" i="9" s="1"/>
  <c r="B87" i="9" a="1"/>
  <c r="B87" i="9" s="1"/>
  <c r="C86" i="9" a="1"/>
  <c r="C86" i="9" s="1"/>
  <c r="H86" i="9" s="1"/>
  <c r="B86" i="9" a="1"/>
  <c r="B86" i="9" s="1"/>
  <c r="C85" i="9" a="1"/>
  <c r="C85" i="9" s="1"/>
  <c r="G85" i="9" s="1"/>
  <c r="B85" i="9" a="1"/>
  <c r="B85" i="9" s="1"/>
  <c r="C84" i="9" a="1"/>
  <c r="C84" i="9" s="1"/>
  <c r="D84" i="9" s="1"/>
  <c r="B84" i="9" a="1"/>
  <c r="B84" i="9" s="1"/>
  <c r="C83" i="9" a="1"/>
  <c r="C83" i="9" s="1"/>
  <c r="B83" i="9" a="1"/>
  <c r="B83" i="9" s="1"/>
  <c r="C82" i="9" a="1"/>
  <c r="C82" i="9" s="1"/>
  <c r="B82" i="9" a="1"/>
  <c r="B82" i="9" s="1"/>
  <c r="C81" i="9" a="1"/>
  <c r="C81" i="9" s="1"/>
  <c r="M81" i="9" s="1"/>
  <c r="B81" i="9" a="1"/>
  <c r="B81" i="9" s="1"/>
  <c r="C80" i="9" a="1"/>
  <c r="C80" i="9" s="1"/>
  <c r="B80" i="9" a="1"/>
  <c r="B80" i="9" s="1"/>
  <c r="C79" i="9" a="1"/>
  <c r="C79" i="9" s="1"/>
  <c r="K79" i="9" s="1"/>
  <c r="B79" i="9" a="1"/>
  <c r="B79" i="9" s="1"/>
  <c r="C78" i="9" a="1"/>
  <c r="C78" i="9" s="1"/>
  <c r="N78" i="9" s="1"/>
  <c r="B78" i="9" a="1"/>
  <c r="B78" i="9" s="1"/>
  <c r="C77" i="9" a="1"/>
  <c r="C77" i="9" s="1"/>
  <c r="N77" i="9" s="1"/>
  <c r="B77" i="9" a="1"/>
  <c r="B77" i="9" s="1"/>
  <c r="C76" i="9" a="1"/>
  <c r="C76" i="9" s="1"/>
  <c r="D76" i="9" s="1"/>
  <c r="B76" i="9" a="1"/>
  <c r="B76" i="9" s="1"/>
  <c r="C75" i="9" a="1"/>
  <c r="C75" i="9" s="1"/>
  <c r="B75" i="9" a="1"/>
  <c r="B75" i="9" s="1"/>
  <c r="C74" i="9" a="1"/>
  <c r="C74" i="9" s="1"/>
  <c r="D74" i="9" s="1"/>
  <c r="B74" i="9" a="1"/>
  <c r="B74" i="9" s="1"/>
  <c r="C73" i="9" a="1"/>
  <c r="C73" i="9" s="1"/>
  <c r="D73" i="9" s="1"/>
  <c r="B73" i="9" a="1"/>
  <c r="B73" i="9" s="1"/>
  <c r="C72" i="9" a="1"/>
  <c r="C72" i="9" s="1"/>
  <c r="B72" i="9" a="1"/>
  <c r="B72" i="9" s="1"/>
  <c r="C71" i="9" a="1"/>
  <c r="C71" i="9" s="1"/>
  <c r="D71" i="9" s="1"/>
  <c r="B71" i="9" a="1"/>
  <c r="B71" i="9" s="1"/>
  <c r="C70" i="9" a="1"/>
  <c r="C70" i="9" s="1"/>
  <c r="B70" i="9" a="1"/>
  <c r="B70" i="9" s="1"/>
  <c r="C69" i="9" a="1"/>
  <c r="C69" i="9" s="1"/>
  <c r="L69" i="9" s="1"/>
  <c r="B69" i="9" a="1"/>
  <c r="B69" i="9" s="1"/>
  <c r="C68" i="9" a="1"/>
  <c r="C68" i="9" s="1"/>
  <c r="B68" i="9" a="1"/>
  <c r="B68" i="9" s="1"/>
  <c r="C67" i="9" a="1"/>
  <c r="C67" i="9" s="1"/>
  <c r="J67" i="9" s="1"/>
  <c r="B67" i="9" a="1"/>
  <c r="B67" i="9" s="1"/>
  <c r="C66" i="9" a="1"/>
  <c r="C66" i="9" s="1"/>
  <c r="B66" i="9" a="1"/>
  <c r="B66" i="9" s="1"/>
  <c r="C65" i="9" a="1"/>
  <c r="C65" i="9" s="1"/>
  <c r="F65" i="9" s="1"/>
  <c r="B65" i="9" a="1"/>
  <c r="B65" i="9" s="1"/>
  <c r="C64" i="9" a="1"/>
  <c r="C64" i="9" s="1"/>
  <c r="G64" i="9" s="1"/>
  <c r="B64" i="9" a="1"/>
  <c r="B64" i="9" s="1"/>
  <c r="C63" i="9" a="1"/>
  <c r="C63" i="9" s="1"/>
  <c r="M63" i="9" s="1"/>
  <c r="B63" i="9" a="1"/>
  <c r="B63" i="9" s="1"/>
  <c r="C62" i="9" a="1"/>
  <c r="C62" i="9" s="1"/>
  <c r="K62" i="9" s="1"/>
  <c r="B62" i="9" a="1"/>
  <c r="B62" i="9" s="1"/>
  <c r="C61" i="9" a="1"/>
  <c r="C61" i="9" s="1"/>
  <c r="B61" i="9" a="1"/>
  <c r="B61" i="9" s="1"/>
  <c r="C60" i="9" a="1"/>
  <c r="C60" i="9" s="1"/>
  <c r="B60" i="9" a="1"/>
  <c r="B60" i="9" s="1"/>
  <c r="C59" i="9" a="1"/>
  <c r="C59" i="9" s="1"/>
  <c r="I59" i="9" s="1"/>
  <c r="B59" i="9" a="1"/>
  <c r="B59" i="9" s="1"/>
  <c r="C58" i="9" a="1"/>
  <c r="C58" i="9" s="1"/>
  <c r="H58" i="9" s="1"/>
  <c r="B58" i="9" a="1"/>
  <c r="B58" i="9" s="1"/>
  <c r="C57" i="9" a="1"/>
  <c r="C57" i="9" s="1"/>
  <c r="N57" i="9" s="1"/>
  <c r="B57" i="9" a="1"/>
  <c r="B57" i="9" s="1"/>
  <c r="C56" i="9" a="1"/>
  <c r="C56" i="9" s="1"/>
  <c r="I56" i="9" s="1"/>
  <c r="B56" i="9" a="1"/>
  <c r="B56" i="9" s="1"/>
  <c r="C55" i="9" a="1"/>
  <c r="C55" i="9" s="1"/>
  <c r="E55" i="9" s="1"/>
  <c r="B55" i="9" a="1"/>
  <c r="B55" i="9" s="1"/>
  <c r="C54" i="9" a="1"/>
  <c r="C54" i="9" s="1"/>
  <c r="D54" i="9" s="1"/>
  <c r="B54" i="9" a="1"/>
  <c r="B54" i="9" s="1"/>
  <c r="C53" i="9" a="1"/>
  <c r="C53" i="9" s="1"/>
  <c r="B53" i="9" a="1"/>
  <c r="B53" i="9" s="1"/>
  <c r="C52" i="9" a="1"/>
  <c r="C52" i="9" s="1"/>
  <c r="B52" i="9" a="1"/>
  <c r="B52" i="9" s="1"/>
  <c r="C51" i="9" a="1"/>
  <c r="C51" i="9" s="1"/>
  <c r="L51" i="9" s="1"/>
  <c r="B51" i="9" a="1"/>
  <c r="B51" i="9" s="1"/>
  <c r="C50" i="9" a="1"/>
  <c r="C50" i="9" s="1"/>
  <c r="B50" i="9" a="1"/>
  <c r="B50" i="9" s="1"/>
  <c r="C49" i="9" a="1"/>
  <c r="C49" i="9" s="1"/>
  <c r="F49" i="9" s="1"/>
  <c r="B49" i="9" a="1"/>
  <c r="B49" i="9" s="1"/>
  <c r="C48" i="9" a="1"/>
  <c r="C48" i="9" s="1"/>
  <c r="D48" i="9" s="1"/>
  <c r="B48" i="9" a="1"/>
  <c r="B48" i="9" s="1"/>
  <c r="C47" i="9" a="1"/>
  <c r="C47" i="9" s="1"/>
  <c r="B47" i="9" a="1"/>
  <c r="B47" i="9" s="1"/>
  <c r="C46" i="9" a="1"/>
  <c r="C46" i="9" s="1"/>
  <c r="B46" i="9" a="1"/>
  <c r="B46" i="9" s="1"/>
  <c r="C45" i="9" a="1"/>
  <c r="C45" i="9" s="1"/>
  <c r="B45" i="9" a="1"/>
  <c r="B45" i="9" s="1"/>
  <c r="C44" i="9" a="1"/>
  <c r="C44" i="9" s="1"/>
  <c r="B44" i="9" a="1"/>
  <c r="B44" i="9" s="1"/>
  <c r="C43" i="9" a="1"/>
  <c r="C43" i="9" s="1"/>
  <c r="G43" i="9" s="1"/>
  <c r="B43" i="9" a="1"/>
  <c r="B43" i="9" s="1"/>
  <c r="C42" i="9" a="1"/>
  <c r="C42" i="9" s="1"/>
  <c r="K42" i="9" s="1"/>
  <c r="B42" i="9" a="1"/>
  <c r="B42" i="9" s="1"/>
  <c r="C41" i="9" a="1"/>
  <c r="C41" i="9" s="1"/>
  <c r="K41" i="9" s="1"/>
  <c r="B41" i="9" a="1"/>
  <c r="B41" i="9" s="1"/>
  <c r="C40" i="9" a="1"/>
  <c r="C40" i="9" s="1"/>
  <c r="B40" i="9" a="1"/>
  <c r="B40" i="9" s="1"/>
  <c r="C39" i="9" a="1"/>
  <c r="C39" i="9" s="1"/>
  <c r="B39" i="9" a="1"/>
  <c r="B39" i="9" s="1"/>
  <c r="C38" i="9" a="1"/>
  <c r="C38" i="9" s="1"/>
  <c r="G38" i="9" s="1"/>
  <c r="B38" i="9" a="1"/>
  <c r="B38" i="9" s="1"/>
  <c r="C37" i="9" a="1"/>
  <c r="C37" i="9" s="1"/>
  <c r="B37" i="9" a="1"/>
  <c r="B37" i="9" s="1"/>
  <c r="C36" i="9" a="1"/>
  <c r="C36" i="9" s="1"/>
  <c r="B36" i="9" a="1"/>
  <c r="B36" i="9" s="1"/>
  <c r="C35" i="9" a="1"/>
  <c r="C35" i="9" s="1"/>
  <c r="B35" i="9" a="1"/>
  <c r="B35" i="9" s="1"/>
  <c r="C34" i="9" a="1"/>
  <c r="C34" i="9" s="1"/>
  <c r="J34" i="9" s="1"/>
  <c r="B34" i="9" a="1"/>
  <c r="B34" i="9" s="1"/>
  <c r="C33" i="9" a="1"/>
  <c r="C33" i="9" s="1"/>
  <c r="B33" i="9" a="1"/>
  <c r="B33" i="9" s="1"/>
  <c r="C32" i="9" a="1"/>
  <c r="C32" i="9" s="1"/>
  <c r="M32" i="9" s="1"/>
  <c r="B32" i="9" a="1"/>
  <c r="B32" i="9" s="1"/>
  <c r="C31" i="9" a="1"/>
  <c r="C31" i="9" s="1"/>
  <c r="B31" i="9" a="1"/>
  <c r="B31" i="9" s="1"/>
  <c r="C30" i="9" a="1"/>
  <c r="C30" i="9" s="1"/>
  <c r="G30" i="9" s="1"/>
  <c r="B30" i="9" a="1"/>
  <c r="B30" i="9" s="1"/>
  <c r="C29" i="9" a="1"/>
  <c r="C29" i="9" s="1"/>
  <c r="B29" i="9" a="1"/>
  <c r="B29" i="9" s="1"/>
  <c r="C28" i="9" a="1"/>
  <c r="C28" i="9" s="1"/>
  <c r="B28" i="9" a="1"/>
  <c r="B28" i="9" s="1"/>
  <c r="C27" i="9" a="1"/>
  <c r="C27" i="9" s="1"/>
  <c r="G27" i="9" s="1"/>
  <c r="B27" i="9" a="1"/>
  <c r="B27" i="9" s="1"/>
  <c r="C26" i="9" a="1"/>
  <c r="C26" i="9" s="1"/>
  <c r="I26" i="9" s="1"/>
  <c r="B26" i="9" a="1"/>
  <c r="B26" i="9" s="1"/>
  <c r="C123" i="3" a="1"/>
  <c r="C123" i="3" s="1"/>
  <c r="B123" i="3" a="1"/>
  <c r="B123" i="3" s="1"/>
  <c r="C122" i="3" a="1"/>
  <c r="C122" i="3" s="1"/>
  <c r="B122" i="3" a="1"/>
  <c r="B122" i="3" s="1"/>
  <c r="C121" i="3" a="1"/>
  <c r="C121" i="3" s="1"/>
  <c r="B121" i="3" a="1"/>
  <c r="B121" i="3" s="1"/>
  <c r="C120" i="3" a="1"/>
  <c r="C120" i="3" s="1"/>
  <c r="L120" i="3" s="1"/>
  <c r="B120" i="3" a="1"/>
  <c r="B120" i="3" s="1"/>
  <c r="C119" i="3" a="1"/>
  <c r="C119" i="3" s="1"/>
  <c r="K119" i="3" s="1"/>
  <c r="B119" i="3" a="1"/>
  <c r="B119" i="3" s="1"/>
  <c r="C118" i="3" a="1"/>
  <c r="C118" i="3" s="1"/>
  <c r="B118" i="3" a="1"/>
  <c r="B118" i="3" s="1"/>
  <c r="C117" i="3" a="1"/>
  <c r="C117" i="3" s="1"/>
  <c r="B117" i="3" a="1"/>
  <c r="B117" i="3" s="1"/>
  <c r="C116" i="3" a="1"/>
  <c r="C116" i="3" s="1"/>
  <c r="B116" i="3" a="1"/>
  <c r="B116" i="3" s="1"/>
  <c r="C115" i="3" a="1"/>
  <c r="C115" i="3" s="1"/>
  <c r="B115" i="3" a="1"/>
  <c r="B115" i="3" s="1"/>
  <c r="C114" i="3" a="1"/>
  <c r="C114" i="3" s="1"/>
  <c r="B114" i="3" a="1"/>
  <c r="B114" i="3" s="1"/>
  <c r="C113" i="3" a="1"/>
  <c r="C113" i="3" s="1"/>
  <c r="B113" i="3" a="1"/>
  <c r="B113" i="3" s="1"/>
  <c r="C112" i="3" a="1"/>
  <c r="C112" i="3" s="1"/>
  <c r="D112" i="3" s="1"/>
  <c r="B112" i="3" a="1"/>
  <c r="B112" i="3" s="1"/>
  <c r="C111" i="3" a="1"/>
  <c r="C111" i="3" s="1"/>
  <c r="B111" i="3" a="1"/>
  <c r="B111" i="3" s="1"/>
  <c r="C110" i="3" a="1"/>
  <c r="C110" i="3" s="1"/>
  <c r="B110" i="3" a="1"/>
  <c r="B110" i="3" s="1"/>
  <c r="C109" i="3" a="1"/>
  <c r="C109" i="3" s="1"/>
  <c r="B109" i="3" a="1"/>
  <c r="B109" i="3" s="1"/>
  <c r="C108" i="3" a="1"/>
  <c r="C108" i="3" s="1"/>
  <c r="B108" i="3" a="1"/>
  <c r="B108" i="3" s="1"/>
  <c r="C107" i="3" a="1"/>
  <c r="C107" i="3" s="1"/>
  <c r="K107" i="3" s="1"/>
  <c r="B107" i="3" a="1"/>
  <c r="B107" i="3" s="1"/>
  <c r="C106" i="3" a="1"/>
  <c r="C106" i="3" s="1"/>
  <c r="N106" i="3" s="1"/>
  <c r="B106" i="3" a="1"/>
  <c r="B106" i="3" s="1"/>
  <c r="C105" i="3" a="1"/>
  <c r="C105" i="3" s="1"/>
  <c r="E105" i="3" s="1"/>
  <c r="B105" i="3" a="1"/>
  <c r="B105" i="3" s="1"/>
  <c r="C104" i="3" a="1"/>
  <c r="C104" i="3" s="1"/>
  <c r="B104" i="3" a="1"/>
  <c r="B104" i="3" s="1"/>
  <c r="C103" i="3" a="1"/>
  <c r="C103" i="3" s="1"/>
  <c r="B103" i="3" a="1"/>
  <c r="B103" i="3" s="1"/>
  <c r="C102" i="3" a="1"/>
  <c r="C102" i="3" s="1"/>
  <c r="B102" i="3" a="1"/>
  <c r="B102" i="3" s="1"/>
  <c r="C101" i="3" a="1"/>
  <c r="C101" i="3" s="1"/>
  <c r="I101" i="3" s="1"/>
  <c r="B101" i="3" a="1"/>
  <c r="B101" i="3" s="1"/>
  <c r="C100" i="3" a="1"/>
  <c r="C100" i="3" s="1"/>
  <c r="L100" i="3" s="1"/>
  <c r="B100" i="3" a="1"/>
  <c r="B100" i="3" s="1"/>
  <c r="C99" i="3" a="1"/>
  <c r="C99" i="3" s="1"/>
  <c r="K99" i="3" s="1"/>
  <c r="B99" i="3" a="1"/>
  <c r="B99" i="3" s="1"/>
  <c r="C98" i="3" a="1"/>
  <c r="C98" i="3" s="1"/>
  <c r="B98" i="3" a="1"/>
  <c r="B98" i="3" s="1"/>
  <c r="C97" i="3" a="1"/>
  <c r="C97" i="3" s="1"/>
  <c r="E97" i="3" s="1"/>
  <c r="B97" i="3" a="1"/>
  <c r="B97" i="3" s="1"/>
  <c r="C96" i="3" a="1"/>
  <c r="C96" i="3" s="1"/>
  <c r="L96" i="3" s="1"/>
  <c r="B96" i="3" a="1"/>
  <c r="B96" i="3" s="1"/>
  <c r="C95" i="3" a="1"/>
  <c r="C95" i="3" s="1"/>
  <c r="I95" i="3" s="1"/>
  <c r="B95" i="3" a="1"/>
  <c r="B95" i="3" s="1"/>
  <c r="C94" i="3" a="1"/>
  <c r="C94" i="3" s="1"/>
  <c r="B94" i="3" a="1"/>
  <c r="B94" i="3" s="1"/>
  <c r="C93" i="3" a="1"/>
  <c r="C93" i="3" s="1"/>
  <c r="E93" i="3" s="1"/>
  <c r="B93" i="3" a="1"/>
  <c r="B93" i="3" s="1"/>
  <c r="C92" i="3" a="1"/>
  <c r="C92" i="3" s="1"/>
  <c r="B92" i="3" a="1"/>
  <c r="B92" i="3" s="1"/>
  <c r="C91" i="3" a="1"/>
  <c r="C91" i="3" s="1"/>
  <c r="E91" i="3" s="1"/>
  <c r="B91" i="3" a="1"/>
  <c r="B91" i="3" s="1"/>
  <c r="C90" i="3" a="1"/>
  <c r="C90" i="3" s="1"/>
  <c r="L90" i="3" s="1"/>
  <c r="B90" i="3" a="1"/>
  <c r="B90" i="3" s="1"/>
  <c r="C89" i="3" a="1"/>
  <c r="C89" i="3" s="1"/>
  <c r="B89" i="3" a="1"/>
  <c r="B89" i="3" s="1"/>
  <c r="C88" i="3" a="1"/>
  <c r="C88" i="3" s="1"/>
  <c r="L88" i="3" s="1"/>
  <c r="B88" i="3" a="1"/>
  <c r="B88" i="3" s="1"/>
  <c r="C87" i="3" a="1"/>
  <c r="C87" i="3" s="1"/>
  <c r="B87" i="3" a="1"/>
  <c r="B87" i="3" s="1"/>
  <c r="C86" i="3" a="1"/>
  <c r="C86" i="3" s="1"/>
  <c r="N86" i="3" s="1"/>
  <c r="B86" i="3" a="1"/>
  <c r="B86" i="3" s="1"/>
  <c r="C85" i="3" a="1"/>
  <c r="C85" i="3" s="1"/>
  <c r="H85" i="3" s="1"/>
  <c r="B85" i="3" a="1"/>
  <c r="B85" i="3" s="1"/>
  <c r="C84" i="3" a="1"/>
  <c r="C84" i="3" s="1"/>
  <c r="B84" i="3" a="1"/>
  <c r="B84" i="3" s="1"/>
  <c r="C83" i="3" a="1"/>
  <c r="C83" i="3" s="1"/>
  <c r="E83" i="3" s="1"/>
  <c r="B83" i="3" a="1"/>
  <c r="B83" i="3" s="1"/>
  <c r="C82" i="3" a="1"/>
  <c r="C82" i="3" s="1"/>
  <c r="L82" i="3" s="1"/>
  <c r="B82" i="3" a="1"/>
  <c r="B82" i="3" s="1"/>
  <c r="C81" i="3" a="1"/>
  <c r="C81" i="3" s="1"/>
  <c r="E81" i="3" s="1"/>
  <c r="B81" i="3" a="1"/>
  <c r="B81" i="3" s="1"/>
  <c r="C80" i="3" a="1"/>
  <c r="C80" i="3" s="1"/>
  <c r="H80" i="3" s="1"/>
  <c r="B80" i="3" a="1"/>
  <c r="B80" i="3" s="1"/>
  <c r="C79" i="3" a="1"/>
  <c r="C79" i="3" s="1"/>
  <c r="G79" i="3" s="1"/>
  <c r="B79" i="3" a="1"/>
  <c r="B79" i="3" s="1"/>
  <c r="C78" i="3" a="1"/>
  <c r="C78" i="3" s="1"/>
  <c r="L78" i="3" s="1"/>
  <c r="B78" i="3" a="1"/>
  <c r="B78" i="3" s="1"/>
  <c r="C77" i="3" a="1"/>
  <c r="C77" i="3" s="1"/>
  <c r="B77" i="3" a="1"/>
  <c r="B77" i="3" s="1"/>
  <c r="C76" i="3" a="1"/>
  <c r="C76" i="3" s="1"/>
  <c r="J76" i="3" s="1"/>
  <c r="B76" i="3" a="1"/>
  <c r="B76" i="3" s="1"/>
  <c r="C75" i="3" a="1"/>
  <c r="C75" i="3" s="1"/>
  <c r="E75" i="3" s="1"/>
  <c r="B75" i="3" a="1"/>
  <c r="B75" i="3" s="1"/>
  <c r="C74" i="3" a="1"/>
  <c r="C74" i="3" s="1"/>
  <c r="M74" i="3" s="1"/>
  <c r="B74" i="3" a="1"/>
  <c r="B74" i="3" s="1"/>
  <c r="C73" i="3" a="1"/>
  <c r="C73" i="3" s="1"/>
  <c r="B73" i="3" a="1"/>
  <c r="B73" i="3" s="1"/>
  <c r="C72" i="3" a="1"/>
  <c r="C72" i="3" s="1"/>
  <c r="B72" i="3" a="1"/>
  <c r="B72" i="3" s="1"/>
  <c r="C71" i="3" a="1"/>
  <c r="C71" i="3" s="1"/>
  <c r="K71" i="3" s="1"/>
  <c r="B71" i="3" a="1"/>
  <c r="B71" i="3" s="1"/>
  <c r="C70" i="3" a="1"/>
  <c r="C70" i="3" s="1"/>
  <c r="J70" i="3" s="1"/>
  <c r="B70" i="3" a="1"/>
  <c r="B70" i="3" s="1"/>
  <c r="C69" i="3" a="1"/>
  <c r="C69" i="3" s="1"/>
  <c r="B69" i="3" a="1"/>
  <c r="B69" i="3" s="1"/>
  <c r="C68" i="3" a="1"/>
  <c r="C68" i="3" s="1"/>
  <c r="H68" i="3" s="1"/>
  <c r="B68" i="3" a="1"/>
  <c r="B68" i="3" s="1"/>
  <c r="C67" i="3" a="1"/>
  <c r="C67" i="3" s="1"/>
  <c r="B67" i="3" a="1"/>
  <c r="B67" i="3" s="1"/>
  <c r="C66" i="3" a="1"/>
  <c r="C66" i="3" s="1"/>
  <c r="F66" i="3" s="1"/>
  <c r="B66" i="3" a="1"/>
  <c r="B66" i="3" s="1"/>
  <c r="C65" i="3" a="1"/>
  <c r="C65" i="3" s="1"/>
  <c r="E65" i="3" s="1"/>
  <c r="B65" i="3" a="1"/>
  <c r="B65" i="3" s="1"/>
  <c r="C64" i="3" a="1"/>
  <c r="C64" i="3" s="1"/>
  <c r="I64" i="3" s="1"/>
  <c r="B64" i="3" a="1"/>
  <c r="B64" i="3" s="1"/>
  <c r="C63" i="3" a="1"/>
  <c r="C63" i="3" s="1"/>
  <c r="K63" i="3" s="1"/>
  <c r="B63" i="3" a="1"/>
  <c r="B63" i="3" s="1"/>
  <c r="C62" i="3" a="1"/>
  <c r="C62" i="3" s="1"/>
  <c r="J62" i="3" s="1"/>
  <c r="B62" i="3" a="1"/>
  <c r="B62" i="3" s="1"/>
  <c r="C61" i="3" a="1"/>
  <c r="C61" i="3" s="1"/>
  <c r="N61" i="3" s="1"/>
  <c r="B61" i="3" a="1"/>
  <c r="B61" i="3" s="1"/>
  <c r="C60" i="3" a="1"/>
  <c r="C60" i="3" s="1"/>
  <c r="H60" i="3" s="1"/>
  <c r="B60" i="3" a="1"/>
  <c r="B60" i="3" s="1"/>
  <c r="C59" i="3" a="1"/>
  <c r="C59" i="3" s="1"/>
  <c r="B59" i="3" a="1"/>
  <c r="B59" i="3" s="1"/>
  <c r="C58" i="3" a="1"/>
  <c r="C58" i="3" s="1"/>
  <c r="B58" i="3" a="1"/>
  <c r="B58" i="3" s="1"/>
  <c r="C57" i="3" a="1"/>
  <c r="C57" i="3" s="1"/>
  <c r="E57" i="3" s="1"/>
  <c r="B57" i="3" a="1"/>
  <c r="B57" i="3" s="1"/>
  <c r="C56" i="3" a="1"/>
  <c r="C56" i="3" s="1"/>
  <c r="B56" i="3" a="1"/>
  <c r="B56" i="3" s="1"/>
  <c r="C55" i="3" a="1"/>
  <c r="C55" i="3" s="1"/>
  <c r="K55" i="3" s="1"/>
  <c r="B55" i="3" a="1"/>
  <c r="B55" i="3" s="1"/>
  <c r="C54" i="3" a="1"/>
  <c r="C54" i="3" s="1"/>
  <c r="J54" i="3" s="1"/>
  <c r="B54" i="3" a="1"/>
  <c r="B54" i="3" s="1"/>
  <c r="C53" i="3" a="1"/>
  <c r="C53" i="3" s="1"/>
  <c r="B53" i="3" a="1"/>
  <c r="B53" i="3" s="1"/>
  <c r="C52" i="3" a="1"/>
  <c r="C52" i="3" s="1"/>
  <c r="M52" i="3" s="1"/>
  <c r="B52" i="3" a="1"/>
  <c r="B52" i="3" s="1"/>
  <c r="C51" i="3" a="1"/>
  <c r="C51" i="3" s="1"/>
  <c r="B51" i="3" a="1"/>
  <c r="B51" i="3" s="1"/>
  <c r="C50" i="3" a="1"/>
  <c r="C50" i="3" s="1"/>
  <c r="K50" i="3" s="1"/>
  <c r="B50" i="3" a="1"/>
  <c r="B50" i="3" s="1"/>
  <c r="C49" i="3" a="1"/>
  <c r="C49" i="3" s="1"/>
  <c r="B49" i="3" a="1"/>
  <c r="B49" i="3" s="1"/>
  <c r="C48" i="3" a="1"/>
  <c r="C48" i="3" s="1"/>
  <c r="I48" i="3" s="1"/>
  <c r="B48" i="3" a="1"/>
  <c r="B48" i="3" s="1"/>
  <c r="C47" i="3" a="1"/>
  <c r="C47" i="3" s="1"/>
  <c r="H47" i="3" s="1"/>
  <c r="B47" i="3" a="1"/>
  <c r="B47" i="3" s="1"/>
  <c r="C46" i="3" a="1"/>
  <c r="C46" i="3" s="1"/>
  <c r="G46" i="3" s="1"/>
  <c r="B46" i="3" a="1"/>
  <c r="B46" i="3" s="1"/>
  <c r="C45" i="3" a="1"/>
  <c r="C45" i="3" s="1"/>
  <c r="E45" i="3" s="1"/>
  <c r="B45" i="3" a="1"/>
  <c r="B45" i="3" s="1"/>
  <c r="C44" i="3" a="1"/>
  <c r="C44" i="3" s="1"/>
  <c r="B44" i="3" a="1"/>
  <c r="B44" i="3" s="1"/>
  <c r="C43" i="3" a="1"/>
  <c r="C43" i="3" s="1"/>
  <c r="K43" i="3" s="1"/>
  <c r="B43" i="3" a="1"/>
  <c r="B43" i="3" s="1"/>
  <c r="C42" i="3" a="1"/>
  <c r="C42" i="3" s="1"/>
  <c r="B42" i="3" a="1"/>
  <c r="B42" i="3" s="1"/>
  <c r="C41" i="3" a="1"/>
  <c r="C41" i="3" s="1"/>
  <c r="G41" i="3" s="1"/>
  <c r="B41" i="3" a="1"/>
  <c r="B41" i="3" s="1"/>
  <c r="C40" i="3" a="1"/>
  <c r="C40" i="3" s="1"/>
  <c r="I40" i="3" s="1"/>
  <c r="B40" i="3" a="1"/>
  <c r="B40" i="3" s="1"/>
  <c r="C39" i="3" a="1"/>
  <c r="C39" i="3" s="1"/>
  <c r="M39" i="3" s="1"/>
  <c r="B39" i="3" a="1"/>
  <c r="B39" i="3" s="1"/>
  <c r="C38" i="3" a="1"/>
  <c r="C38" i="3" s="1"/>
  <c r="B38" i="3" a="1"/>
  <c r="B38" i="3" s="1"/>
  <c r="C37" i="3" a="1"/>
  <c r="C37" i="3" s="1"/>
  <c r="I37" i="3" s="1"/>
  <c r="B37" i="3" a="1"/>
  <c r="B37" i="3" s="1"/>
  <c r="C36" i="3" a="1"/>
  <c r="C36" i="3" s="1"/>
  <c r="K36" i="3" s="1"/>
  <c r="B36" i="3" a="1"/>
  <c r="B36" i="3" s="1"/>
  <c r="C35" i="3" a="1"/>
  <c r="C35" i="3" s="1"/>
  <c r="G35" i="3" s="1"/>
  <c r="B35" i="3" a="1"/>
  <c r="B35" i="3" s="1"/>
  <c r="C34" i="3" a="1"/>
  <c r="C34" i="3" s="1"/>
  <c r="B34" i="3" a="1"/>
  <c r="B34" i="3" s="1"/>
  <c r="C33" i="3" a="1"/>
  <c r="C33" i="3" s="1"/>
  <c r="B33" i="3" a="1"/>
  <c r="B33" i="3" s="1"/>
  <c r="C32" i="3" a="1"/>
  <c r="C32" i="3" s="1"/>
  <c r="B32" i="3" a="1"/>
  <c r="B32" i="3" s="1"/>
  <c r="C31" i="3" a="1"/>
  <c r="C31" i="3" s="1"/>
  <c r="J31" i="3" s="1"/>
  <c r="B31" i="3" a="1"/>
  <c r="B31" i="3" s="1"/>
  <c r="C30" i="3" a="1"/>
  <c r="C30" i="3" s="1"/>
  <c r="B30" i="3" a="1"/>
  <c r="B30" i="3" s="1"/>
  <c r="C29" i="3" a="1"/>
  <c r="C29" i="3" s="1"/>
  <c r="B29" i="3" a="1"/>
  <c r="B29" i="3" s="1"/>
  <c r="C28" i="3" a="1"/>
  <c r="C28" i="3" s="1"/>
  <c r="B28" i="3" a="1"/>
  <c r="B28" i="3" s="1"/>
  <c r="C27" i="3" a="1"/>
  <c r="C27" i="3" s="1"/>
  <c r="L27" i="3" s="1"/>
  <c r="B27" i="3" a="1"/>
  <c r="B27" i="3" s="1"/>
  <c r="C26" i="3" a="1"/>
  <c r="C26" i="3" s="1"/>
  <c r="F26" i="3" s="1"/>
  <c r="B26" i="3" a="1"/>
  <c r="B26" i="3" s="1"/>
  <c r="C123" i="10" a="1"/>
  <c r="C123" i="10" s="1"/>
  <c r="N123" i="10" s="1"/>
  <c r="B123" i="10" a="1"/>
  <c r="B123" i="10" s="1"/>
  <c r="C122" i="10" a="1"/>
  <c r="C122" i="10" s="1"/>
  <c r="N122" i="10" s="1"/>
  <c r="B122" i="10" a="1"/>
  <c r="B122" i="10" s="1"/>
  <c r="C121" i="10" a="1"/>
  <c r="C121" i="10" s="1"/>
  <c r="B121" i="10" a="1"/>
  <c r="B121" i="10" s="1"/>
  <c r="C120" i="10" a="1"/>
  <c r="C120" i="10" s="1"/>
  <c r="L120" i="10" s="1"/>
  <c r="B120" i="10" a="1"/>
  <c r="B120" i="10" s="1"/>
  <c r="C119" i="10" a="1"/>
  <c r="C119" i="10" s="1"/>
  <c r="B119" i="10" a="1"/>
  <c r="B119" i="10" s="1"/>
  <c r="C118" i="10" a="1"/>
  <c r="C118" i="10" s="1"/>
  <c r="J118" i="10" s="1"/>
  <c r="B118" i="10" a="1"/>
  <c r="B118" i="10" s="1"/>
  <c r="C117" i="10" a="1"/>
  <c r="C117" i="10" s="1"/>
  <c r="B117" i="10" a="1"/>
  <c r="B117" i="10" s="1"/>
  <c r="C116" i="10" a="1"/>
  <c r="C116" i="10" s="1"/>
  <c r="F116" i="10" s="1"/>
  <c r="B116" i="10" a="1"/>
  <c r="B116" i="10" s="1"/>
  <c r="C115" i="10" a="1"/>
  <c r="C115" i="10" s="1"/>
  <c r="B115" i="10" a="1"/>
  <c r="B115" i="10" s="1"/>
  <c r="C114" i="10" a="1"/>
  <c r="C114" i="10" s="1"/>
  <c r="F114" i="10" s="1"/>
  <c r="B114" i="10" a="1"/>
  <c r="B114" i="10" s="1"/>
  <c r="C113" i="10" a="1"/>
  <c r="C113" i="10" s="1"/>
  <c r="B113" i="10" a="1"/>
  <c r="B113" i="10" s="1"/>
  <c r="C112" i="10" a="1"/>
  <c r="C112" i="10" s="1"/>
  <c r="L112" i="10" s="1"/>
  <c r="B112" i="10" a="1"/>
  <c r="B112" i="10" s="1"/>
  <c r="C111" i="10" a="1"/>
  <c r="C111" i="10" s="1"/>
  <c r="B111" i="10" a="1"/>
  <c r="B111" i="10" s="1"/>
  <c r="C110" i="10" a="1"/>
  <c r="C110" i="10" s="1"/>
  <c r="B110" i="10" a="1"/>
  <c r="B110" i="10" s="1"/>
  <c r="C109" i="10" a="1"/>
  <c r="C109" i="10" s="1"/>
  <c r="B109" i="10" a="1"/>
  <c r="B109" i="10" s="1"/>
  <c r="C108" i="10" a="1"/>
  <c r="C108" i="10" s="1"/>
  <c r="H108" i="10" s="1"/>
  <c r="B108" i="10" a="1"/>
  <c r="B108" i="10" s="1"/>
  <c r="C107" i="10" a="1"/>
  <c r="C107" i="10" s="1"/>
  <c r="N107" i="10" s="1"/>
  <c r="B107" i="10" a="1"/>
  <c r="B107" i="10" s="1"/>
  <c r="C106" i="10" a="1"/>
  <c r="C106" i="10" s="1"/>
  <c r="N106" i="10" s="1"/>
  <c r="B106" i="10" a="1"/>
  <c r="B106" i="10" s="1"/>
  <c r="C105" i="10" a="1"/>
  <c r="C105" i="10" s="1"/>
  <c r="B105" i="10" a="1"/>
  <c r="B105" i="10" s="1"/>
  <c r="C104" i="10" a="1"/>
  <c r="C104" i="10" s="1"/>
  <c r="B104" i="10" a="1"/>
  <c r="B104" i="10" s="1"/>
  <c r="C103" i="10" a="1"/>
  <c r="C103" i="10" s="1"/>
  <c r="B103" i="10" a="1"/>
  <c r="B103" i="10" s="1"/>
  <c r="C102" i="10" a="1"/>
  <c r="C102" i="10" s="1"/>
  <c r="B102" i="10" a="1"/>
  <c r="B102" i="10" s="1"/>
  <c r="C101" i="10" a="1"/>
  <c r="C101" i="10" s="1"/>
  <c r="B101" i="10" a="1"/>
  <c r="B101" i="10" s="1"/>
  <c r="C100" i="10" a="1"/>
  <c r="C100" i="10" s="1"/>
  <c r="L100" i="10" s="1"/>
  <c r="B100" i="10" a="1"/>
  <c r="B100" i="10" s="1"/>
  <c r="C99" i="10" a="1"/>
  <c r="C99" i="10" s="1"/>
  <c r="G99" i="10" s="1"/>
  <c r="B99" i="10" a="1"/>
  <c r="B99" i="10" s="1"/>
  <c r="C98" i="10" a="1"/>
  <c r="C98" i="10" s="1"/>
  <c r="N98" i="10" s="1"/>
  <c r="B98" i="10" a="1"/>
  <c r="B98" i="10" s="1"/>
  <c r="C97" i="10" a="1"/>
  <c r="C97" i="10" s="1"/>
  <c r="B97" i="10" a="1"/>
  <c r="B97" i="10" s="1"/>
  <c r="C96" i="10" a="1"/>
  <c r="C96" i="10" s="1"/>
  <c r="B96" i="10" a="1"/>
  <c r="B96" i="10" s="1"/>
  <c r="C95" i="10" a="1"/>
  <c r="C95" i="10" s="1"/>
  <c r="B95" i="10" a="1"/>
  <c r="B95" i="10" s="1"/>
  <c r="C94" i="10" a="1"/>
  <c r="C94" i="10" s="1"/>
  <c r="J94" i="10" s="1"/>
  <c r="B94" i="10" a="1"/>
  <c r="B94" i="10" s="1"/>
  <c r="C93" i="10" a="1"/>
  <c r="C93" i="10" s="1"/>
  <c r="B93" i="10" a="1"/>
  <c r="B93" i="10" s="1"/>
  <c r="C92" i="10" a="1"/>
  <c r="C92" i="10" s="1"/>
  <c r="H92" i="10" s="1"/>
  <c r="B92" i="10" a="1"/>
  <c r="B92" i="10" s="1"/>
  <c r="C91" i="10" a="1"/>
  <c r="C91" i="10" s="1"/>
  <c r="B91" i="10" a="1"/>
  <c r="B91" i="10" s="1"/>
  <c r="C90" i="10" a="1"/>
  <c r="C90" i="10" s="1"/>
  <c r="D90" i="10" s="1"/>
  <c r="B90" i="10" a="1"/>
  <c r="B90" i="10" s="1"/>
  <c r="C89" i="10" a="1"/>
  <c r="C89" i="10" s="1"/>
  <c r="M89" i="10" s="1"/>
  <c r="B89" i="10" a="1"/>
  <c r="B89" i="10" s="1"/>
  <c r="C88" i="10" a="1"/>
  <c r="C88" i="10" s="1"/>
  <c r="L88" i="10" s="1"/>
  <c r="B88" i="10" a="1"/>
  <c r="B88" i="10" s="1"/>
  <c r="C87" i="10" a="1"/>
  <c r="C87" i="10" s="1"/>
  <c r="K87" i="10" s="1"/>
  <c r="B87" i="10" a="1"/>
  <c r="B87" i="10" s="1"/>
  <c r="C86" i="10" a="1"/>
  <c r="C86" i="10" s="1"/>
  <c r="N86" i="10" s="1"/>
  <c r="B86" i="10" a="1"/>
  <c r="B86" i="10" s="1"/>
  <c r="C85" i="10" a="1"/>
  <c r="C85" i="10" s="1"/>
  <c r="M85" i="10" s="1"/>
  <c r="B85" i="10" a="1"/>
  <c r="B85" i="10" s="1"/>
  <c r="C84" i="10" a="1"/>
  <c r="C84" i="10" s="1"/>
  <c r="N84" i="10" s="1"/>
  <c r="B84" i="10" a="1"/>
  <c r="B84" i="10" s="1"/>
  <c r="C83" i="10" a="1"/>
  <c r="C83" i="10" s="1"/>
  <c r="B83" i="10" a="1"/>
  <c r="B83" i="10" s="1"/>
  <c r="C82" i="10" a="1"/>
  <c r="C82" i="10" s="1"/>
  <c r="N82" i="10" s="1"/>
  <c r="B82" i="10" a="1"/>
  <c r="B82" i="10" s="1"/>
  <c r="C81" i="10" a="1"/>
  <c r="C81" i="10" s="1"/>
  <c r="B81" i="10" a="1"/>
  <c r="B81" i="10" s="1"/>
  <c r="C80" i="10" a="1"/>
  <c r="C80" i="10" s="1"/>
  <c r="L80" i="10" s="1"/>
  <c r="B80" i="10" a="1"/>
  <c r="B80" i="10" s="1"/>
  <c r="C79" i="10" a="1"/>
  <c r="C79" i="10" s="1"/>
  <c r="K79" i="10" s="1"/>
  <c r="B79" i="10" a="1"/>
  <c r="B79" i="10" s="1"/>
  <c r="C78" i="10" a="1"/>
  <c r="C78" i="10" s="1"/>
  <c r="B78" i="10" a="1"/>
  <c r="B78" i="10" s="1"/>
  <c r="C77" i="10" a="1"/>
  <c r="C77" i="10" s="1"/>
  <c r="E77" i="10" s="1"/>
  <c r="B77" i="10" a="1"/>
  <c r="B77" i="10" s="1"/>
  <c r="C76" i="10" a="1"/>
  <c r="C76" i="10" s="1"/>
  <c r="D76" i="10" s="1"/>
  <c r="B76" i="10" a="1"/>
  <c r="B76" i="10" s="1"/>
  <c r="C75" i="10" a="1"/>
  <c r="C75" i="10" s="1"/>
  <c r="B75" i="10" a="1"/>
  <c r="B75" i="10" s="1"/>
  <c r="C74" i="10" a="1"/>
  <c r="C74" i="10" s="1"/>
  <c r="N74" i="10" s="1"/>
  <c r="B74" i="10" a="1"/>
  <c r="B74" i="10" s="1"/>
  <c r="C73" i="10" a="1"/>
  <c r="C73" i="10" s="1"/>
  <c r="B73" i="10" a="1"/>
  <c r="B73" i="10" s="1"/>
  <c r="C72" i="10" a="1"/>
  <c r="C72" i="10" s="1"/>
  <c r="J72" i="10" s="1"/>
  <c r="B72" i="10" a="1"/>
  <c r="B72" i="10" s="1"/>
  <c r="C71" i="10" a="1"/>
  <c r="C71" i="10" s="1"/>
  <c r="G71" i="10" s="1"/>
  <c r="B71" i="10" a="1"/>
  <c r="B71" i="10" s="1"/>
  <c r="C70" i="10" a="1"/>
  <c r="C70" i="10" s="1"/>
  <c r="B70" i="10" a="1"/>
  <c r="B70" i="10" s="1"/>
  <c r="C69" i="10" a="1"/>
  <c r="C69" i="10" s="1"/>
  <c r="M69" i="10" s="1"/>
  <c r="B69" i="10" a="1"/>
  <c r="B69" i="10" s="1"/>
  <c r="C68" i="10" a="1"/>
  <c r="C68" i="10" s="1"/>
  <c r="N68" i="10" s="1"/>
  <c r="B68" i="10" a="1"/>
  <c r="B68" i="10" s="1"/>
  <c r="C67" i="10" a="1"/>
  <c r="C67" i="10" s="1"/>
  <c r="B67" i="10" a="1"/>
  <c r="B67" i="10" s="1"/>
  <c r="C66" i="10" a="1"/>
  <c r="C66" i="10" s="1"/>
  <c r="L66" i="10" s="1"/>
  <c r="B66" i="10" a="1"/>
  <c r="B66" i="10" s="1"/>
  <c r="C65" i="10" a="1"/>
  <c r="C65" i="10" s="1"/>
  <c r="B65" i="10" a="1"/>
  <c r="B65" i="10" s="1"/>
  <c r="C64" i="10" a="1"/>
  <c r="C64" i="10" s="1"/>
  <c r="B64" i="10" a="1"/>
  <c r="B64" i="10" s="1"/>
  <c r="C63" i="10" a="1"/>
  <c r="C63" i="10" s="1"/>
  <c r="N63" i="10" s="1"/>
  <c r="B63" i="10" a="1"/>
  <c r="B63" i="10" s="1"/>
  <c r="C62" i="10" a="1"/>
  <c r="C62" i="10" s="1"/>
  <c r="B62" i="10" a="1"/>
  <c r="B62" i="10" s="1"/>
  <c r="C61" i="10" a="1"/>
  <c r="C61" i="10" s="1"/>
  <c r="B61" i="10" a="1"/>
  <c r="B61" i="10" s="1"/>
  <c r="C60" i="10" a="1"/>
  <c r="C60" i="10" s="1"/>
  <c r="K60" i="10" s="1"/>
  <c r="B60" i="10" a="1"/>
  <c r="B60" i="10" s="1"/>
  <c r="C59" i="10" a="1"/>
  <c r="C59" i="10" s="1"/>
  <c r="B59" i="10" a="1"/>
  <c r="B59" i="10" s="1"/>
  <c r="C58" i="10" a="1"/>
  <c r="C58" i="10" s="1"/>
  <c r="M58" i="10" s="1"/>
  <c r="B58" i="10" a="1"/>
  <c r="B58" i="10" s="1"/>
  <c r="C57" i="10" a="1"/>
  <c r="C57" i="10" s="1"/>
  <c r="K57" i="10" s="1"/>
  <c r="B57" i="10" a="1"/>
  <c r="B57" i="10" s="1"/>
  <c r="C56" i="10" a="1"/>
  <c r="C56" i="10" s="1"/>
  <c r="K56" i="10" s="1"/>
  <c r="B56" i="10" a="1"/>
  <c r="B56" i="10" s="1"/>
  <c r="C55" i="10" a="1"/>
  <c r="C55" i="10" s="1"/>
  <c r="J55" i="10" s="1"/>
  <c r="B55" i="10" a="1"/>
  <c r="B55" i="10" s="1"/>
  <c r="C54" i="10" a="1"/>
  <c r="C54" i="10" s="1"/>
  <c r="I54" i="10" s="1"/>
  <c r="B54" i="10" a="1"/>
  <c r="B54" i="10" s="1"/>
  <c r="C53" i="10" a="1"/>
  <c r="C53" i="10" s="1"/>
  <c r="M53" i="10" s="1"/>
  <c r="B53" i="10" a="1"/>
  <c r="B53" i="10" s="1"/>
  <c r="C52" i="10" a="1"/>
  <c r="C52" i="10" s="1"/>
  <c r="B52" i="10" a="1"/>
  <c r="B52" i="10" s="1"/>
  <c r="C51" i="10" a="1"/>
  <c r="C51" i="10" s="1"/>
  <c r="B51" i="10" a="1"/>
  <c r="B51" i="10" s="1"/>
  <c r="C50" i="10" a="1"/>
  <c r="C50" i="10" s="1"/>
  <c r="L50" i="10" s="1"/>
  <c r="B50" i="10" a="1"/>
  <c r="B50" i="10" s="1"/>
  <c r="C49" i="10" a="1"/>
  <c r="C49" i="10" s="1"/>
  <c r="B49" i="10" a="1"/>
  <c r="B49" i="10" s="1"/>
  <c r="C48" i="10" a="1"/>
  <c r="C48" i="10" s="1"/>
  <c r="K48" i="10" s="1"/>
  <c r="B48" i="10" a="1"/>
  <c r="B48" i="10" s="1"/>
  <c r="C47" i="10" a="1"/>
  <c r="C47" i="10" s="1"/>
  <c r="I47" i="10" s="1"/>
  <c r="B47" i="10" a="1"/>
  <c r="B47" i="10" s="1"/>
  <c r="C46" i="10" a="1"/>
  <c r="C46" i="10" s="1"/>
  <c r="E46" i="10" s="1"/>
  <c r="B46" i="10" a="1"/>
  <c r="B46" i="10" s="1"/>
  <c r="C45" i="10" a="1"/>
  <c r="C45" i="10" s="1"/>
  <c r="B45" i="10" a="1"/>
  <c r="B45" i="10" s="1"/>
  <c r="C44" i="10" a="1"/>
  <c r="C44" i="10" s="1"/>
  <c r="B44" i="10" a="1"/>
  <c r="B44" i="10" s="1"/>
  <c r="C43" i="10" a="1"/>
  <c r="C43" i="10" s="1"/>
  <c r="B43" i="10" a="1"/>
  <c r="B43" i="10" s="1"/>
  <c r="C42" i="10" a="1"/>
  <c r="C42" i="10" s="1"/>
  <c r="L42" i="10" s="1"/>
  <c r="B42" i="10" a="1"/>
  <c r="B42" i="10" s="1"/>
  <c r="C41" i="10" a="1"/>
  <c r="C41" i="10" s="1"/>
  <c r="B41" i="10" a="1"/>
  <c r="B41" i="10" s="1"/>
  <c r="C40" i="10" a="1"/>
  <c r="C40" i="10" s="1"/>
  <c r="B40" i="10" a="1"/>
  <c r="B40" i="10" s="1"/>
  <c r="C39" i="10" a="1"/>
  <c r="C39" i="10" s="1"/>
  <c r="G39" i="10" s="1"/>
  <c r="B39" i="10" a="1"/>
  <c r="B39" i="10" s="1"/>
  <c r="C38" i="10" a="1"/>
  <c r="C38" i="10" s="1"/>
  <c r="F38" i="10" s="1"/>
  <c r="B38" i="10" a="1"/>
  <c r="B38" i="10" s="1"/>
  <c r="C37" i="10" a="1"/>
  <c r="C37" i="10" s="1"/>
  <c r="B37" i="10" a="1"/>
  <c r="B37" i="10" s="1"/>
  <c r="C36" i="10" a="1"/>
  <c r="C36" i="10" s="1"/>
  <c r="B36" i="10" a="1"/>
  <c r="B36" i="10" s="1"/>
  <c r="C35" i="10" a="1"/>
  <c r="C35" i="10" s="1"/>
  <c r="E35" i="10" s="1"/>
  <c r="B35" i="10" a="1"/>
  <c r="B35" i="10" s="1"/>
  <c r="C34" i="10" a="1"/>
  <c r="C34" i="10" s="1"/>
  <c r="M34" i="10" s="1"/>
  <c r="B34" i="10" a="1"/>
  <c r="B34" i="10" s="1"/>
  <c r="C33" i="10" a="1"/>
  <c r="C33" i="10" s="1"/>
  <c r="B33" i="10" a="1"/>
  <c r="B33" i="10" s="1"/>
  <c r="C32" i="10" a="1"/>
  <c r="C32" i="10" s="1"/>
  <c r="B32" i="10" a="1"/>
  <c r="B32" i="10" s="1"/>
  <c r="C31" i="10" a="1"/>
  <c r="C31" i="10" s="1"/>
  <c r="E31" i="10" s="1"/>
  <c r="B31" i="10" a="1"/>
  <c r="B31" i="10" s="1"/>
  <c r="C30" i="10" a="1"/>
  <c r="C30" i="10" s="1"/>
  <c r="M30" i="10" s="1"/>
  <c r="B30" i="10" a="1"/>
  <c r="B30" i="10" s="1"/>
  <c r="C29" i="10" a="1"/>
  <c r="C29" i="10" s="1"/>
  <c r="M29" i="10" s="1"/>
  <c r="B29" i="10" a="1"/>
  <c r="B29" i="10" s="1"/>
  <c r="C28" i="10" a="1"/>
  <c r="C28" i="10" s="1"/>
  <c r="M28" i="10" s="1"/>
  <c r="B28" i="10" a="1"/>
  <c r="B28" i="10" s="1"/>
  <c r="C27" i="10" a="1"/>
  <c r="C27" i="10" s="1"/>
  <c r="K27" i="10" s="1"/>
  <c r="B27" i="10" a="1"/>
  <c r="B27" i="10" s="1"/>
  <c r="C26" i="10" a="1"/>
  <c r="C26" i="10" s="1"/>
  <c r="J26" i="10" s="1"/>
  <c r="B26" i="10" a="1"/>
  <c r="B26" i="10" s="1"/>
  <c r="C98" i="13" a="1"/>
  <c r="C98" i="13" s="1"/>
  <c r="G98" i="13" s="1"/>
  <c r="C99" i="13" a="1"/>
  <c r="C99" i="13" s="1"/>
  <c r="G99" i="13" s="1"/>
  <c r="B30" i="13" a="1"/>
  <c r="B30" i="13" s="1"/>
  <c r="C30" i="13" a="1"/>
  <c r="C30" i="13" s="1"/>
  <c r="B31" i="13" a="1"/>
  <c r="B31" i="13" s="1"/>
  <c r="C31" i="13" a="1"/>
  <c r="C31" i="13" s="1"/>
  <c r="G31" i="13" s="1"/>
  <c r="B32" i="13" a="1"/>
  <c r="B32" i="13" s="1"/>
  <c r="C32" i="13" a="1"/>
  <c r="C32" i="13" s="1"/>
  <c r="B33" i="13" a="1"/>
  <c r="B33" i="13" s="1"/>
  <c r="C33" i="13" a="1"/>
  <c r="C33" i="13" s="1"/>
  <c r="D33" i="13" s="1"/>
  <c r="B34" i="13" a="1"/>
  <c r="B34" i="13" s="1"/>
  <c r="C34" i="13" a="1"/>
  <c r="C34" i="13" s="1"/>
  <c r="F34" i="13" s="1"/>
  <c r="B35" i="13" a="1"/>
  <c r="B35" i="13" s="1"/>
  <c r="C35" i="13" a="1"/>
  <c r="C35" i="13" s="1"/>
  <c r="B36" i="13" a="1"/>
  <c r="B36" i="13" s="1"/>
  <c r="C36" i="13" a="1"/>
  <c r="C36" i="13" s="1"/>
  <c r="B37" i="13" a="1"/>
  <c r="B37" i="13" s="1"/>
  <c r="C37" i="13" a="1"/>
  <c r="C37" i="13" s="1"/>
  <c r="G37" i="13" s="1"/>
  <c r="B38" i="13" a="1"/>
  <c r="B38" i="13" s="1"/>
  <c r="C38" i="13" a="1"/>
  <c r="C38" i="13" s="1"/>
  <c r="F38" i="13" s="1"/>
  <c r="B39" i="13" a="1"/>
  <c r="B39" i="13" s="1"/>
  <c r="C39" i="13" a="1"/>
  <c r="C39" i="13" s="1"/>
  <c r="D39" i="13" s="1"/>
  <c r="B40" i="13" a="1"/>
  <c r="B40" i="13" s="1"/>
  <c r="C40" i="13" a="1"/>
  <c r="C40" i="13" s="1"/>
  <c r="B41" i="13" a="1"/>
  <c r="B41" i="13" s="1"/>
  <c r="C41" i="13" a="1"/>
  <c r="C41" i="13" s="1"/>
  <c r="F41" i="13" s="1"/>
  <c r="B42" i="13" a="1"/>
  <c r="B42" i="13" s="1"/>
  <c r="C42" i="13" a="1"/>
  <c r="C42" i="13" s="1"/>
  <c r="H42" i="13" s="1"/>
  <c r="B43" i="13" a="1"/>
  <c r="B43" i="13" s="1"/>
  <c r="C43" i="13" a="1"/>
  <c r="C43" i="13" s="1"/>
  <c r="B44" i="13" a="1"/>
  <c r="B44" i="13" s="1"/>
  <c r="C44" i="13" a="1"/>
  <c r="C44" i="13" s="1"/>
  <c r="B45" i="13" a="1"/>
  <c r="B45" i="13" s="1"/>
  <c r="C45" i="13" a="1"/>
  <c r="C45" i="13" s="1"/>
  <c r="I45" i="13" s="1"/>
  <c r="B46" i="13" a="1"/>
  <c r="B46" i="13" s="1"/>
  <c r="C46" i="13" a="1"/>
  <c r="C46" i="13" s="1"/>
  <c r="E46" i="13" s="1"/>
  <c r="B47" i="13" a="1"/>
  <c r="B47" i="13" s="1"/>
  <c r="C47" i="13" a="1"/>
  <c r="C47" i="13" s="1"/>
  <c r="G47" i="13" s="1"/>
  <c r="B48" i="13" a="1"/>
  <c r="B48" i="13" s="1"/>
  <c r="C48" i="13" a="1"/>
  <c r="C48" i="13" s="1"/>
  <c r="B49" i="13" a="1"/>
  <c r="B49" i="13" s="1"/>
  <c r="C49" i="13" a="1"/>
  <c r="C49" i="13" s="1"/>
  <c r="F49" i="13" s="1"/>
  <c r="B50" i="13" a="1"/>
  <c r="B50" i="13" s="1"/>
  <c r="C50" i="13" a="1"/>
  <c r="C50" i="13" s="1"/>
  <c r="H50" i="13" s="1"/>
  <c r="B51" i="13" a="1"/>
  <c r="B51" i="13" s="1"/>
  <c r="C51" i="13" a="1"/>
  <c r="C51" i="13" s="1"/>
  <c r="B52" i="13" a="1"/>
  <c r="B52" i="13" s="1"/>
  <c r="C52" i="13" a="1"/>
  <c r="C52" i="13" s="1"/>
  <c r="E52" i="13" s="1"/>
  <c r="B53" i="13" a="1"/>
  <c r="B53" i="13" s="1"/>
  <c r="C53" i="13" a="1"/>
  <c r="C53" i="13" s="1"/>
  <c r="B54" i="13" a="1"/>
  <c r="B54" i="13" s="1"/>
  <c r="C54" i="13" a="1"/>
  <c r="C54" i="13" s="1"/>
  <c r="F54" i="13" s="1"/>
  <c r="B55" i="13" a="1"/>
  <c r="B55" i="13" s="1"/>
  <c r="C55" i="13" a="1"/>
  <c r="C55" i="13" s="1"/>
  <c r="B56" i="13" a="1"/>
  <c r="B56" i="13" s="1"/>
  <c r="C56" i="13" a="1"/>
  <c r="C56" i="13" s="1"/>
  <c r="E56" i="13" s="1"/>
  <c r="B57" i="13" a="1"/>
  <c r="B57" i="13" s="1"/>
  <c r="C57" i="13" a="1"/>
  <c r="C57" i="13" s="1"/>
  <c r="D57" i="13" s="1"/>
  <c r="B58" i="13" a="1"/>
  <c r="B58" i="13" s="1"/>
  <c r="C58" i="13" a="1"/>
  <c r="C58" i="13" s="1"/>
  <c r="B59" i="13" a="1"/>
  <c r="B59" i="13" s="1"/>
  <c r="C59" i="13" a="1"/>
  <c r="C59" i="13" s="1"/>
  <c r="B60" i="13" a="1"/>
  <c r="B60" i="13" s="1"/>
  <c r="C60" i="13" a="1"/>
  <c r="C60" i="13" s="1"/>
  <c r="I60" i="13" s="1"/>
  <c r="B61" i="13" a="1"/>
  <c r="B61" i="13" s="1"/>
  <c r="C61" i="13" a="1"/>
  <c r="C61" i="13" s="1"/>
  <c r="D61" i="13" s="1"/>
  <c r="B62" i="13" a="1"/>
  <c r="B62" i="13" s="1"/>
  <c r="C62" i="13" a="1"/>
  <c r="C62" i="13" s="1"/>
  <c r="H62" i="13" s="1"/>
  <c r="B63" i="13" a="1"/>
  <c r="B63" i="13" s="1"/>
  <c r="C63" i="13" a="1"/>
  <c r="C63" i="13" s="1"/>
  <c r="G63" i="13" s="1"/>
  <c r="B64" i="13" a="1"/>
  <c r="B64" i="13" s="1"/>
  <c r="C64" i="13" a="1"/>
  <c r="C64" i="13" s="1"/>
  <c r="I64" i="13" s="1"/>
  <c r="B65" i="13" a="1"/>
  <c r="B65" i="13" s="1"/>
  <c r="C65" i="13" a="1"/>
  <c r="C65" i="13" s="1"/>
  <c r="I65" i="13" s="1"/>
  <c r="B66" i="13" a="1"/>
  <c r="B66" i="13" s="1"/>
  <c r="C66" i="13" a="1"/>
  <c r="C66" i="13" s="1"/>
  <c r="G66" i="13" s="1"/>
  <c r="B67" i="13" a="1"/>
  <c r="B67" i="13" s="1"/>
  <c r="C67" i="13" a="1"/>
  <c r="C67" i="13" s="1"/>
  <c r="B68" i="13" a="1"/>
  <c r="B68" i="13" s="1"/>
  <c r="C68" i="13" a="1"/>
  <c r="C68" i="13" s="1"/>
  <c r="D68" i="13" s="1"/>
  <c r="B69" i="13" a="1"/>
  <c r="B69" i="13" s="1"/>
  <c r="C69" i="13" a="1"/>
  <c r="C69" i="13" s="1"/>
  <c r="G69" i="13" s="1"/>
  <c r="B70" i="13" a="1"/>
  <c r="B70" i="13" s="1"/>
  <c r="C70" i="13" a="1"/>
  <c r="C70" i="13" s="1"/>
  <c r="F70" i="13" s="1"/>
  <c r="B71" i="13" a="1"/>
  <c r="B71" i="13" s="1"/>
  <c r="C71" i="13" a="1"/>
  <c r="C71" i="13" s="1"/>
  <c r="B72" i="13" a="1"/>
  <c r="B72" i="13" s="1"/>
  <c r="C72" i="13" a="1"/>
  <c r="C72" i="13" s="1"/>
  <c r="H72" i="13" s="1"/>
  <c r="B73" i="13" a="1"/>
  <c r="B73" i="13" s="1"/>
  <c r="C73" i="13" a="1"/>
  <c r="C73" i="13" s="1"/>
  <c r="B74" i="13" a="1"/>
  <c r="B74" i="13" s="1"/>
  <c r="C74" i="13" a="1"/>
  <c r="C74" i="13" s="1"/>
  <c r="G74" i="13" s="1"/>
  <c r="B75" i="13" a="1"/>
  <c r="B75" i="13" s="1"/>
  <c r="C75" i="13" a="1"/>
  <c r="C75" i="13" s="1"/>
  <c r="B76" i="13" a="1"/>
  <c r="B76" i="13" s="1"/>
  <c r="C76" i="13" a="1"/>
  <c r="C76" i="13" s="1"/>
  <c r="I76" i="13" s="1"/>
  <c r="B77" i="13" a="1"/>
  <c r="B77" i="13" s="1"/>
  <c r="C77" i="13" a="1"/>
  <c r="C77" i="13" s="1"/>
  <c r="F77" i="13" s="1"/>
  <c r="B78" i="13" a="1"/>
  <c r="B78" i="13" s="1"/>
  <c r="C78" i="13" a="1"/>
  <c r="C78" i="13" s="1"/>
  <c r="B79" i="13" a="1"/>
  <c r="B79" i="13" s="1"/>
  <c r="C79" i="13" a="1"/>
  <c r="C79" i="13" s="1"/>
  <c r="B80" i="13" a="1"/>
  <c r="B80" i="13" s="1"/>
  <c r="C80" i="13" a="1"/>
  <c r="C80" i="13" s="1"/>
  <c r="D80" i="13" s="1"/>
  <c r="B81" i="13" a="1"/>
  <c r="B81" i="13" s="1"/>
  <c r="C81" i="13" a="1"/>
  <c r="C81" i="13" s="1"/>
  <c r="F81" i="13" s="1"/>
  <c r="B82" i="13" a="1"/>
  <c r="B82" i="13" s="1"/>
  <c r="C82" i="13" a="1"/>
  <c r="C82" i="13" s="1"/>
  <c r="D82" i="13" s="1"/>
  <c r="B83" i="13" a="1"/>
  <c r="B83" i="13" s="1"/>
  <c r="C83" i="13" a="1"/>
  <c r="C83" i="13" s="1"/>
  <c r="B84" i="13" a="1"/>
  <c r="B84" i="13" s="1"/>
  <c r="C84" i="13" a="1"/>
  <c r="C84" i="13" s="1"/>
  <c r="E84" i="13" s="1"/>
  <c r="B85" i="13" a="1"/>
  <c r="B85" i="13" s="1"/>
  <c r="C85" i="13" a="1"/>
  <c r="C85" i="13" s="1"/>
  <c r="I85" i="13" s="1"/>
  <c r="B86" i="13" a="1"/>
  <c r="B86" i="13" s="1"/>
  <c r="C86" i="13" a="1"/>
  <c r="C86" i="13" s="1"/>
  <c r="F86" i="13" s="1"/>
  <c r="B87" i="13" a="1"/>
  <c r="B87" i="13" s="1"/>
  <c r="C87" i="13" a="1"/>
  <c r="C87" i="13" s="1"/>
  <c r="B88" i="13" a="1"/>
  <c r="B88" i="13" s="1"/>
  <c r="C88" i="13" a="1"/>
  <c r="C88" i="13" s="1"/>
  <c r="E88" i="13" s="1"/>
  <c r="B89" i="13" a="1"/>
  <c r="B89" i="13" s="1"/>
  <c r="C89" i="13" a="1"/>
  <c r="C89" i="13" s="1"/>
  <c r="E89" i="13" s="1"/>
  <c r="B90" i="13" a="1"/>
  <c r="B90" i="13" s="1"/>
  <c r="C90" i="13" a="1"/>
  <c r="C90" i="13" s="1"/>
  <c r="B91" i="13" a="1"/>
  <c r="B91" i="13" s="1"/>
  <c r="C91" i="13" a="1"/>
  <c r="C91" i="13" s="1"/>
  <c r="B92" i="13" a="1"/>
  <c r="B92" i="13" s="1"/>
  <c r="C92" i="13" a="1"/>
  <c r="C92" i="13" s="1"/>
  <c r="D92" i="13" s="1"/>
  <c r="B93" i="13" a="1"/>
  <c r="B93" i="13" s="1"/>
  <c r="C93" i="13" a="1"/>
  <c r="C93" i="13" s="1"/>
  <c r="E93" i="13" s="1"/>
  <c r="B94" i="13" a="1"/>
  <c r="B94" i="13" s="1"/>
  <c r="C94" i="13" a="1"/>
  <c r="C94" i="13" s="1"/>
  <c r="H94" i="13" s="1"/>
  <c r="B95" i="13" a="1"/>
  <c r="B95" i="13" s="1"/>
  <c r="C95" i="13" a="1"/>
  <c r="C95" i="13" s="1"/>
  <c r="B96" i="13" a="1"/>
  <c r="B96" i="13" s="1"/>
  <c r="C96" i="13" a="1"/>
  <c r="C96" i="13" s="1"/>
  <c r="I96" i="13" s="1"/>
  <c r="B97" i="13" a="1"/>
  <c r="B97" i="13" s="1"/>
  <c r="C97" i="13" a="1"/>
  <c r="C97" i="13" s="1"/>
  <c r="I97" i="13" s="1"/>
  <c r="B98" i="13" a="1"/>
  <c r="B98" i="13" s="1"/>
  <c r="B99" i="13" a="1"/>
  <c r="B99" i="13" s="1"/>
  <c r="B3" i="13" a="1"/>
  <c r="B3" i="13" s="1"/>
  <c r="C3" i="13" a="1"/>
  <c r="C3" i="13" s="1"/>
  <c r="H3" i="13" s="1"/>
  <c r="B4" i="13" a="1"/>
  <c r="B4" i="13" s="1"/>
  <c r="C4" i="13" a="1"/>
  <c r="C4" i="13" s="1"/>
  <c r="D4" i="13" s="1"/>
  <c r="B5" i="13" a="1"/>
  <c r="B5" i="13" s="1"/>
  <c r="C5" i="13" a="1"/>
  <c r="C5" i="13" s="1"/>
  <c r="F5" i="13" s="1"/>
  <c r="B6" i="13" a="1"/>
  <c r="B6" i="13" s="1"/>
  <c r="C6" i="13" a="1"/>
  <c r="C6" i="13" s="1"/>
  <c r="B7" i="13" a="1"/>
  <c r="B7" i="13" s="1"/>
  <c r="C7" i="13" a="1"/>
  <c r="C7" i="13" s="1"/>
  <c r="G7" i="13" s="1"/>
  <c r="B8" i="13" a="1"/>
  <c r="B8" i="13" s="1"/>
  <c r="C8" i="13" a="1"/>
  <c r="C8" i="13" s="1"/>
  <c r="D8" i="13" s="1"/>
  <c r="B9" i="13" a="1"/>
  <c r="B9" i="13" s="1"/>
  <c r="C9" i="13" a="1"/>
  <c r="C9" i="13" s="1"/>
  <c r="F9" i="13" s="1"/>
  <c r="B10" i="13" a="1"/>
  <c r="B10" i="13" s="1"/>
  <c r="C10" i="13" a="1"/>
  <c r="C10" i="13" s="1"/>
  <c r="B11" i="13" a="1"/>
  <c r="B11" i="13" s="1"/>
  <c r="C11" i="13" a="1"/>
  <c r="C11" i="13" s="1"/>
  <c r="B12" i="13" a="1"/>
  <c r="B12" i="13" s="1"/>
  <c r="C12" i="13" a="1"/>
  <c r="C12" i="13" s="1"/>
  <c r="D12" i="13" s="1"/>
  <c r="B13" i="13" a="1"/>
  <c r="B13" i="13" s="1"/>
  <c r="C13" i="13" a="1"/>
  <c r="C13" i="13" s="1"/>
  <c r="B14" i="13" a="1"/>
  <c r="B14" i="13" s="1"/>
  <c r="C14" i="13" a="1"/>
  <c r="C14" i="13" s="1"/>
  <c r="H14" i="13" s="1"/>
  <c r="B15" i="13" a="1"/>
  <c r="B15" i="13" s="1"/>
  <c r="C15" i="13" a="1"/>
  <c r="C15" i="13" s="1"/>
  <c r="B16" i="13" a="1"/>
  <c r="B16" i="13" s="1"/>
  <c r="C16" i="13" a="1"/>
  <c r="C16" i="13" s="1"/>
  <c r="D16" i="13" s="1"/>
  <c r="B17" i="13" a="1"/>
  <c r="B17" i="13" s="1"/>
  <c r="C17" i="13" a="1"/>
  <c r="C17" i="13" s="1"/>
  <c r="D17" i="13" s="1"/>
  <c r="B18" i="13" a="1"/>
  <c r="B18" i="13" s="1"/>
  <c r="C18" i="13" a="1"/>
  <c r="C18" i="13" s="1"/>
  <c r="B19" i="13" a="1"/>
  <c r="B19" i="13" s="1"/>
  <c r="C19" i="13" a="1"/>
  <c r="C19" i="13" s="1"/>
  <c r="E19" i="13" s="1"/>
  <c r="B20" i="13" a="1"/>
  <c r="B20" i="13" s="1"/>
  <c r="C20" i="13" a="1"/>
  <c r="C20" i="13" s="1"/>
  <c r="B21" i="13" a="1"/>
  <c r="B21" i="13" s="1"/>
  <c r="C21" i="13" a="1"/>
  <c r="C21" i="13" s="1"/>
  <c r="B22" i="13" a="1"/>
  <c r="B22" i="13" s="1"/>
  <c r="C22" i="13" a="1"/>
  <c r="C22" i="13" s="1"/>
  <c r="B23" i="13" a="1"/>
  <c r="B23" i="13" s="1"/>
  <c r="C23" i="13" a="1"/>
  <c r="C23" i="13" s="1"/>
  <c r="D23" i="13" s="1"/>
  <c r="B24" i="13" a="1"/>
  <c r="B24" i="13" s="1"/>
  <c r="C24" i="13" a="1"/>
  <c r="C24" i="13" s="1"/>
  <c r="D24" i="13" s="1"/>
  <c r="B25" i="13" a="1"/>
  <c r="B25" i="13" s="1"/>
  <c r="C25" i="13" a="1"/>
  <c r="C25" i="13" s="1"/>
  <c r="B26" i="13" a="1"/>
  <c r="B26" i="13" s="1"/>
  <c r="C26" i="13" a="1"/>
  <c r="C26" i="13" s="1"/>
  <c r="B27" i="13" a="1"/>
  <c r="B27" i="13" s="1"/>
  <c r="C27" i="13" a="1"/>
  <c r="C27" i="13" s="1"/>
  <c r="D27" i="13" s="1"/>
  <c r="B28" i="13" a="1"/>
  <c r="B28" i="13" s="1"/>
  <c r="C28" i="13" a="1"/>
  <c r="C28" i="13" s="1"/>
  <c r="D28" i="13" s="1"/>
  <c r="B29" i="13" a="1"/>
  <c r="B29" i="13" s="1"/>
  <c r="C29" i="13" a="1"/>
  <c r="C29" i="13" s="1"/>
  <c r="C2" i="13" a="1"/>
  <c r="C2" i="13" s="1"/>
  <c r="E2" i="13" s="1"/>
  <c r="B2" i="13" a="1"/>
  <c r="B2" i="13" s="1"/>
  <c r="C41" i="7" a="1"/>
  <c r="C41" i="7" s="1"/>
  <c r="B41" i="7" a="1"/>
  <c r="B41" i="7" s="1"/>
  <c r="I41" i="7" s="1"/>
  <c r="C40" i="7" a="1"/>
  <c r="C40" i="7" s="1"/>
  <c r="B40" i="7" a="1"/>
  <c r="B40" i="7" s="1"/>
  <c r="I40" i="7" s="1"/>
  <c r="C39" i="7" a="1"/>
  <c r="C39" i="7" s="1"/>
  <c r="B39" i="7" a="1"/>
  <c r="B39" i="7" s="1"/>
  <c r="I39" i="7" s="1"/>
  <c r="C38" i="7" a="1"/>
  <c r="C38" i="7" s="1"/>
  <c r="B38" i="7" a="1"/>
  <c r="B38" i="7" s="1"/>
  <c r="I38" i="7" s="1"/>
  <c r="C37" i="7" a="1"/>
  <c r="C37" i="7" s="1"/>
  <c r="B37" i="7" a="1"/>
  <c r="B37" i="7" s="1"/>
  <c r="I37" i="7" s="1"/>
  <c r="C36" i="7" a="1"/>
  <c r="C36" i="7" s="1"/>
  <c r="B36" i="7" a="1"/>
  <c r="B36" i="7" s="1"/>
  <c r="I36" i="7" s="1"/>
  <c r="C35" i="7" a="1"/>
  <c r="C35" i="7" s="1"/>
  <c r="B35" i="7" a="1"/>
  <c r="B35" i="7" s="1"/>
  <c r="I35" i="7" s="1"/>
  <c r="C34" i="7" a="1"/>
  <c r="C34" i="7" s="1"/>
  <c r="B34" i="7" a="1"/>
  <c r="B34" i="7" s="1"/>
  <c r="I34" i="7" s="1"/>
  <c r="C33" i="7" a="1"/>
  <c r="C33" i="7" s="1"/>
  <c r="B33" i="7" a="1"/>
  <c r="B33" i="7" s="1"/>
  <c r="I33" i="7" s="1"/>
  <c r="C32" i="7" a="1"/>
  <c r="C32" i="7" s="1"/>
  <c r="B32" i="7" a="1"/>
  <c r="B32" i="7" s="1"/>
  <c r="I32" i="7" s="1"/>
  <c r="C31" i="7" a="1"/>
  <c r="C31" i="7" s="1"/>
  <c r="B31" i="7" a="1"/>
  <c r="B31" i="7" s="1"/>
  <c r="I31" i="7" s="1"/>
  <c r="C30" i="7" a="1"/>
  <c r="C30" i="7" s="1"/>
  <c r="B30" i="7" a="1"/>
  <c r="B30" i="7" s="1"/>
  <c r="C29" i="7" a="1"/>
  <c r="C29" i="7" s="1"/>
  <c r="B29" i="7" a="1"/>
  <c r="B29" i="7" s="1"/>
  <c r="C28" i="7" a="1"/>
  <c r="C28" i="7" s="1"/>
  <c r="B28" i="7" a="1"/>
  <c r="B28" i="7" s="1"/>
  <c r="C27" i="7" a="1"/>
  <c r="C27" i="7" s="1"/>
  <c r="B27" i="7" a="1"/>
  <c r="B27" i="7" s="1"/>
  <c r="C26" i="7" a="1"/>
  <c r="C26" i="7" s="1"/>
  <c r="B26" i="7" a="1"/>
  <c r="B26" i="7" s="1"/>
  <c r="C25" i="7" a="1"/>
  <c r="C25" i="7" s="1"/>
  <c r="B25" i="7" a="1"/>
  <c r="B25" i="7" s="1"/>
  <c r="C24" i="7" a="1"/>
  <c r="C24" i="7" s="1"/>
  <c r="B24" i="7" a="1"/>
  <c r="B24" i="7" s="1"/>
  <c r="C23" i="7" a="1"/>
  <c r="C23" i="7" s="1"/>
  <c r="B23" i="7" a="1"/>
  <c r="B23" i="7" s="1"/>
  <c r="C22" i="7" a="1"/>
  <c r="C22" i="7" s="1"/>
  <c r="B22" i="7" a="1"/>
  <c r="B22" i="7" s="1"/>
  <c r="C21" i="7" a="1"/>
  <c r="C21" i="7" s="1"/>
  <c r="B21" i="7" a="1"/>
  <c r="B21" i="7" s="1"/>
  <c r="C20" i="7" a="1"/>
  <c r="C20" i="7" s="1"/>
  <c r="B20" i="7" a="1"/>
  <c r="B20" i="7" s="1"/>
  <c r="C19" i="7" a="1"/>
  <c r="C19" i="7" s="1"/>
  <c r="B19" i="7" a="1"/>
  <c r="B19" i="7" s="1"/>
  <c r="C18" i="7" a="1"/>
  <c r="C18" i="7" s="1"/>
  <c r="B18" i="7" a="1"/>
  <c r="B18" i="7" s="1"/>
  <c r="C17" i="7" a="1"/>
  <c r="C17" i="7" s="1"/>
  <c r="B17" i="7" a="1"/>
  <c r="B17" i="7" s="1"/>
  <c r="C16" i="7" a="1"/>
  <c r="C16" i="7" s="1"/>
  <c r="B16" i="7" a="1"/>
  <c r="B16" i="7" s="1"/>
  <c r="C15" i="7" a="1"/>
  <c r="C15" i="7" s="1"/>
  <c r="B15" i="7" a="1"/>
  <c r="B15" i="7" s="1"/>
  <c r="C14" i="7" a="1"/>
  <c r="C14" i="7" s="1"/>
  <c r="B14" i="7" a="1"/>
  <c r="B14" i="7" s="1"/>
  <c r="C13" i="7" a="1"/>
  <c r="C13" i="7" s="1"/>
  <c r="B13" i="7" a="1"/>
  <c r="B13" i="7" s="1"/>
  <c r="C12" i="7" a="1"/>
  <c r="C12" i="7" s="1"/>
  <c r="B12" i="7" a="1"/>
  <c r="B12" i="7" s="1"/>
  <c r="C11" i="7" a="1"/>
  <c r="C11" i="7" s="1"/>
  <c r="B11" i="7" a="1"/>
  <c r="B11" i="7" s="1"/>
  <c r="C10" i="7" a="1"/>
  <c r="C10" i="7" s="1"/>
  <c r="B10" i="7" a="1"/>
  <c r="B10" i="7" s="1"/>
  <c r="C9" i="7" a="1"/>
  <c r="C9" i="7" s="1"/>
  <c r="B9" i="7" a="1"/>
  <c r="B9" i="7" s="1"/>
  <c r="C8" i="7" a="1"/>
  <c r="C8" i="7" s="1"/>
  <c r="B8" i="7" a="1"/>
  <c r="B8" i="7" s="1"/>
  <c r="C7" i="7" a="1"/>
  <c r="C7" i="7" s="1"/>
  <c r="B7" i="7" a="1"/>
  <c r="B7" i="7" s="1"/>
  <c r="C6" i="7" a="1"/>
  <c r="C6" i="7" s="1"/>
  <c r="B6" i="7" a="1"/>
  <c r="B6" i="7" s="1"/>
  <c r="C5" i="7" a="1"/>
  <c r="C5" i="7" s="1"/>
  <c r="B5" i="7" a="1"/>
  <c r="B5" i="7" s="1"/>
  <c r="C4" i="7" a="1"/>
  <c r="C4" i="7" s="1"/>
  <c r="B4" i="7" a="1"/>
  <c r="B4" i="7" s="1"/>
  <c r="C3" i="7" a="1"/>
  <c r="C3" i="7" s="1"/>
  <c r="B3" i="7" a="1"/>
  <c r="B3" i="7" s="1"/>
  <c r="C2" i="7" a="1"/>
  <c r="C2" i="7" s="1"/>
  <c r="B2" i="7" a="1"/>
  <c r="B2" i="7" s="1"/>
  <c r="C91" i="7" a="1"/>
  <c r="C91" i="7" s="1"/>
  <c r="B91" i="7" a="1"/>
  <c r="B91" i="7" s="1"/>
  <c r="C90" i="7" a="1"/>
  <c r="C90" i="7" s="1"/>
  <c r="B90" i="7" a="1"/>
  <c r="B90" i="7" s="1"/>
  <c r="C89" i="7" a="1"/>
  <c r="C89" i="7" s="1"/>
  <c r="B89" i="7" a="1"/>
  <c r="B89" i="7" s="1"/>
  <c r="C88" i="7" a="1"/>
  <c r="C88" i="7" s="1"/>
  <c r="B88" i="7" a="1"/>
  <c r="B88" i="7" s="1"/>
  <c r="C87" i="7" a="1"/>
  <c r="C87" i="7" s="1"/>
  <c r="B87" i="7" a="1"/>
  <c r="B87" i="7" s="1"/>
  <c r="C86" i="7" a="1"/>
  <c r="C86" i="7" s="1"/>
  <c r="B86" i="7" a="1"/>
  <c r="B86" i="7" s="1"/>
  <c r="C85" i="7" a="1"/>
  <c r="C85" i="7" s="1"/>
  <c r="B85" i="7" a="1"/>
  <c r="B85" i="7" s="1"/>
  <c r="C84" i="7" a="1"/>
  <c r="C84" i="7" s="1"/>
  <c r="B84" i="7" a="1"/>
  <c r="B84" i="7" s="1"/>
  <c r="C83" i="7" a="1"/>
  <c r="C83" i="7" s="1"/>
  <c r="B83" i="7" a="1"/>
  <c r="B83" i="7" s="1"/>
  <c r="C81" i="7" a="1"/>
  <c r="C81" i="7" s="1"/>
  <c r="B81" i="7" a="1"/>
  <c r="B81" i="7" s="1"/>
  <c r="C80" i="7" a="1"/>
  <c r="C80" i="7" s="1"/>
  <c r="B80" i="7" a="1"/>
  <c r="B80" i="7" s="1"/>
  <c r="C79" i="7" a="1"/>
  <c r="C79" i="7" s="1"/>
  <c r="B79" i="7" a="1"/>
  <c r="B79" i="7" s="1"/>
  <c r="C78" i="7" a="1"/>
  <c r="C78" i="7" s="1"/>
  <c r="B78" i="7" a="1"/>
  <c r="B78" i="7" s="1"/>
  <c r="C77" i="7" a="1"/>
  <c r="C77" i="7" s="1"/>
  <c r="B77" i="7" a="1"/>
  <c r="B77" i="7" s="1"/>
  <c r="C76" i="7" a="1"/>
  <c r="C76" i="7" s="1"/>
  <c r="B76" i="7" a="1"/>
  <c r="B76" i="7" s="1"/>
  <c r="C75" i="7" a="1"/>
  <c r="C75" i="7" s="1"/>
  <c r="B75" i="7" a="1"/>
  <c r="B75" i="7" s="1"/>
  <c r="C74" i="7" a="1"/>
  <c r="C74" i="7" s="1"/>
  <c r="B74" i="7" a="1"/>
  <c r="B74" i="7" s="1"/>
  <c r="C73" i="7" a="1"/>
  <c r="C73" i="7" s="1"/>
  <c r="B73" i="7" a="1"/>
  <c r="B73" i="7" s="1"/>
  <c r="C72" i="7" a="1"/>
  <c r="C72" i="7" s="1"/>
  <c r="B72" i="7" a="1"/>
  <c r="B72" i="7" s="1"/>
  <c r="C99" i="7" a="1"/>
  <c r="C99" i="7" s="1"/>
  <c r="B99" i="7" a="1"/>
  <c r="B99" i="7" s="1"/>
  <c r="C98" i="7" a="1"/>
  <c r="C98" i="7" s="1"/>
  <c r="B98" i="7" a="1"/>
  <c r="B98" i="7" s="1"/>
  <c r="C97" i="7" a="1"/>
  <c r="C97" i="7" s="1"/>
  <c r="B97" i="7" a="1"/>
  <c r="B97" i="7" s="1"/>
  <c r="C96" i="7" a="1"/>
  <c r="C96" i="7" s="1"/>
  <c r="B96" i="7" a="1"/>
  <c r="B96" i="7" s="1"/>
  <c r="C95" i="7" a="1"/>
  <c r="C95" i="7" s="1"/>
  <c r="B95" i="7" a="1"/>
  <c r="B95" i="7" s="1"/>
  <c r="C94" i="7" a="1"/>
  <c r="C94" i="7" s="1"/>
  <c r="B94" i="7" a="1"/>
  <c r="B94" i="7" s="1"/>
  <c r="C93" i="7" a="1"/>
  <c r="C93" i="7" s="1"/>
  <c r="B93" i="7" a="1"/>
  <c r="B93" i="7" s="1"/>
  <c r="C92" i="7" a="1"/>
  <c r="C92" i="7" s="1"/>
  <c r="B92" i="7" a="1"/>
  <c r="B92" i="7" s="1"/>
  <c r="C82" i="7" a="1"/>
  <c r="C82" i="7" s="1"/>
  <c r="B82" i="7" a="1"/>
  <c r="B82" i="7" s="1"/>
  <c r="C71" i="7" a="1"/>
  <c r="C71" i="7" s="1"/>
  <c r="B71" i="7" a="1"/>
  <c r="B71" i="7" s="1"/>
  <c r="C69" i="7" a="1"/>
  <c r="C69" i="7" s="1"/>
  <c r="B69" i="7" a="1"/>
  <c r="B69" i="7" s="1"/>
  <c r="C70" i="7" a="1"/>
  <c r="C70" i="7" s="1"/>
  <c r="B70" i="7" a="1"/>
  <c r="B70" i="7" s="1"/>
  <c r="C43" i="7" a="1"/>
  <c r="C43" i="7" s="1"/>
  <c r="B43" i="7" a="1"/>
  <c r="B43" i="7" s="1"/>
  <c r="C44" i="7" a="1"/>
  <c r="C44" i="7" s="1"/>
  <c r="B44" i="7" a="1"/>
  <c r="B44" i="7" s="1"/>
  <c r="C45" i="7" a="1"/>
  <c r="C45" i="7" s="1"/>
  <c r="B45" i="7" a="1"/>
  <c r="B45" i="7" s="1"/>
  <c r="C46" i="7" a="1"/>
  <c r="C46" i="7" s="1"/>
  <c r="B46" i="7" a="1"/>
  <c r="B46" i="7" s="1"/>
  <c r="C47" i="7" a="1"/>
  <c r="C47" i="7" s="1"/>
  <c r="B47" i="7" a="1"/>
  <c r="B47" i="7" s="1"/>
  <c r="C48" i="7" a="1"/>
  <c r="C48" i="7" s="1"/>
  <c r="B48" i="7" a="1"/>
  <c r="B48" i="7" s="1"/>
  <c r="C49" i="7" a="1"/>
  <c r="C49" i="7" s="1"/>
  <c r="B49" i="7" a="1"/>
  <c r="B49" i="7" s="1"/>
  <c r="C51" i="7" a="1"/>
  <c r="C51" i="7" s="1"/>
  <c r="B51" i="7" a="1"/>
  <c r="B51" i="7" s="1"/>
  <c r="C52" i="7" a="1"/>
  <c r="C52" i="7" s="1"/>
  <c r="B52" i="7" a="1"/>
  <c r="B52" i="7" s="1"/>
  <c r="C54" i="7" a="1"/>
  <c r="C54" i="7" s="1"/>
  <c r="B54" i="7" a="1"/>
  <c r="B54" i="7" s="1"/>
  <c r="C55" i="7" a="1"/>
  <c r="C55" i="7" s="1"/>
  <c r="B55" i="7" a="1"/>
  <c r="B55" i="7" s="1"/>
  <c r="C56" i="7" a="1"/>
  <c r="C56" i="7" s="1"/>
  <c r="B56" i="7" a="1"/>
  <c r="B56" i="7" s="1"/>
  <c r="C57" i="7" a="1"/>
  <c r="C57" i="7" s="1"/>
  <c r="B57" i="7" a="1"/>
  <c r="B57" i="7" s="1"/>
  <c r="C58" i="7" a="1"/>
  <c r="C58" i="7" s="1"/>
  <c r="B58" i="7" a="1"/>
  <c r="B58" i="7" s="1"/>
  <c r="C59" i="7" a="1"/>
  <c r="C59" i="7" s="1"/>
  <c r="B59" i="7" a="1"/>
  <c r="B59" i="7" s="1"/>
  <c r="C60" i="7" a="1"/>
  <c r="C60" i="7" s="1"/>
  <c r="B60" i="7" a="1"/>
  <c r="B60" i="7" s="1"/>
  <c r="C61" i="7" a="1"/>
  <c r="C61" i="7" s="1"/>
  <c r="B61" i="7" a="1"/>
  <c r="B61" i="7" s="1"/>
  <c r="C42" i="7" a="1"/>
  <c r="C42" i="7" s="1"/>
  <c r="B42" i="7" a="1"/>
  <c r="B42" i="7" s="1"/>
  <c r="C53" i="7" a="1"/>
  <c r="C53" i="7" s="1"/>
  <c r="B53" i="7" a="1"/>
  <c r="B53" i="7" s="1"/>
  <c r="C63" i="7" a="1"/>
  <c r="C63" i="7" s="1"/>
  <c r="B63" i="7" a="1"/>
  <c r="B63" i="7" s="1"/>
  <c r="C64" i="7" a="1"/>
  <c r="C64" i="7" s="1"/>
  <c r="B64" i="7" a="1"/>
  <c r="B64" i="7" s="1"/>
  <c r="C65" i="7" a="1"/>
  <c r="C65" i="7" s="1"/>
  <c r="B65" i="7" a="1"/>
  <c r="B65" i="7" s="1"/>
  <c r="C66" i="7" a="1"/>
  <c r="C66" i="7" s="1"/>
  <c r="B66" i="7" a="1"/>
  <c r="B66" i="7" s="1"/>
  <c r="C67" i="7" a="1"/>
  <c r="C67" i="7" s="1"/>
  <c r="B67" i="7" a="1"/>
  <c r="B67" i="7" s="1"/>
  <c r="C68" i="7" a="1"/>
  <c r="C68" i="7" s="1"/>
  <c r="B68" i="7" a="1"/>
  <c r="B68" i="7" s="1"/>
  <c r="C50" i="7" a="1"/>
  <c r="C50" i="7" s="1"/>
  <c r="B50" i="7" a="1"/>
  <c r="B50" i="7" s="1"/>
  <c r="C62" i="7" a="1"/>
  <c r="C62" i="7" s="1"/>
  <c r="B62" i="7" a="1"/>
  <c r="B62" i="7" s="1"/>
  <c r="B31" i="15" a="1"/>
  <c r="B31" i="15" s="1"/>
  <c r="C31" i="15" a="1"/>
  <c r="C31" i="15" s="1"/>
  <c r="L31" i="15" s="1"/>
  <c r="B32" i="15" a="1"/>
  <c r="B32" i="15" s="1"/>
  <c r="C32" i="15" a="1"/>
  <c r="C32" i="15" s="1"/>
  <c r="L32" i="15" s="1"/>
  <c r="B33" i="15" a="1"/>
  <c r="B33" i="15" s="1"/>
  <c r="C33" i="15" a="1"/>
  <c r="C33" i="15" s="1"/>
  <c r="M33" i="15" s="1"/>
  <c r="B34" i="15" a="1"/>
  <c r="B34" i="15" s="1"/>
  <c r="C34" i="15" a="1"/>
  <c r="C34" i="15" s="1"/>
  <c r="M34" i="15" s="1"/>
  <c r="B35" i="15" a="1"/>
  <c r="B35" i="15" s="1"/>
  <c r="C35" i="15" a="1"/>
  <c r="C35" i="15" s="1"/>
  <c r="M35" i="15" s="1"/>
  <c r="B36" i="15" a="1"/>
  <c r="B36" i="15" s="1"/>
  <c r="C36" i="15" a="1"/>
  <c r="C36" i="15" s="1"/>
  <c r="M36" i="15" s="1"/>
  <c r="B37" i="15" a="1"/>
  <c r="B37" i="15" s="1"/>
  <c r="C37" i="15" a="1"/>
  <c r="C37" i="15" s="1"/>
  <c r="K37" i="15" s="1"/>
  <c r="B38" i="15" a="1"/>
  <c r="B38" i="15" s="1"/>
  <c r="C38" i="15" a="1"/>
  <c r="C38" i="15" s="1"/>
  <c r="G38" i="15" s="1"/>
  <c r="B39" i="15" a="1"/>
  <c r="B39" i="15" s="1"/>
  <c r="C39" i="15" a="1"/>
  <c r="C39" i="15" s="1"/>
  <c r="M39" i="15" s="1"/>
  <c r="B40" i="15" a="1"/>
  <c r="B40" i="15" s="1"/>
  <c r="C40" i="15" a="1"/>
  <c r="C40" i="15" s="1"/>
  <c r="E40" i="15" s="1"/>
  <c r="B41" i="15" a="1"/>
  <c r="B41" i="15" s="1"/>
  <c r="C41" i="15" a="1"/>
  <c r="C41" i="15" s="1"/>
  <c r="H41" i="15" s="1"/>
  <c r="B42" i="15" a="1"/>
  <c r="B42" i="15" s="1"/>
  <c r="C42" i="15" a="1"/>
  <c r="C42" i="15" s="1"/>
  <c r="E42" i="15" s="1"/>
  <c r="B43" i="15" a="1"/>
  <c r="B43" i="15" s="1"/>
  <c r="C43" i="15" a="1"/>
  <c r="C43" i="15" s="1"/>
  <c r="N43" i="15" s="1"/>
  <c r="B44" i="15" a="1"/>
  <c r="B44" i="15" s="1"/>
  <c r="C44" i="15" a="1"/>
  <c r="C44" i="15" s="1"/>
  <c r="I44" i="15" s="1"/>
  <c r="B45" i="15" a="1"/>
  <c r="B45" i="15" s="1"/>
  <c r="C45" i="15" a="1"/>
  <c r="C45" i="15" s="1"/>
  <c r="L45" i="15" s="1"/>
  <c r="B46" i="15" a="1"/>
  <c r="B46" i="15" s="1"/>
  <c r="C46" i="15" a="1"/>
  <c r="C46" i="15" s="1"/>
  <c r="G46" i="15" s="1"/>
  <c r="B47" i="15" a="1"/>
  <c r="B47" i="15" s="1"/>
  <c r="C47" i="15" a="1"/>
  <c r="C47" i="15" s="1"/>
  <c r="M47" i="15" s="1"/>
  <c r="B48" i="15" a="1"/>
  <c r="B48" i="15" s="1"/>
  <c r="C48" i="15" a="1"/>
  <c r="C48" i="15" s="1"/>
  <c r="M48" i="15" s="1"/>
  <c r="B49" i="15" a="1"/>
  <c r="B49" i="15" s="1"/>
  <c r="C49" i="15" a="1"/>
  <c r="C49" i="15" s="1"/>
  <c r="P49" i="15" s="1"/>
  <c r="B50" i="15" a="1"/>
  <c r="B50" i="15" s="1"/>
  <c r="C50" i="15" a="1"/>
  <c r="C50" i="15" s="1"/>
  <c r="E50" i="15" s="1"/>
  <c r="B51" i="15" a="1"/>
  <c r="B51" i="15" s="1"/>
  <c r="C51" i="15" a="1"/>
  <c r="C51" i="15" s="1"/>
  <c r="E51" i="15" s="1"/>
  <c r="B52" i="15" a="1"/>
  <c r="B52" i="15" s="1"/>
  <c r="C52" i="15" a="1"/>
  <c r="C52" i="15" s="1"/>
  <c r="H52" i="15" s="1"/>
  <c r="B53" i="15" a="1"/>
  <c r="B53" i="15" s="1"/>
  <c r="C53" i="15" a="1"/>
  <c r="C53" i="15" s="1"/>
  <c r="M53" i="15" s="1"/>
  <c r="B54" i="15" a="1"/>
  <c r="B54" i="15" s="1"/>
  <c r="C54" i="15" a="1"/>
  <c r="C54" i="15" s="1"/>
  <c r="M54" i="15" s="1"/>
  <c r="B55" i="15" a="1"/>
  <c r="B55" i="15" s="1"/>
  <c r="C55" i="15" a="1"/>
  <c r="C55" i="15" s="1"/>
  <c r="M55" i="15" s="1"/>
  <c r="B56" i="15" a="1"/>
  <c r="B56" i="15" s="1"/>
  <c r="C56" i="15" a="1"/>
  <c r="C56" i="15" s="1"/>
  <c r="D56" i="15" s="1"/>
  <c r="B57" i="15" a="1"/>
  <c r="B57" i="15" s="1"/>
  <c r="C57" i="15" a="1"/>
  <c r="C57" i="15" s="1"/>
  <c r="M57" i="15" s="1"/>
  <c r="B58" i="15" a="1"/>
  <c r="B58" i="15" s="1"/>
  <c r="C58" i="15" a="1"/>
  <c r="C58" i="15" s="1"/>
  <c r="E58" i="15" s="1"/>
  <c r="B59" i="15" a="1"/>
  <c r="B59" i="15" s="1"/>
  <c r="C59" i="15" a="1"/>
  <c r="C59" i="15" s="1"/>
  <c r="P59" i="15" s="1"/>
  <c r="B60" i="15" a="1"/>
  <c r="B60" i="15" s="1"/>
  <c r="C60" i="15" a="1"/>
  <c r="C60" i="15" s="1"/>
  <c r="K60" i="15" s="1"/>
  <c r="B61" i="15" a="1"/>
  <c r="B61" i="15" s="1"/>
  <c r="C61" i="15" a="1"/>
  <c r="C61" i="15" s="1"/>
  <c r="L61" i="15" s="1"/>
  <c r="B62" i="15" a="1"/>
  <c r="B62" i="15" s="1"/>
  <c r="C62" i="15" a="1"/>
  <c r="C62" i="15" s="1"/>
  <c r="O62" i="15" s="1"/>
  <c r="B63" i="15" a="1"/>
  <c r="B63" i="15" s="1"/>
  <c r="C63" i="15" a="1"/>
  <c r="C63" i="15" s="1"/>
  <c r="D63" i="15" s="1"/>
  <c r="B64" i="15" a="1"/>
  <c r="B64" i="15" s="1"/>
  <c r="C64" i="15" a="1"/>
  <c r="C64" i="15" s="1"/>
  <c r="M64" i="15" s="1"/>
  <c r="B65" i="15" a="1"/>
  <c r="B65" i="15" s="1"/>
  <c r="C65" i="15" a="1"/>
  <c r="C65" i="15" s="1"/>
  <c r="P65" i="15" s="1"/>
  <c r="B66" i="15" a="1"/>
  <c r="B66" i="15" s="1"/>
  <c r="C66" i="15" a="1"/>
  <c r="C66" i="15" s="1"/>
  <c r="M66" i="15" s="1"/>
  <c r="B67" i="15" a="1"/>
  <c r="B67" i="15" s="1"/>
  <c r="C67" i="15" a="1"/>
  <c r="C67" i="15" s="1"/>
  <c r="F67" i="15" s="1"/>
  <c r="B68" i="15" a="1"/>
  <c r="B68" i="15" s="1"/>
  <c r="C68" i="15" a="1"/>
  <c r="C68" i="15" s="1"/>
  <c r="M68" i="15" s="1"/>
  <c r="B69" i="15" a="1"/>
  <c r="B69" i="15" s="1"/>
  <c r="C69" i="15" a="1"/>
  <c r="C69" i="15" s="1"/>
  <c r="D69" i="15" s="1"/>
  <c r="B70" i="15" a="1"/>
  <c r="B70" i="15" s="1"/>
  <c r="C70" i="15" a="1"/>
  <c r="C70" i="15" s="1"/>
  <c r="O70" i="15" s="1"/>
  <c r="B71" i="15" a="1"/>
  <c r="B71" i="15" s="1"/>
  <c r="C71" i="15" a="1"/>
  <c r="C71" i="15" s="1"/>
  <c r="L71" i="15" s="1"/>
  <c r="B72" i="15" a="1"/>
  <c r="B72" i="15" s="1"/>
  <c r="C72" i="15" a="1"/>
  <c r="C72" i="15" s="1"/>
  <c r="D72" i="15" s="1"/>
  <c r="B73" i="15" a="1"/>
  <c r="B73" i="15" s="1"/>
  <c r="C73" i="15" a="1"/>
  <c r="C73" i="15" s="1"/>
  <c r="G73" i="15" s="1"/>
  <c r="B74" i="15" a="1"/>
  <c r="B74" i="15" s="1"/>
  <c r="C74" i="15" a="1"/>
  <c r="C74" i="15" s="1"/>
  <c r="M74" i="15" s="1"/>
  <c r="B75" i="15" a="1"/>
  <c r="B75" i="15" s="1"/>
  <c r="C75" i="15" a="1"/>
  <c r="C75" i="15" s="1"/>
  <c r="M75" i="15" s="1"/>
  <c r="B76" i="15" a="1"/>
  <c r="B76" i="15" s="1"/>
  <c r="C76" i="15" a="1"/>
  <c r="C76" i="15" s="1"/>
  <c r="M76" i="15" s="1"/>
  <c r="B77" i="15" a="1"/>
  <c r="B77" i="15" s="1"/>
  <c r="C77" i="15" a="1"/>
  <c r="C77" i="15" s="1"/>
  <c r="M77" i="15" s="1"/>
  <c r="B78" i="15" a="1"/>
  <c r="B78" i="15" s="1"/>
  <c r="C78" i="15" a="1"/>
  <c r="C78" i="15" s="1"/>
  <c r="G78" i="15" s="1"/>
  <c r="B79" i="15" a="1"/>
  <c r="B79" i="15" s="1"/>
  <c r="C79" i="15" a="1"/>
  <c r="C79" i="15" s="1"/>
  <c r="M79" i="15" s="1"/>
  <c r="B80" i="15" a="1"/>
  <c r="B80" i="15" s="1"/>
  <c r="C80" i="15" a="1"/>
  <c r="C80" i="15" s="1"/>
  <c r="M80" i="15" s="1"/>
  <c r="B81" i="15" a="1"/>
  <c r="B81" i="15" s="1"/>
  <c r="C81" i="15" a="1"/>
  <c r="C81" i="15" s="1"/>
  <c r="J81" i="15" s="1"/>
  <c r="B82" i="15" a="1"/>
  <c r="B82" i="15" s="1"/>
  <c r="C82" i="15" a="1"/>
  <c r="C82" i="15" s="1"/>
  <c r="P82" i="15" s="1"/>
  <c r="B83" i="15" a="1"/>
  <c r="B83" i="15" s="1"/>
  <c r="C83" i="15" a="1"/>
  <c r="C83" i="15" s="1"/>
  <c r="O83" i="15" s="1"/>
  <c r="B84" i="15" a="1"/>
  <c r="B84" i="15" s="1"/>
  <c r="C84" i="15" a="1"/>
  <c r="C84" i="15" s="1"/>
  <c r="E84" i="15" s="1"/>
  <c r="B85" i="15" a="1"/>
  <c r="B85" i="15" s="1"/>
  <c r="C85" i="15" a="1"/>
  <c r="C85" i="15" s="1"/>
  <c r="M85" i="15" s="1"/>
  <c r="B86" i="15" a="1"/>
  <c r="B86" i="15" s="1"/>
  <c r="C86" i="15" a="1"/>
  <c r="C86" i="15" s="1"/>
  <c r="D86" i="15" s="1"/>
  <c r="B87" i="15" a="1"/>
  <c r="B87" i="15" s="1"/>
  <c r="C87" i="15" a="1"/>
  <c r="C87" i="15" s="1"/>
  <c r="E87" i="15" s="1"/>
  <c r="B88" i="15" a="1"/>
  <c r="B88" i="15" s="1"/>
  <c r="C88" i="15" a="1"/>
  <c r="C88" i="15" s="1"/>
  <c r="E88" i="15" s="1"/>
  <c r="B89" i="15" a="1"/>
  <c r="B89" i="15" s="1"/>
  <c r="C89" i="15" a="1"/>
  <c r="C89" i="15" s="1"/>
  <c r="L89" i="15" s="1"/>
  <c r="B90" i="15" a="1"/>
  <c r="B90" i="15" s="1"/>
  <c r="C90" i="15" a="1"/>
  <c r="C90" i="15" s="1"/>
  <c r="G90" i="15" s="1"/>
  <c r="B91" i="15" a="1"/>
  <c r="B91" i="15" s="1"/>
  <c r="C91" i="15" a="1"/>
  <c r="C91" i="15" s="1"/>
  <c r="G91" i="15" s="1"/>
  <c r="B92" i="15" a="1"/>
  <c r="B92" i="15" s="1"/>
  <c r="C92" i="15" a="1"/>
  <c r="C92" i="15" s="1"/>
  <c r="D92" i="15" s="1"/>
  <c r="B93" i="15" a="1"/>
  <c r="B93" i="15" s="1"/>
  <c r="C93" i="15" a="1"/>
  <c r="C93" i="15" s="1"/>
  <c r="O93" i="15" s="1"/>
  <c r="B94" i="15" a="1"/>
  <c r="B94" i="15" s="1"/>
  <c r="C94" i="15" a="1"/>
  <c r="C94" i="15" s="1"/>
  <c r="G94" i="15" s="1"/>
  <c r="B95" i="15" a="1"/>
  <c r="B95" i="15" s="1"/>
  <c r="C95" i="15" a="1"/>
  <c r="C95" i="15" s="1"/>
  <c r="G95" i="15" s="1"/>
  <c r="B96" i="15" a="1"/>
  <c r="B96" i="15" s="1"/>
  <c r="C96" i="15" a="1"/>
  <c r="C96" i="15" s="1"/>
  <c r="M96" i="15" s="1"/>
  <c r="B97" i="15" a="1"/>
  <c r="B97" i="15" s="1"/>
  <c r="C97" i="15" a="1"/>
  <c r="C97" i="15" s="1"/>
  <c r="L97" i="15" s="1"/>
  <c r="B98" i="15" a="1"/>
  <c r="B98" i="15" s="1"/>
  <c r="C98" i="15" a="1"/>
  <c r="C98" i="15" s="1"/>
  <c r="F98" i="15" s="1"/>
  <c r="B99" i="15" a="1"/>
  <c r="B99" i="15" s="1"/>
  <c r="C99" i="15" a="1"/>
  <c r="C99" i="15" s="1"/>
  <c r="F99" i="15" s="1"/>
  <c r="B100" i="15" a="1"/>
  <c r="B100" i="15" s="1"/>
  <c r="C100" i="15" a="1"/>
  <c r="C100" i="15" s="1"/>
  <c r="M100" i="15" s="1"/>
  <c r="B4" i="15" a="1"/>
  <c r="B4" i="15" s="1"/>
  <c r="C4" i="15" a="1"/>
  <c r="C4" i="15" s="1"/>
  <c r="F4" i="15" s="1"/>
  <c r="G4" i="15" s="1"/>
  <c r="B5" i="15" a="1"/>
  <c r="B5" i="15" s="1"/>
  <c r="C5" i="15" a="1"/>
  <c r="C5" i="15" s="1"/>
  <c r="B6" i="15" a="1"/>
  <c r="B6" i="15" s="1"/>
  <c r="C6" i="15" a="1"/>
  <c r="C6" i="15" s="1"/>
  <c r="B7" i="15" a="1"/>
  <c r="B7" i="15" s="1"/>
  <c r="C7" i="15" a="1"/>
  <c r="C7" i="15" s="1"/>
  <c r="D7" i="15" s="1"/>
  <c r="B8" i="15" a="1"/>
  <c r="B8" i="15" s="1"/>
  <c r="C8" i="15" a="1"/>
  <c r="C8" i="15" s="1"/>
  <c r="F8" i="15" s="1"/>
  <c r="B9" i="15" a="1"/>
  <c r="B9" i="15" s="1"/>
  <c r="C9" i="15" a="1"/>
  <c r="C9" i="15" s="1"/>
  <c r="H9" i="15" s="1"/>
  <c r="B10" i="15" a="1"/>
  <c r="B10" i="15" s="1"/>
  <c r="C10" i="15" a="1"/>
  <c r="C10" i="15" s="1"/>
  <c r="F10" i="15" s="1"/>
  <c r="B11" i="15" a="1"/>
  <c r="B11" i="15" s="1"/>
  <c r="C11" i="15" a="1"/>
  <c r="C11" i="15" s="1"/>
  <c r="F11" i="15" s="1"/>
  <c r="G11" i="15" s="1"/>
  <c r="B12" i="15" a="1"/>
  <c r="B12" i="15" s="1"/>
  <c r="C12" i="15" a="1"/>
  <c r="C12" i="15" s="1"/>
  <c r="L12" i="15" s="1"/>
  <c r="B13" i="15" a="1"/>
  <c r="B13" i="15" s="1"/>
  <c r="C13" i="15" a="1"/>
  <c r="C13" i="15" s="1"/>
  <c r="H13" i="15" s="1"/>
  <c r="B14" i="15" a="1"/>
  <c r="B14" i="15" s="1"/>
  <c r="C14" i="15" a="1"/>
  <c r="C14" i="15" s="1"/>
  <c r="L14" i="15" s="1"/>
  <c r="B15" i="15" a="1"/>
  <c r="B15" i="15" s="1"/>
  <c r="C15" i="15" a="1"/>
  <c r="C15" i="15" s="1"/>
  <c r="J15" i="15" s="1"/>
  <c r="K15" i="15" s="1"/>
  <c r="B16" i="15" a="1"/>
  <c r="B16" i="15" s="1"/>
  <c r="C16" i="15" a="1"/>
  <c r="C16" i="15" s="1"/>
  <c r="D16" i="15" s="1"/>
  <c r="E16" i="15" s="1"/>
  <c r="B17" i="15" a="1"/>
  <c r="B17" i="15" s="1"/>
  <c r="C17" i="15" a="1"/>
  <c r="C17" i="15" s="1"/>
  <c r="L17" i="15" s="1"/>
  <c r="B18" i="15" a="1"/>
  <c r="B18" i="15" s="1"/>
  <c r="C18" i="15" a="1"/>
  <c r="C18" i="15" s="1"/>
  <c r="H18" i="15" s="1"/>
  <c r="B19" i="15" a="1"/>
  <c r="B19" i="15" s="1"/>
  <c r="C19" i="15" a="1"/>
  <c r="C19" i="15" s="1"/>
  <c r="B20" i="15" a="1"/>
  <c r="B20" i="15" s="1"/>
  <c r="C20" i="15" a="1"/>
  <c r="C20" i="15" s="1"/>
  <c r="B21" i="15" a="1"/>
  <c r="B21" i="15" s="1"/>
  <c r="C21" i="15" a="1"/>
  <c r="C21" i="15" s="1"/>
  <c r="F21" i="15" s="1"/>
  <c r="G21" i="15" s="1"/>
  <c r="B22" i="15" a="1"/>
  <c r="B22" i="15" s="1"/>
  <c r="C22" i="15" a="1"/>
  <c r="C22" i="15" s="1"/>
  <c r="D22" i="15" s="1"/>
  <c r="E22" i="15" s="1"/>
  <c r="B23" i="15" a="1"/>
  <c r="B23" i="15" s="1"/>
  <c r="C23" i="15" a="1"/>
  <c r="C23" i="15" s="1"/>
  <c r="F23" i="15" s="1"/>
  <c r="G23" i="15" s="1"/>
  <c r="B24" i="15" a="1"/>
  <c r="B24" i="15" s="1"/>
  <c r="C24" i="15" a="1"/>
  <c r="C24" i="15" s="1"/>
  <c r="F24" i="15" s="1"/>
  <c r="B25" i="15" a="1"/>
  <c r="B25" i="15" s="1"/>
  <c r="C25" i="15" a="1"/>
  <c r="C25" i="15" s="1"/>
  <c r="L25" i="15" s="1"/>
  <c r="B26" i="15" a="1"/>
  <c r="B26" i="15" s="1"/>
  <c r="C26" i="15" a="1"/>
  <c r="C26" i="15" s="1"/>
  <c r="L26" i="15" s="1"/>
  <c r="B27" i="15" a="1"/>
  <c r="B27" i="15" s="1"/>
  <c r="C27" i="15" a="1"/>
  <c r="C27" i="15" s="1"/>
  <c r="B28" i="15" a="1"/>
  <c r="B28" i="15" s="1"/>
  <c r="C28" i="15" a="1"/>
  <c r="C28" i="15" s="1"/>
  <c r="L28" i="15" s="1"/>
  <c r="B29" i="15" a="1"/>
  <c r="B29" i="15" s="1"/>
  <c r="C29" i="15" a="1"/>
  <c r="C29" i="15" s="1"/>
  <c r="L29" i="15" s="1"/>
  <c r="B30" i="15" a="1"/>
  <c r="B30" i="15" s="1"/>
  <c r="C30" i="15" a="1"/>
  <c r="C30" i="15" s="1"/>
  <c r="J30" i="15" s="1"/>
  <c r="K30" i="15" s="1"/>
  <c r="C3" i="15" a="1"/>
  <c r="C3" i="15" s="1"/>
  <c r="F3" i="15" s="1"/>
  <c r="B3" i="15" a="1"/>
  <c r="B3" i="15" s="1"/>
  <c r="K9" i="3" a="1"/>
  <c r="H6" i="10" a="1"/>
  <c r="K18" i="10" a="1"/>
  <c r="H12" i="3" a="1"/>
  <c r="H9" i="9" a="1"/>
  <c r="H18" i="9" a="1"/>
  <c r="B9" i="3" a="1"/>
  <c r="B12" i="9" a="1"/>
  <c r="K4" i="10" a="1"/>
  <c r="K6" i="10" a="1"/>
  <c r="B9" i="10" a="1"/>
  <c r="H12" i="9" a="1"/>
  <c r="H15" i="3" a="1"/>
  <c r="E6" i="9" a="1"/>
  <c r="K4" i="9" a="1"/>
  <c r="K15" i="3" a="1"/>
  <c r="H4" i="9" a="1"/>
  <c r="E15" i="9" a="1"/>
  <c r="E18" i="9" a="1"/>
  <c r="K6" i="9" a="1"/>
  <c r="B18" i="9" a="1"/>
  <c r="E15" i="3" a="1"/>
  <c r="H4" i="10" a="1"/>
  <c r="E18" i="3" a="1"/>
  <c r="H18" i="10" a="1"/>
  <c r="E12" i="10" a="1"/>
  <c r="E18" i="10" a="1"/>
  <c r="H15" i="10" a="1"/>
  <c r="B15" i="9" a="1"/>
  <c r="H4" i="3" a="1"/>
  <c r="B12" i="10" a="1"/>
  <c r="B18" i="10" a="1"/>
  <c r="E6" i="3" a="1"/>
  <c r="K4" i="3" a="1"/>
  <c r="H18" i="3" a="1"/>
  <c r="K15" i="9" a="1"/>
  <c r="B15" i="3" a="1"/>
  <c r="B6" i="9" a="1"/>
  <c r="K12" i="3" a="1"/>
  <c r="E4" i="3" a="1"/>
  <c r="K18" i="9" a="1"/>
  <c r="B15" i="10" a="1"/>
  <c r="B18" i="3" a="1"/>
  <c r="H6" i="3" a="1"/>
  <c r="K9" i="9" a="1"/>
  <c r="E4" i="10" a="1"/>
  <c r="H15" i="9" a="1"/>
  <c r="B4" i="9" a="1"/>
  <c r="E12" i="9" a="1"/>
  <c r="E15" i="10" a="1"/>
  <c r="E9" i="3" a="1"/>
  <c r="K6" i="3" a="1"/>
  <c r="B4" i="10" a="1"/>
  <c r="K12" i="10" a="1"/>
  <c r="E9" i="10" a="1"/>
  <c r="E9" i="9" a="1"/>
  <c r="K9" i="10" a="1"/>
  <c r="E4" i="9" a="1"/>
  <c r="B9" i="9" a="1"/>
  <c r="E12" i="3" a="1"/>
  <c r="K12" i="9" a="1"/>
  <c r="B6" i="10" a="1"/>
  <c r="B12" i="3" a="1"/>
  <c r="H6" i="9" a="1"/>
  <c r="B4" i="3" a="1"/>
  <c r="E6" i="10" a="1"/>
  <c r="H12" i="10" a="1"/>
  <c r="B6" i="3" a="1"/>
  <c r="K18" i="3" a="1"/>
  <c r="K15" i="10" a="1"/>
  <c r="H9" i="3" a="1"/>
  <c r="H9" i="10" a="1"/>
  <c r="G26" i="3" l="1"/>
  <c r="H26" i="9"/>
  <c r="G26" i="9"/>
  <c r="J7" i="15"/>
  <c r="K7" i="15" s="1"/>
  <c r="I73" i="8" s="1"/>
  <c r="H4" i="15"/>
  <c r="I4" i="15" s="1"/>
  <c r="H26" i="3"/>
  <c r="H3" i="15"/>
  <c r="I3" i="15" s="1"/>
  <c r="G5" i="8" s="1"/>
  <c r="E27" i="3"/>
  <c r="M27" i="9"/>
  <c r="M27" i="3"/>
  <c r="G3" i="13"/>
  <c r="F27" i="9"/>
  <c r="I26" i="10"/>
  <c r="F3" i="13"/>
  <c r="E27" i="9"/>
  <c r="H26" i="10"/>
  <c r="G8" i="8" s="1"/>
  <c r="D2" i="13"/>
  <c r="L27" i="9"/>
  <c r="D27" i="9"/>
  <c r="F26" i="9"/>
  <c r="I26" i="3"/>
  <c r="H11" i="8" s="1"/>
  <c r="G27" i="3"/>
  <c r="G26" i="10"/>
  <c r="J5" i="15"/>
  <c r="K5" i="15" s="1"/>
  <c r="D5" i="15"/>
  <c r="E5" i="15" s="1"/>
  <c r="H4" i="13"/>
  <c r="E3" i="13"/>
  <c r="E5" i="13"/>
  <c r="D5" i="13"/>
  <c r="C68" i="8" s="1"/>
  <c r="K27" i="9"/>
  <c r="M26" i="9"/>
  <c r="L14" i="8" s="1"/>
  <c r="E26" i="9"/>
  <c r="D14" i="8" s="1"/>
  <c r="J26" i="3"/>
  <c r="I11" i="8" s="1"/>
  <c r="H27" i="3"/>
  <c r="M27" i="10"/>
  <c r="F26" i="10"/>
  <c r="G3" i="15"/>
  <c r="J4" i="15"/>
  <c r="K4" i="15" s="1"/>
  <c r="I22" i="8" s="1"/>
  <c r="F7" i="15"/>
  <c r="G7" i="15" s="1"/>
  <c r="D4" i="15"/>
  <c r="E4" i="15" s="1"/>
  <c r="C22" i="8" s="1"/>
  <c r="G4" i="13"/>
  <c r="D3" i="13"/>
  <c r="J6" i="15"/>
  <c r="K6" i="15" s="1"/>
  <c r="I56" i="8" s="1"/>
  <c r="J27" i="9"/>
  <c r="L26" i="9"/>
  <c r="K14" i="8" s="1"/>
  <c r="D26" i="9"/>
  <c r="C14" i="8" s="1"/>
  <c r="K26" i="3"/>
  <c r="J11" i="8" s="1"/>
  <c r="I27" i="3"/>
  <c r="M26" i="10"/>
  <c r="L8" i="8" s="1"/>
  <c r="E26" i="10"/>
  <c r="D8" i="8" s="1"/>
  <c r="J3" i="15"/>
  <c r="K3" i="15" s="1"/>
  <c r="I5" i="8" s="1"/>
  <c r="F6" i="15"/>
  <c r="G6" i="15" s="1"/>
  <c r="D3" i="15"/>
  <c r="E3" i="15" s="1"/>
  <c r="C5" i="8" s="1"/>
  <c r="F4" i="13"/>
  <c r="H2" i="13"/>
  <c r="G17" i="8" s="1"/>
  <c r="I27" i="9"/>
  <c r="K26" i="9"/>
  <c r="J14" i="8" s="1"/>
  <c r="D26" i="3"/>
  <c r="C11" i="8" s="1"/>
  <c r="L26" i="3"/>
  <c r="K11" i="8" s="1"/>
  <c r="J27" i="3"/>
  <c r="L26" i="10"/>
  <c r="K8" i="8" s="1"/>
  <c r="D26" i="10"/>
  <c r="L5" i="15"/>
  <c r="M5" i="15" s="1"/>
  <c r="H7" i="15"/>
  <c r="I7" i="15" s="1"/>
  <c r="F5" i="15"/>
  <c r="G5" i="15" s="1"/>
  <c r="H5" i="13"/>
  <c r="E4" i="13"/>
  <c r="G2" i="13"/>
  <c r="F17" i="8" s="1"/>
  <c r="F27" i="3"/>
  <c r="D6" i="15"/>
  <c r="E6" i="15" s="1"/>
  <c r="C56" i="8" s="1"/>
  <c r="H27" i="9"/>
  <c r="J26" i="9"/>
  <c r="I14" i="8" s="1"/>
  <c r="E26" i="3"/>
  <c r="M26" i="3"/>
  <c r="L11" i="8" s="1"/>
  <c r="K27" i="3"/>
  <c r="K26" i="10"/>
  <c r="L4" i="15"/>
  <c r="M4" i="15" s="1"/>
  <c r="K22" i="8" s="1"/>
  <c r="H6" i="15"/>
  <c r="I6" i="15" s="1"/>
  <c r="G5" i="13"/>
  <c r="F2" i="13"/>
  <c r="E17" i="8" s="1"/>
  <c r="D27" i="3"/>
  <c r="L3" i="15"/>
  <c r="M3" i="15" s="1"/>
  <c r="K5" i="8" s="1"/>
  <c r="H5" i="15"/>
  <c r="I5" i="15" s="1"/>
  <c r="M40" i="15"/>
  <c r="M32" i="15"/>
  <c r="M88" i="15"/>
  <c r="M72" i="15"/>
  <c r="M56" i="15"/>
  <c r="I91" i="3"/>
  <c r="M95" i="15"/>
  <c r="M87" i="15"/>
  <c r="M71" i="15"/>
  <c r="M63" i="15"/>
  <c r="M31" i="15"/>
  <c r="M94" i="15"/>
  <c r="M86" i="15"/>
  <c r="M78" i="15"/>
  <c r="M70" i="15"/>
  <c r="M62" i="15"/>
  <c r="M46" i="15"/>
  <c r="M38" i="15"/>
  <c r="M14" i="15"/>
  <c r="E22" i="8"/>
  <c r="M93" i="15"/>
  <c r="M69" i="15"/>
  <c r="M61" i="15"/>
  <c r="M45" i="15"/>
  <c r="M37" i="15"/>
  <c r="M29" i="15"/>
  <c r="M92" i="15"/>
  <c r="M84" i="15"/>
  <c r="M60" i="15"/>
  <c r="M52" i="15"/>
  <c r="M44" i="15"/>
  <c r="M28" i="15"/>
  <c r="M12" i="15"/>
  <c r="L74" i="3"/>
  <c r="M99" i="15"/>
  <c r="M91" i="15"/>
  <c r="M83" i="15"/>
  <c r="M67" i="15"/>
  <c r="M59" i="15"/>
  <c r="M51" i="15"/>
  <c r="M43" i="15"/>
  <c r="M98" i="15"/>
  <c r="M90" i="15"/>
  <c r="M82" i="15"/>
  <c r="M58" i="15"/>
  <c r="M50" i="15"/>
  <c r="M42" i="15"/>
  <c r="M26" i="15"/>
  <c r="M97" i="15"/>
  <c r="M89" i="15"/>
  <c r="M81" i="15"/>
  <c r="M73" i="15"/>
  <c r="M65" i="15"/>
  <c r="M49" i="15"/>
  <c r="M41" i="15"/>
  <c r="M25" i="15"/>
  <c r="M17" i="15"/>
  <c r="A1554" i="8"/>
  <c r="A1469" i="8"/>
  <c r="A1095" i="8"/>
  <c r="A1129" i="8"/>
  <c r="A1146" i="8"/>
  <c r="A1163" i="8"/>
  <c r="A1299" i="8"/>
  <c r="A1180" i="8"/>
  <c r="A1367" i="8"/>
  <c r="A1333" i="8"/>
  <c r="A1112" i="8"/>
  <c r="A1214" i="8"/>
  <c r="A1231" i="8"/>
  <c r="A1418" i="8"/>
  <c r="A1197" i="8"/>
  <c r="A1401" i="8"/>
  <c r="A1350" i="8"/>
  <c r="A1282" i="8"/>
  <c r="A1316" i="8"/>
  <c r="A1452" i="8"/>
  <c r="A1384" i="8"/>
  <c r="A1503" i="8"/>
  <c r="A1537" i="8"/>
  <c r="A1673" i="8"/>
  <c r="A1605" i="8"/>
  <c r="A1588" i="8"/>
  <c r="A1486" i="8"/>
  <c r="A1571" i="8"/>
  <c r="A1639" i="8"/>
  <c r="A1656" i="8"/>
  <c r="A857" i="8"/>
  <c r="A551" i="8"/>
  <c r="A636" i="8"/>
  <c r="A602" i="8"/>
  <c r="A619" i="8"/>
  <c r="A568" i="8"/>
  <c r="A670" i="8"/>
  <c r="A959" i="8"/>
  <c r="A874" i="8"/>
  <c r="A738" i="8"/>
  <c r="A772" i="8"/>
  <c r="A585" i="8"/>
  <c r="A687" i="8"/>
  <c r="A704" i="8"/>
  <c r="A823" i="8"/>
  <c r="A653" i="8"/>
  <c r="A806" i="8"/>
  <c r="A891" i="8"/>
  <c r="A976" i="8"/>
  <c r="A755" i="8"/>
  <c r="A840" i="8"/>
  <c r="A789" i="8"/>
  <c r="A993" i="8"/>
  <c r="A1010" i="8"/>
  <c r="A1027" i="8"/>
  <c r="A1044" i="8"/>
  <c r="A1078" i="8"/>
  <c r="A908" i="8"/>
  <c r="A942" i="8"/>
  <c r="A1061" i="8"/>
  <c r="A925" i="8"/>
  <c r="A313" i="8"/>
  <c r="A330" i="8"/>
  <c r="A279" i="8"/>
  <c r="A449" i="8"/>
  <c r="A466" i="8"/>
  <c r="A483" i="8"/>
  <c r="A500" i="8"/>
  <c r="A534" i="8"/>
  <c r="A364" i="8"/>
  <c r="A398" i="8"/>
  <c r="A517" i="8"/>
  <c r="A415" i="8"/>
  <c r="A432" i="8"/>
  <c r="A347" i="8"/>
  <c r="A296" i="8"/>
  <c r="A381" i="8"/>
  <c r="A177" i="8"/>
  <c r="A194" i="8"/>
  <c r="A160" i="8"/>
  <c r="A228" i="8"/>
  <c r="A211" i="8"/>
  <c r="A245" i="8"/>
  <c r="A143" i="8"/>
  <c r="A262" i="8"/>
  <c r="A75" i="8"/>
  <c r="A92" i="8"/>
  <c r="A109" i="8"/>
  <c r="A126" i="8"/>
  <c r="A41" i="8"/>
  <c r="A24" i="8"/>
  <c r="D22" i="8"/>
  <c r="N90" i="3"/>
  <c r="F122" i="10"/>
  <c r="G39" i="3"/>
  <c r="K91" i="3"/>
  <c r="F71" i="9"/>
  <c r="I93" i="9"/>
  <c r="N90" i="10"/>
  <c r="L44" i="10"/>
  <c r="K44" i="10"/>
  <c r="J106" i="9"/>
  <c r="D42" i="10"/>
  <c r="J98" i="10"/>
  <c r="H61" i="3"/>
  <c r="M83" i="3"/>
  <c r="N65" i="9"/>
  <c r="D92" i="9"/>
  <c r="H94" i="9"/>
  <c r="D100" i="9"/>
  <c r="L106" i="9"/>
  <c r="F98" i="10"/>
  <c r="J42" i="10"/>
  <c r="I66" i="10"/>
  <c r="D120" i="10"/>
  <c r="M61" i="3"/>
  <c r="L64" i="3"/>
  <c r="E63" i="9"/>
  <c r="H92" i="9"/>
  <c r="J94" i="9"/>
  <c r="H65" i="9"/>
  <c r="M42" i="10"/>
  <c r="F74" i="3"/>
  <c r="N86" i="9"/>
  <c r="J86" i="10"/>
  <c r="I36" i="3"/>
  <c r="D88" i="3"/>
  <c r="G99" i="3"/>
  <c r="M64" i="9"/>
  <c r="I73" i="9"/>
  <c r="N76" i="9"/>
  <c r="E93" i="9"/>
  <c r="K107" i="9"/>
  <c r="N88" i="3"/>
  <c r="M70" i="9"/>
  <c r="L70" i="9"/>
  <c r="K37" i="10"/>
  <c r="H37" i="10"/>
  <c r="L49" i="10"/>
  <c r="I49" i="10"/>
  <c r="E75" i="10"/>
  <c r="M75" i="10"/>
  <c r="M33" i="3"/>
  <c r="I33" i="3"/>
  <c r="L121" i="3"/>
  <c r="M121" i="3"/>
  <c r="G121" i="3"/>
  <c r="K95" i="10"/>
  <c r="G95" i="10"/>
  <c r="L67" i="3"/>
  <c r="G67" i="3"/>
  <c r="K116" i="9"/>
  <c r="F116" i="9"/>
  <c r="D116" i="9"/>
  <c r="L113" i="10"/>
  <c r="I113" i="10"/>
  <c r="E113" i="10"/>
  <c r="J39" i="10"/>
  <c r="M50" i="10"/>
  <c r="H53" i="10"/>
  <c r="I55" i="10"/>
  <c r="J74" i="10"/>
  <c r="G36" i="3"/>
  <c r="G81" i="3"/>
  <c r="K95" i="3"/>
  <c r="I105" i="3"/>
  <c r="I48" i="9"/>
  <c r="E71" i="9"/>
  <c r="M48" i="9"/>
  <c r="I58" i="10"/>
  <c r="F60" i="10"/>
  <c r="I63" i="10"/>
  <c r="E69" i="10"/>
  <c r="I41" i="3"/>
  <c r="F50" i="3"/>
  <c r="D78" i="3"/>
  <c r="H100" i="3"/>
  <c r="L112" i="3"/>
  <c r="I41" i="9"/>
  <c r="E101" i="9"/>
  <c r="D122" i="9"/>
  <c r="F47" i="10"/>
  <c r="E54" i="10"/>
  <c r="L58" i="10"/>
  <c r="N60" i="10"/>
  <c r="L69" i="10"/>
  <c r="H80" i="10"/>
  <c r="F92" i="10"/>
  <c r="F106" i="10"/>
  <c r="J41" i="3"/>
  <c r="F78" i="3"/>
  <c r="D80" i="3"/>
  <c r="E82" i="3"/>
  <c r="I51" i="9"/>
  <c r="H67" i="9"/>
  <c r="I101" i="9"/>
  <c r="H118" i="9"/>
  <c r="I8" i="8"/>
  <c r="M54" i="10"/>
  <c r="D98" i="10"/>
  <c r="M41" i="3"/>
  <c r="E74" i="3"/>
  <c r="I78" i="3"/>
  <c r="J82" i="3"/>
  <c r="H49" i="9"/>
  <c r="E77" i="9"/>
  <c r="J86" i="9"/>
  <c r="J118" i="9"/>
  <c r="N78" i="3"/>
  <c r="M82" i="3"/>
  <c r="N118" i="9"/>
  <c r="F27" i="10"/>
  <c r="L34" i="10"/>
  <c r="D74" i="10"/>
  <c r="M46" i="10"/>
  <c r="D50" i="10"/>
  <c r="F74" i="10"/>
  <c r="G95" i="3"/>
  <c r="M97" i="3"/>
  <c r="F78" i="9"/>
  <c r="H100" i="9"/>
  <c r="M107" i="9"/>
  <c r="K62" i="10"/>
  <c r="E62" i="10"/>
  <c r="D62" i="10"/>
  <c r="N62" i="10"/>
  <c r="M62" i="10"/>
  <c r="L62" i="10"/>
  <c r="I62" i="10"/>
  <c r="H62" i="10"/>
  <c r="F62" i="10"/>
  <c r="L121" i="10"/>
  <c r="E121" i="10"/>
  <c r="M121" i="10"/>
  <c r="I121" i="10"/>
  <c r="K29" i="10"/>
  <c r="H29" i="10"/>
  <c r="G29" i="10"/>
  <c r="F29" i="10"/>
  <c r="E29" i="10"/>
  <c r="D29" i="10"/>
  <c r="L29" i="10"/>
  <c r="K33" i="10"/>
  <c r="H33" i="10"/>
  <c r="L33" i="10"/>
  <c r="K87" i="3"/>
  <c r="M87" i="3"/>
  <c r="E87" i="3"/>
  <c r="G18" i="13"/>
  <c r="D18" i="13"/>
  <c r="E18" i="13"/>
  <c r="H18" i="13"/>
  <c r="F18" i="13"/>
  <c r="K73" i="10"/>
  <c r="M73" i="10"/>
  <c r="I73" i="10"/>
  <c r="G73" i="10"/>
  <c r="E73" i="10"/>
  <c r="L36" i="10"/>
  <c r="K36" i="10"/>
  <c r="F36" i="10"/>
  <c r="D36" i="10"/>
  <c r="K45" i="10"/>
  <c r="E45" i="10"/>
  <c r="D45" i="10"/>
  <c r="M45" i="10"/>
  <c r="L45" i="10"/>
  <c r="H45" i="10"/>
  <c r="G45" i="10"/>
  <c r="K64" i="10"/>
  <c r="J64" i="10"/>
  <c r="G64" i="10"/>
  <c r="F73" i="13"/>
  <c r="I73" i="13"/>
  <c r="E73" i="13"/>
  <c r="H73" i="13"/>
  <c r="G73" i="13"/>
  <c r="D73" i="13"/>
  <c r="F53" i="13"/>
  <c r="G53" i="13"/>
  <c r="D53" i="13"/>
  <c r="H53" i="13"/>
  <c r="E53" i="13"/>
  <c r="I53" i="13"/>
  <c r="K41" i="10"/>
  <c r="H41" i="10"/>
  <c r="D41" i="10"/>
  <c r="L41" i="10"/>
  <c r="L52" i="10"/>
  <c r="K52" i="10"/>
  <c r="F52" i="10"/>
  <c r="M59" i="10"/>
  <c r="J59" i="10"/>
  <c r="E59" i="10"/>
  <c r="N59" i="10"/>
  <c r="K61" i="10"/>
  <c r="H61" i="10"/>
  <c r="G61" i="10"/>
  <c r="E61" i="10"/>
  <c r="D61" i="10"/>
  <c r="M61" i="10"/>
  <c r="L61" i="10"/>
  <c r="K70" i="10"/>
  <c r="E70" i="10"/>
  <c r="D70" i="10"/>
  <c r="N70" i="10"/>
  <c r="M70" i="10"/>
  <c r="L70" i="10"/>
  <c r="I70" i="10"/>
  <c r="H70" i="10"/>
  <c r="F70" i="10"/>
  <c r="M81" i="10"/>
  <c r="K81" i="10"/>
  <c r="I81" i="10"/>
  <c r="E81" i="10"/>
  <c r="L65" i="10"/>
  <c r="I65" i="10"/>
  <c r="D65" i="10"/>
  <c r="H15" i="13"/>
  <c r="F15" i="13"/>
  <c r="G15" i="13"/>
  <c r="E11" i="13"/>
  <c r="F11" i="13"/>
  <c r="I95" i="13"/>
  <c r="H95" i="13"/>
  <c r="I91" i="13"/>
  <c r="H91" i="13"/>
  <c r="D91" i="13"/>
  <c r="I87" i="13"/>
  <c r="H87" i="13"/>
  <c r="G87" i="13"/>
  <c r="I83" i="13"/>
  <c r="H83" i="13"/>
  <c r="F83" i="13"/>
  <c r="D83" i="13"/>
  <c r="G83" i="13"/>
  <c r="I79" i="13"/>
  <c r="H79" i="13"/>
  <c r="E79" i="13"/>
  <c r="F79" i="13"/>
  <c r="I75" i="13"/>
  <c r="H75" i="13"/>
  <c r="D75" i="13"/>
  <c r="G75" i="13"/>
  <c r="E75" i="13"/>
  <c r="E48" i="13"/>
  <c r="H48" i="13"/>
  <c r="I48" i="13"/>
  <c r="E44" i="13"/>
  <c r="G44" i="13"/>
  <c r="H44" i="13"/>
  <c r="E40" i="13"/>
  <c r="F40" i="13"/>
  <c r="I40" i="13"/>
  <c r="G40" i="13"/>
  <c r="E36" i="13"/>
  <c r="I36" i="13"/>
  <c r="H36" i="13"/>
  <c r="F36" i="13"/>
  <c r="D36" i="13"/>
  <c r="E32" i="13"/>
  <c r="D32" i="13"/>
  <c r="G32" i="13"/>
  <c r="E37" i="10"/>
  <c r="F44" i="10"/>
  <c r="F46" i="10"/>
  <c r="G75" i="10"/>
  <c r="H94" i="10"/>
  <c r="K99" i="10"/>
  <c r="G116" i="10"/>
  <c r="N116" i="10"/>
  <c r="C17" i="8"/>
  <c r="D19" i="13"/>
  <c r="D95" i="13"/>
  <c r="D84" i="13"/>
  <c r="D63" i="13"/>
  <c r="D52" i="13"/>
  <c r="D40" i="13"/>
  <c r="E31" i="13"/>
  <c r="E61" i="13"/>
  <c r="E74" i="13"/>
  <c r="F32" i="13"/>
  <c r="F48" i="13"/>
  <c r="F66" i="13"/>
  <c r="F84" i="13"/>
  <c r="F99" i="13"/>
  <c r="G80" i="13"/>
  <c r="H61" i="13"/>
  <c r="H77" i="13"/>
  <c r="E27" i="13"/>
  <c r="H23" i="13"/>
  <c r="G19" i="13"/>
  <c r="E16" i="13"/>
  <c r="H11" i="13"/>
  <c r="H7" i="13"/>
  <c r="I86" i="13"/>
  <c r="I70" i="13"/>
  <c r="I34" i="13"/>
  <c r="L44" i="3"/>
  <c r="H44" i="3"/>
  <c r="D44" i="3"/>
  <c r="M44" i="3"/>
  <c r="L53" i="3"/>
  <c r="E53" i="3"/>
  <c r="I53" i="3"/>
  <c r="H53" i="3"/>
  <c r="F53" i="3"/>
  <c r="M53" i="3"/>
  <c r="G53" i="3"/>
  <c r="D73" i="3"/>
  <c r="M73" i="3"/>
  <c r="L73" i="3"/>
  <c r="K73" i="3"/>
  <c r="I73" i="3"/>
  <c r="E73" i="3"/>
  <c r="H117" i="3"/>
  <c r="I117" i="3"/>
  <c r="G117" i="3"/>
  <c r="E117" i="3"/>
  <c r="M117" i="3"/>
  <c r="J40" i="9"/>
  <c r="K40" i="9"/>
  <c r="G40" i="9"/>
  <c r="F40" i="9"/>
  <c r="E40" i="9"/>
  <c r="D40" i="9"/>
  <c r="H40" i="9"/>
  <c r="M40" i="9"/>
  <c r="H26" i="13"/>
  <c r="D26" i="13"/>
  <c r="E26" i="13"/>
  <c r="E22" i="13"/>
  <c r="G22" i="13"/>
  <c r="H22" i="13"/>
  <c r="I71" i="13"/>
  <c r="H71" i="13"/>
  <c r="F71" i="13"/>
  <c r="I67" i="13"/>
  <c r="H67" i="13"/>
  <c r="D67" i="13"/>
  <c r="I63" i="13"/>
  <c r="H63" i="13"/>
  <c r="I59" i="13"/>
  <c r="H59" i="13"/>
  <c r="D59" i="13"/>
  <c r="I55" i="13"/>
  <c r="H55" i="13"/>
  <c r="G55" i="13"/>
  <c r="D27" i="10"/>
  <c r="G37" i="10"/>
  <c r="G44" i="10"/>
  <c r="I46" i="10"/>
  <c r="D49" i="10"/>
  <c r="F63" i="10"/>
  <c r="D66" i="10"/>
  <c r="H69" i="10"/>
  <c r="K75" i="10"/>
  <c r="F86" i="10"/>
  <c r="N94" i="10"/>
  <c r="D116" i="10"/>
  <c r="D7" i="13"/>
  <c r="D93" i="13"/>
  <c r="D72" i="13"/>
  <c r="D50" i="13"/>
  <c r="E34" i="13"/>
  <c r="E49" i="13"/>
  <c r="E62" i="13"/>
  <c r="E77" i="13"/>
  <c r="E91" i="13"/>
  <c r="F52" i="13"/>
  <c r="F67" i="13"/>
  <c r="G48" i="13"/>
  <c r="G67" i="13"/>
  <c r="G81" i="13"/>
  <c r="H45" i="13"/>
  <c r="H81" i="13"/>
  <c r="H96" i="13"/>
  <c r="F23" i="13"/>
  <c r="E15" i="13"/>
  <c r="G11" i="13"/>
  <c r="F7" i="13"/>
  <c r="I66" i="13"/>
  <c r="I52" i="13"/>
  <c r="I33" i="13"/>
  <c r="K40" i="3"/>
  <c r="L40" i="3"/>
  <c r="H40" i="3"/>
  <c r="D40" i="3"/>
  <c r="F40" i="3"/>
  <c r="G51" i="3"/>
  <c r="L51" i="3"/>
  <c r="D51" i="3"/>
  <c r="G73" i="3"/>
  <c r="F10" i="13"/>
  <c r="G10" i="13"/>
  <c r="D10" i="13"/>
  <c r="H10" i="13"/>
  <c r="G6" i="13"/>
  <c r="F6" i="13"/>
  <c r="G94" i="13"/>
  <c r="F94" i="13"/>
  <c r="D94" i="13"/>
  <c r="G90" i="13"/>
  <c r="H90" i="13"/>
  <c r="E90" i="13"/>
  <c r="I90" i="13"/>
  <c r="F90" i="13"/>
  <c r="G86" i="13"/>
  <c r="H86" i="13"/>
  <c r="E86" i="13"/>
  <c r="D86" i="13"/>
  <c r="G82" i="13"/>
  <c r="F82" i="13"/>
  <c r="I82" i="13"/>
  <c r="G78" i="13"/>
  <c r="I78" i="13"/>
  <c r="H78" i="13"/>
  <c r="D78" i="13"/>
  <c r="I51" i="13"/>
  <c r="H51" i="13"/>
  <c r="F51" i="13"/>
  <c r="D51" i="13"/>
  <c r="G51" i="13"/>
  <c r="I47" i="13"/>
  <c r="H47" i="13"/>
  <c r="E47" i="13"/>
  <c r="F47" i="13"/>
  <c r="I43" i="13"/>
  <c r="H43" i="13"/>
  <c r="G43" i="13"/>
  <c r="E43" i="13"/>
  <c r="I39" i="13"/>
  <c r="H39" i="13"/>
  <c r="F39" i="13"/>
  <c r="I35" i="13"/>
  <c r="H35" i="13"/>
  <c r="I31" i="13"/>
  <c r="H31" i="13"/>
  <c r="L105" i="10"/>
  <c r="I105" i="10"/>
  <c r="D6" i="13"/>
  <c r="D81" i="13"/>
  <c r="D71" i="13"/>
  <c r="D60" i="13"/>
  <c r="D49" i="13"/>
  <c r="D37" i="13"/>
  <c r="E35" i="13"/>
  <c r="E50" i="13"/>
  <c r="E63" i="13"/>
  <c r="E78" i="13"/>
  <c r="F35" i="13"/>
  <c r="F87" i="13"/>
  <c r="G35" i="13"/>
  <c r="G49" i="13"/>
  <c r="G68" i="13"/>
  <c r="G84" i="13"/>
  <c r="H30" i="13"/>
  <c r="H49" i="13"/>
  <c r="H64" i="13"/>
  <c r="H82" i="13"/>
  <c r="H98" i="13"/>
  <c r="G26" i="13"/>
  <c r="F22" i="13"/>
  <c r="G14" i="13"/>
  <c r="E7" i="13"/>
  <c r="I98" i="13"/>
  <c r="I84" i="13"/>
  <c r="I49" i="13"/>
  <c r="I32" i="13"/>
  <c r="J38" i="3"/>
  <c r="D38" i="3"/>
  <c r="G38" i="3"/>
  <c r="M58" i="3"/>
  <c r="N58" i="3"/>
  <c r="J98" i="3"/>
  <c r="F98" i="3"/>
  <c r="L28" i="9"/>
  <c r="M28" i="9"/>
  <c r="I28" i="9"/>
  <c r="E28" i="9"/>
  <c r="F29" i="13"/>
  <c r="H29" i="13"/>
  <c r="D29" i="13"/>
  <c r="H25" i="13"/>
  <c r="E25" i="13"/>
  <c r="F25" i="13"/>
  <c r="E21" i="13"/>
  <c r="D21" i="13"/>
  <c r="G70" i="13"/>
  <c r="D70" i="13"/>
  <c r="G62" i="13"/>
  <c r="F62" i="13"/>
  <c r="D62" i="13"/>
  <c r="G58" i="13"/>
  <c r="H58" i="13"/>
  <c r="E58" i="13"/>
  <c r="I58" i="13"/>
  <c r="F58" i="13"/>
  <c r="G54" i="13"/>
  <c r="H54" i="13"/>
  <c r="E54" i="13"/>
  <c r="D54" i="13"/>
  <c r="I27" i="10"/>
  <c r="D30" i="10"/>
  <c r="J35" i="10"/>
  <c r="L37" i="10"/>
  <c r="G48" i="10"/>
  <c r="F54" i="10"/>
  <c r="N55" i="10"/>
  <c r="I57" i="10"/>
  <c r="M66" i="10"/>
  <c r="F68" i="10"/>
  <c r="L74" i="10"/>
  <c r="J80" i="10"/>
  <c r="D84" i="10"/>
  <c r="E85" i="10"/>
  <c r="D88" i="10"/>
  <c r="E89" i="10"/>
  <c r="L98" i="10"/>
  <c r="H100" i="10"/>
  <c r="E105" i="10"/>
  <c r="G107" i="10"/>
  <c r="N114" i="10"/>
  <c r="H116" i="10"/>
  <c r="D25" i="13"/>
  <c r="D15" i="13"/>
  <c r="D90" i="13"/>
  <c r="D69" i="13"/>
  <c r="D58" i="13"/>
  <c r="D48" i="13"/>
  <c r="D35" i="13"/>
  <c r="E38" i="13"/>
  <c r="E51" i="13"/>
  <c r="E66" i="13"/>
  <c r="E81" i="13"/>
  <c r="E94" i="13"/>
  <c r="F55" i="13"/>
  <c r="F74" i="13"/>
  <c r="F88" i="13"/>
  <c r="G36" i="13"/>
  <c r="G52" i="13"/>
  <c r="G88" i="13"/>
  <c r="H32" i="13"/>
  <c r="H66" i="13"/>
  <c r="H84" i="13"/>
  <c r="G29" i="13"/>
  <c r="F26" i="13"/>
  <c r="H21" i="13"/>
  <c r="F14" i="13"/>
  <c r="E10" i="13"/>
  <c r="H6" i="13"/>
  <c r="I81" i="13"/>
  <c r="K56" i="3"/>
  <c r="I56" i="3"/>
  <c r="H56" i="3"/>
  <c r="L56" i="3"/>
  <c r="F58" i="3"/>
  <c r="K103" i="3"/>
  <c r="G103" i="3"/>
  <c r="H109" i="3"/>
  <c r="M109" i="3"/>
  <c r="I109" i="3"/>
  <c r="G109" i="3"/>
  <c r="E109" i="3"/>
  <c r="G17" i="13"/>
  <c r="H17" i="13"/>
  <c r="H13" i="13"/>
  <c r="E13" i="13"/>
  <c r="G13" i="13"/>
  <c r="D13" i="13"/>
  <c r="F97" i="13"/>
  <c r="G97" i="13"/>
  <c r="H97" i="13"/>
  <c r="E97" i="13"/>
  <c r="F93" i="13"/>
  <c r="I93" i="13"/>
  <c r="G93" i="13"/>
  <c r="F89" i="13"/>
  <c r="I89" i="13"/>
  <c r="H89" i="13"/>
  <c r="F85" i="13"/>
  <c r="G85" i="13"/>
  <c r="G50" i="13"/>
  <c r="F50" i="13"/>
  <c r="I50" i="13"/>
  <c r="G46" i="13"/>
  <c r="D46" i="13"/>
  <c r="I46" i="13"/>
  <c r="H46" i="13"/>
  <c r="G42" i="13"/>
  <c r="D42" i="13"/>
  <c r="G38" i="13"/>
  <c r="D38" i="13"/>
  <c r="G34" i="13"/>
  <c r="D34" i="13"/>
  <c r="G30" i="13"/>
  <c r="D30" i="13"/>
  <c r="F30" i="13"/>
  <c r="L27" i="10"/>
  <c r="F30" i="10"/>
  <c r="E34" i="10"/>
  <c r="M35" i="10"/>
  <c r="M37" i="10"/>
  <c r="F39" i="10"/>
  <c r="J48" i="10"/>
  <c r="H54" i="10"/>
  <c r="L57" i="10"/>
  <c r="K68" i="10"/>
  <c r="F84" i="10"/>
  <c r="G85" i="10"/>
  <c r="H88" i="10"/>
  <c r="I89" i="10"/>
  <c r="K103" i="10"/>
  <c r="G103" i="10"/>
  <c r="M105" i="10"/>
  <c r="L116" i="10"/>
  <c r="D14" i="13"/>
  <c r="D89" i="13"/>
  <c r="D79" i="13"/>
  <c r="D47" i="13"/>
  <c r="E39" i="13"/>
  <c r="E67" i="13"/>
  <c r="E82" i="13"/>
  <c r="E95" i="13"/>
  <c r="F42" i="13"/>
  <c r="F56" i="13"/>
  <c r="F75" i="13"/>
  <c r="F91" i="13"/>
  <c r="G56" i="13"/>
  <c r="G71" i="13"/>
  <c r="G89" i="13"/>
  <c r="H34" i="13"/>
  <c r="H52" i="13"/>
  <c r="H70" i="13"/>
  <c r="H85" i="13"/>
  <c r="E29" i="13"/>
  <c r="G25" i="13"/>
  <c r="G21" i="13"/>
  <c r="F17" i="13"/>
  <c r="E14" i="13"/>
  <c r="H9" i="13"/>
  <c r="E6" i="13"/>
  <c r="I77" i="13"/>
  <c r="I62" i="13"/>
  <c r="I44" i="13"/>
  <c r="D5" i="8"/>
  <c r="H45" i="3"/>
  <c r="I45" i="3"/>
  <c r="F45" i="3"/>
  <c r="M45" i="3"/>
  <c r="E52" i="3"/>
  <c r="D56" i="3"/>
  <c r="G69" i="3"/>
  <c r="M69" i="3"/>
  <c r="I69" i="3"/>
  <c r="H69" i="3"/>
  <c r="F69" i="3"/>
  <c r="N69" i="3"/>
  <c r="E69" i="3"/>
  <c r="F28" i="13"/>
  <c r="E28" i="13"/>
  <c r="E24" i="13"/>
  <c r="E20" i="13"/>
  <c r="F20" i="13"/>
  <c r="H20" i="13"/>
  <c r="F69" i="13"/>
  <c r="H69" i="13"/>
  <c r="E69" i="13"/>
  <c r="I69" i="13"/>
  <c r="F65" i="13"/>
  <c r="G65" i="13"/>
  <c r="H65" i="13"/>
  <c r="E65" i="13"/>
  <c r="F61" i="13"/>
  <c r="I61" i="13"/>
  <c r="G61" i="13"/>
  <c r="F57" i="13"/>
  <c r="I57" i="13"/>
  <c r="H57" i="13"/>
  <c r="L30" i="10"/>
  <c r="J34" i="10"/>
  <c r="E42" i="10"/>
  <c r="E53" i="10"/>
  <c r="D60" i="10"/>
  <c r="L68" i="10"/>
  <c r="L82" i="10"/>
  <c r="H84" i="10"/>
  <c r="I85" i="10"/>
  <c r="J88" i="10"/>
  <c r="K89" i="10"/>
  <c r="D98" i="13"/>
  <c r="D88" i="13"/>
  <c r="D77" i="13"/>
  <c r="D66" i="13"/>
  <c r="D56" i="13"/>
  <c r="D44" i="13"/>
  <c r="D31" i="13"/>
  <c r="E41" i="13"/>
  <c r="E55" i="13"/>
  <c r="E70" i="13"/>
  <c r="E83" i="13"/>
  <c r="E98" i="13"/>
  <c r="F43" i="13"/>
  <c r="F59" i="13"/>
  <c r="F76" i="13"/>
  <c r="F95" i="13"/>
  <c r="G39" i="13"/>
  <c r="G57" i="13"/>
  <c r="G91" i="13"/>
  <c r="H38" i="13"/>
  <c r="H88" i="13"/>
  <c r="H28" i="13"/>
  <c r="H24" i="13"/>
  <c r="F21" i="13"/>
  <c r="E17" i="13"/>
  <c r="F13" i="13"/>
  <c r="G9" i="13"/>
  <c r="I94" i="13"/>
  <c r="I42" i="13"/>
  <c r="G43" i="3"/>
  <c r="L43" i="3"/>
  <c r="D43" i="3"/>
  <c r="M85" i="3"/>
  <c r="G85" i="3"/>
  <c r="K85" i="3"/>
  <c r="E85" i="3"/>
  <c r="I85" i="3"/>
  <c r="D80" i="9"/>
  <c r="L80" i="9"/>
  <c r="H16" i="13"/>
  <c r="F16" i="13"/>
  <c r="H12" i="13"/>
  <c r="G12" i="13"/>
  <c r="G8" i="13"/>
  <c r="E8" i="13"/>
  <c r="F8" i="13"/>
  <c r="E96" i="13"/>
  <c r="G96" i="13"/>
  <c r="E92" i="13"/>
  <c r="F92" i="13"/>
  <c r="E80" i="13"/>
  <c r="H80" i="13"/>
  <c r="I80" i="13"/>
  <c r="E76" i="13"/>
  <c r="G76" i="13"/>
  <c r="H76" i="13"/>
  <c r="F45" i="13"/>
  <c r="D45" i="13"/>
  <c r="F37" i="13"/>
  <c r="H37" i="13"/>
  <c r="E37" i="13"/>
  <c r="I37" i="13"/>
  <c r="F33" i="13"/>
  <c r="G33" i="13"/>
  <c r="H33" i="13"/>
  <c r="E33" i="13"/>
  <c r="I99" i="13"/>
  <c r="H99" i="13"/>
  <c r="D99" i="13"/>
  <c r="L84" i="10"/>
  <c r="N115" i="10"/>
  <c r="G115" i="10"/>
  <c r="D22" i="13"/>
  <c r="D11" i="13"/>
  <c r="D97" i="13"/>
  <c r="D87" i="13"/>
  <c r="D76" i="13"/>
  <c r="D65" i="13"/>
  <c r="D55" i="13"/>
  <c r="D43" i="13"/>
  <c r="D17" i="8"/>
  <c r="E42" i="13"/>
  <c r="E57" i="13"/>
  <c r="E71" i="13"/>
  <c r="E85" i="13"/>
  <c r="E99" i="13"/>
  <c r="F44" i="13"/>
  <c r="F63" i="13"/>
  <c r="F78" i="13"/>
  <c r="F96" i="13"/>
  <c r="G41" i="13"/>
  <c r="G59" i="13"/>
  <c r="G77" i="13"/>
  <c r="G92" i="13"/>
  <c r="H40" i="13"/>
  <c r="H56" i="13"/>
  <c r="H92" i="13"/>
  <c r="G28" i="13"/>
  <c r="G24" i="13"/>
  <c r="G20" i="13"/>
  <c r="F12" i="13"/>
  <c r="E9" i="13"/>
  <c r="I92" i="13"/>
  <c r="I74" i="13"/>
  <c r="I56" i="13"/>
  <c r="I41" i="13"/>
  <c r="H29" i="3"/>
  <c r="G29" i="3"/>
  <c r="M29" i="3"/>
  <c r="I29" i="3"/>
  <c r="E29" i="3"/>
  <c r="D29" i="3"/>
  <c r="L113" i="3"/>
  <c r="M113" i="3"/>
  <c r="I113" i="3"/>
  <c r="E113" i="3"/>
  <c r="G27" i="13"/>
  <c r="F27" i="13"/>
  <c r="H27" i="13"/>
  <c r="E23" i="13"/>
  <c r="G23" i="13"/>
  <c r="F19" i="13"/>
  <c r="E72" i="13"/>
  <c r="F72" i="13"/>
  <c r="I72" i="13"/>
  <c r="G72" i="13"/>
  <c r="E68" i="13"/>
  <c r="I68" i="13"/>
  <c r="H68" i="13"/>
  <c r="F68" i="13"/>
  <c r="E64" i="13"/>
  <c r="G64" i="13"/>
  <c r="E60" i="13"/>
  <c r="F60" i="13"/>
  <c r="D37" i="10"/>
  <c r="D44" i="10"/>
  <c r="I50" i="10"/>
  <c r="L53" i="10"/>
  <c r="J56" i="10"/>
  <c r="F94" i="10"/>
  <c r="I95" i="10"/>
  <c r="M113" i="10"/>
  <c r="G123" i="10"/>
  <c r="D20" i="13"/>
  <c r="D9" i="13"/>
  <c r="D96" i="13"/>
  <c r="D85" i="13"/>
  <c r="D74" i="13"/>
  <c r="D64" i="13"/>
  <c r="D41" i="13"/>
  <c r="E30" i="13"/>
  <c r="E45" i="13"/>
  <c r="E59" i="13"/>
  <c r="E87" i="13"/>
  <c r="F31" i="13"/>
  <c r="F46" i="13"/>
  <c r="F64" i="13"/>
  <c r="F80" i="13"/>
  <c r="F98" i="13"/>
  <c r="G45" i="13"/>
  <c r="G60" i="13"/>
  <c r="G79" i="13"/>
  <c r="G95" i="13"/>
  <c r="H41" i="13"/>
  <c r="H60" i="13"/>
  <c r="H74" i="13"/>
  <c r="H93" i="13"/>
  <c r="F24" i="13"/>
  <c r="H19" i="13"/>
  <c r="G16" i="13"/>
  <c r="E12" i="13"/>
  <c r="H8" i="13"/>
  <c r="I88" i="13"/>
  <c r="I54" i="13"/>
  <c r="I38" i="13"/>
  <c r="L29" i="3"/>
  <c r="H77" i="3"/>
  <c r="G77" i="3"/>
  <c r="M77" i="3"/>
  <c r="M52" i="9"/>
  <c r="I52" i="9"/>
  <c r="N58" i="9"/>
  <c r="I58" i="9"/>
  <c r="G58" i="9"/>
  <c r="K68" i="9"/>
  <c r="J68" i="9"/>
  <c r="L33" i="3"/>
  <c r="E33" i="3"/>
  <c r="K48" i="3"/>
  <c r="L48" i="3"/>
  <c r="H48" i="3"/>
  <c r="F48" i="3"/>
  <c r="D48" i="3"/>
  <c r="G61" i="3"/>
  <c r="I61" i="3"/>
  <c r="F61" i="3"/>
  <c r="E61" i="3"/>
  <c r="N67" i="3"/>
  <c r="D67" i="3"/>
  <c r="K75" i="3"/>
  <c r="N75" i="3"/>
  <c r="M75" i="3"/>
  <c r="I75" i="3"/>
  <c r="F75" i="3"/>
  <c r="N83" i="3"/>
  <c r="K83" i="3"/>
  <c r="D46" i="9"/>
  <c r="M46" i="9"/>
  <c r="L46" i="9"/>
  <c r="K46" i="9"/>
  <c r="G46" i="9"/>
  <c r="E46" i="9"/>
  <c r="K50" i="9"/>
  <c r="H50" i="9"/>
  <c r="N59" i="3"/>
  <c r="G59" i="3"/>
  <c r="D59" i="3"/>
  <c r="L104" i="3"/>
  <c r="H104" i="3"/>
  <c r="N115" i="3"/>
  <c r="G115" i="3"/>
  <c r="D47" i="9"/>
  <c r="M47" i="9"/>
  <c r="L47" i="9"/>
  <c r="H47" i="9"/>
  <c r="E47" i="9"/>
  <c r="F47" i="9"/>
  <c r="M49" i="3"/>
  <c r="E49" i="3"/>
  <c r="L59" i="3"/>
  <c r="K64" i="3"/>
  <c r="H64" i="3"/>
  <c r="D64" i="3"/>
  <c r="L72" i="3"/>
  <c r="G72" i="3"/>
  <c r="N76" i="3"/>
  <c r="D76" i="3"/>
  <c r="L76" i="3"/>
  <c r="H93" i="3"/>
  <c r="M93" i="3"/>
  <c r="I93" i="3"/>
  <c r="G93" i="3"/>
  <c r="D104" i="3"/>
  <c r="H32" i="9"/>
  <c r="I32" i="9"/>
  <c r="G32" i="9"/>
  <c r="F32" i="9"/>
  <c r="E32" i="9"/>
  <c r="K39" i="3"/>
  <c r="H39" i="3"/>
  <c r="E39" i="3"/>
  <c r="M66" i="3"/>
  <c r="N66" i="3"/>
  <c r="M81" i="3"/>
  <c r="L81" i="3"/>
  <c r="J90" i="3"/>
  <c r="D90" i="3"/>
  <c r="N94" i="3"/>
  <c r="F94" i="3"/>
  <c r="L105" i="3"/>
  <c r="M105" i="3"/>
  <c r="H42" i="9"/>
  <c r="L53" i="9"/>
  <c r="F53" i="9"/>
  <c r="L56" i="9"/>
  <c r="M56" i="9"/>
  <c r="H56" i="9"/>
  <c r="G56" i="9"/>
  <c r="F56" i="9"/>
  <c r="E56" i="9"/>
  <c r="N56" i="9"/>
  <c r="D62" i="9"/>
  <c r="M62" i="9"/>
  <c r="L62" i="9"/>
  <c r="E62" i="9"/>
  <c r="N66" i="9"/>
  <c r="I66" i="9"/>
  <c r="H66" i="9"/>
  <c r="G66" i="9"/>
  <c r="I119" i="9"/>
  <c r="G119" i="9"/>
  <c r="I95" i="9"/>
  <c r="G95" i="9"/>
  <c r="E115" i="9"/>
  <c r="M115" i="9"/>
  <c r="K115" i="9"/>
  <c r="G115" i="9"/>
  <c r="N80" i="3"/>
  <c r="L80" i="3"/>
  <c r="K80" i="3"/>
  <c r="G91" i="3"/>
  <c r="M91" i="3"/>
  <c r="E99" i="3"/>
  <c r="M99" i="3"/>
  <c r="H101" i="3"/>
  <c r="M101" i="3"/>
  <c r="G101" i="3"/>
  <c r="E101" i="3"/>
  <c r="L36" i="9"/>
  <c r="M36" i="9"/>
  <c r="I36" i="9"/>
  <c r="E36" i="9"/>
  <c r="K48" i="9"/>
  <c r="L48" i="9"/>
  <c r="H48" i="9"/>
  <c r="G48" i="9"/>
  <c r="F48" i="9"/>
  <c r="E48" i="9"/>
  <c r="L72" i="9"/>
  <c r="K72" i="9"/>
  <c r="J72" i="9"/>
  <c r="I72" i="9"/>
  <c r="F74" i="9"/>
  <c r="N123" i="3"/>
  <c r="G123" i="3"/>
  <c r="L64" i="9"/>
  <c r="H64" i="9"/>
  <c r="F64" i="9"/>
  <c r="E64" i="9"/>
  <c r="N64" i="9"/>
  <c r="I64" i="9"/>
  <c r="D114" i="9"/>
  <c r="N114" i="9"/>
  <c r="L114" i="9"/>
  <c r="J114" i="9"/>
  <c r="F114" i="9"/>
  <c r="L92" i="9"/>
  <c r="M93" i="9"/>
  <c r="L100" i="9"/>
  <c r="M101" i="9"/>
  <c r="D108" i="9"/>
  <c r="E109" i="9"/>
  <c r="G116" i="9"/>
  <c r="J74" i="3"/>
  <c r="I67" i="9"/>
  <c r="M77" i="9"/>
  <c r="N92" i="9"/>
  <c r="N100" i="9"/>
  <c r="F108" i="9"/>
  <c r="G109" i="9"/>
  <c r="H116" i="9"/>
  <c r="E36" i="3"/>
  <c r="E41" i="3"/>
  <c r="E41" i="9"/>
  <c r="I87" i="9"/>
  <c r="D106" i="9"/>
  <c r="E107" i="9"/>
  <c r="H108" i="9"/>
  <c r="I109" i="9"/>
  <c r="L116" i="9"/>
  <c r="F94" i="9"/>
  <c r="F106" i="9"/>
  <c r="L108" i="9"/>
  <c r="M116" i="9"/>
  <c r="D82" i="3"/>
  <c r="I86" i="3"/>
  <c r="D100" i="3"/>
  <c r="F106" i="3"/>
  <c r="E121" i="3"/>
  <c r="D51" i="9"/>
  <c r="N116" i="9"/>
  <c r="J78" i="3"/>
  <c r="H82" i="3"/>
  <c r="F88" i="3"/>
  <c r="I121" i="3"/>
  <c r="N63" i="9"/>
  <c r="E116" i="9"/>
  <c r="K18" i="9"/>
  <c r="K4" i="9"/>
  <c r="B4" i="9"/>
  <c r="E6" i="9"/>
  <c r="K6" i="9"/>
  <c r="E9" i="9"/>
  <c r="K9" i="9"/>
  <c r="E12" i="9"/>
  <c r="K12" i="9"/>
  <c r="E15" i="9"/>
  <c r="K15" i="9"/>
  <c r="E18" i="9"/>
  <c r="E4" i="9"/>
  <c r="H18" i="9"/>
  <c r="H4" i="9"/>
  <c r="B6" i="9"/>
  <c r="H6" i="9"/>
  <c r="B9" i="9"/>
  <c r="H9" i="9"/>
  <c r="B12" i="9"/>
  <c r="H12" i="9"/>
  <c r="B15" i="9"/>
  <c r="H15" i="9"/>
  <c r="B18" i="9"/>
  <c r="I45" i="9"/>
  <c r="H45" i="9"/>
  <c r="G45" i="9"/>
  <c r="M45" i="9"/>
  <c r="E45" i="9"/>
  <c r="F45" i="9"/>
  <c r="D45" i="9"/>
  <c r="L45" i="9"/>
  <c r="J45" i="9"/>
  <c r="K45" i="9"/>
  <c r="I61" i="9"/>
  <c r="H61" i="9"/>
  <c r="G61" i="9"/>
  <c r="N61" i="9"/>
  <c r="F61" i="9"/>
  <c r="M61" i="9"/>
  <c r="E61" i="9"/>
  <c r="L61" i="9"/>
  <c r="K61" i="9"/>
  <c r="J61" i="9"/>
  <c r="D61" i="9"/>
  <c r="I33" i="9"/>
  <c r="H33" i="9"/>
  <c r="G33" i="9"/>
  <c r="F33" i="9"/>
  <c r="M33" i="9"/>
  <c r="E33" i="9"/>
  <c r="J33" i="9"/>
  <c r="L33" i="9"/>
  <c r="D33" i="9"/>
  <c r="K33" i="9"/>
  <c r="H44" i="9"/>
  <c r="G44" i="9"/>
  <c r="F44" i="9"/>
  <c r="J44" i="9"/>
  <c r="I44" i="9"/>
  <c r="E44" i="9"/>
  <c r="D44" i="9"/>
  <c r="M44" i="9"/>
  <c r="L44" i="9"/>
  <c r="K44" i="9"/>
  <c r="H60" i="9"/>
  <c r="G60" i="9"/>
  <c r="N60" i="9"/>
  <c r="F60" i="9"/>
  <c r="M60" i="9"/>
  <c r="E60" i="9"/>
  <c r="L60" i="9"/>
  <c r="D60" i="9"/>
  <c r="K60" i="9"/>
  <c r="J60" i="9"/>
  <c r="I60" i="9"/>
  <c r="G31" i="9"/>
  <c r="F31" i="9"/>
  <c r="M31" i="9"/>
  <c r="E31" i="9"/>
  <c r="L31" i="9"/>
  <c r="D31" i="9"/>
  <c r="K31" i="9"/>
  <c r="H31" i="9"/>
  <c r="J31" i="9"/>
  <c r="I31" i="9"/>
  <c r="M29" i="9"/>
  <c r="L65" i="8" s="1"/>
  <c r="E29" i="9"/>
  <c r="D65" i="8" s="1"/>
  <c r="F29" i="9"/>
  <c r="L29" i="9"/>
  <c r="D29" i="9"/>
  <c r="K29" i="9"/>
  <c r="J29" i="9"/>
  <c r="I29" i="9"/>
  <c r="H29" i="9"/>
  <c r="G29" i="9"/>
  <c r="K35" i="9"/>
  <c r="J35" i="9"/>
  <c r="I35" i="9"/>
  <c r="H35" i="9"/>
  <c r="G35" i="9"/>
  <c r="L35" i="9"/>
  <c r="F35" i="9"/>
  <c r="M35" i="9"/>
  <c r="E35" i="9"/>
  <c r="D35" i="9"/>
  <c r="I39" i="9"/>
  <c r="G39" i="9"/>
  <c r="F39" i="9"/>
  <c r="E39" i="9"/>
  <c r="M39" i="9"/>
  <c r="D39" i="9"/>
  <c r="L39" i="9"/>
  <c r="H39" i="9"/>
  <c r="K39" i="9"/>
  <c r="J39" i="9"/>
  <c r="M37" i="9"/>
  <c r="E37" i="9"/>
  <c r="L37" i="9"/>
  <c r="D37" i="9"/>
  <c r="K37" i="9"/>
  <c r="J37" i="9"/>
  <c r="I37" i="9"/>
  <c r="F37" i="9"/>
  <c r="H37" i="9"/>
  <c r="G37" i="9"/>
  <c r="F28" i="9"/>
  <c r="H30" i="9"/>
  <c r="J32" i="9"/>
  <c r="D34" i="9"/>
  <c r="L34" i="9"/>
  <c r="F36" i="9"/>
  <c r="H38" i="9"/>
  <c r="L40" i="9"/>
  <c r="F41" i="9"/>
  <c r="I42" i="9"/>
  <c r="D43" i="9"/>
  <c r="J49" i="9"/>
  <c r="I50" i="9"/>
  <c r="J51" i="9"/>
  <c r="J52" i="9"/>
  <c r="J53" i="9"/>
  <c r="D55" i="9"/>
  <c r="F63" i="9"/>
  <c r="M65" i="9"/>
  <c r="E65" i="9"/>
  <c r="L65" i="9"/>
  <c r="D65" i="9"/>
  <c r="K65" i="9"/>
  <c r="J65" i="9"/>
  <c r="I65" i="9"/>
  <c r="L73" i="9"/>
  <c r="H73" i="9"/>
  <c r="G73" i="9"/>
  <c r="N73" i="9"/>
  <c r="F73" i="9"/>
  <c r="M73" i="9"/>
  <c r="K73" i="9"/>
  <c r="J73" i="9"/>
  <c r="G84" i="9"/>
  <c r="M84" i="9"/>
  <c r="E84" i="9"/>
  <c r="K84" i="9"/>
  <c r="J84" i="9"/>
  <c r="I84" i="9"/>
  <c r="N84" i="9"/>
  <c r="L84" i="9"/>
  <c r="H84" i="9"/>
  <c r="N91" i="9"/>
  <c r="F91" i="9"/>
  <c r="L91" i="9"/>
  <c r="D91" i="9"/>
  <c r="J91" i="9"/>
  <c r="I91" i="9"/>
  <c r="H91" i="9"/>
  <c r="M91" i="9"/>
  <c r="K91" i="9"/>
  <c r="G91" i="9"/>
  <c r="N99" i="9"/>
  <c r="F99" i="9"/>
  <c r="L99" i="9"/>
  <c r="D99" i="9"/>
  <c r="J99" i="9"/>
  <c r="I99" i="9"/>
  <c r="H99" i="9"/>
  <c r="M99" i="9"/>
  <c r="K99" i="9"/>
  <c r="E99" i="9"/>
  <c r="J54" i="9"/>
  <c r="I54" i="9"/>
  <c r="H54" i="9"/>
  <c r="F54" i="9"/>
  <c r="G28" i="9"/>
  <c r="I30" i="9"/>
  <c r="K32" i="9"/>
  <c r="E34" i="9"/>
  <c r="M34" i="9"/>
  <c r="G36" i="9"/>
  <c r="I38" i="9"/>
  <c r="G41" i="9"/>
  <c r="J42" i="9"/>
  <c r="K52" i="9"/>
  <c r="K53" i="9"/>
  <c r="E54" i="9"/>
  <c r="G59" i="9"/>
  <c r="N59" i="9"/>
  <c r="F59" i="9"/>
  <c r="M59" i="9"/>
  <c r="E59" i="9"/>
  <c r="L59" i="9"/>
  <c r="D59" i="9"/>
  <c r="K59" i="9"/>
  <c r="L63" i="9"/>
  <c r="L113" i="9"/>
  <c r="D113" i="9"/>
  <c r="J113" i="9"/>
  <c r="H113" i="9"/>
  <c r="G113" i="9"/>
  <c r="N113" i="9"/>
  <c r="F113" i="9"/>
  <c r="M113" i="9"/>
  <c r="K113" i="9"/>
  <c r="E113" i="9"/>
  <c r="K34" i="9"/>
  <c r="F43" i="9"/>
  <c r="M43" i="9"/>
  <c r="E43" i="9"/>
  <c r="K55" i="9"/>
  <c r="J55" i="9"/>
  <c r="I55" i="9"/>
  <c r="G55" i="9"/>
  <c r="E14" i="8"/>
  <c r="H28" i="9"/>
  <c r="J30" i="9"/>
  <c r="D32" i="9"/>
  <c r="L32" i="9"/>
  <c r="F34" i="9"/>
  <c r="H36" i="9"/>
  <c r="J38" i="9"/>
  <c r="H41" i="9"/>
  <c r="H43" i="9"/>
  <c r="G54" i="9"/>
  <c r="F55" i="9"/>
  <c r="H59" i="9"/>
  <c r="G65" i="9"/>
  <c r="M71" i="9"/>
  <c r="L71" i="9"/>
  <c r="K71" i="9"/>
  <c r="J71" i="9"/>
  <c r="I71" i="9"/>
  <c r="H71" i="9"/>
  <c r="G71" i="9"/>
  <c r="E73" i="9"/>
  <c r="F84" i="9"/>
  <c r="L97" i="9"/>
  <c r="D97" i="9"/>
  <c r="J97" i="9"/>
  <c r="H97" i="9"/>
  <c r="G97" i="9"/>
  <c r="N97" i="9"/>
  <c r="F97" i="9"/>
  <c r="M97" i="9"/>
  <c r="K97" i="9"/>
  <c r="I97" i="9"/>
  <c r="E97" i="9"/>
  <c r="I113" i="9"/>
  <c r="F14" i="8"/>
  <c r="K30" i="9"/>
  <c r="G34" i="9"/>
  <c r="K38" i="9"/>
  <c r="M42" i="9"/>
  <c r="L42" i="9"/>
  <c r="D42" i="9"/>
  <c r="I43" i="9"/>
  <c r="K54" i="9"/>
  <c r="H55" i="9"/>
  <c r="M57" i="9"/>
  <c r="E57" i="9"/>
  <c r="L57" i="9"/>
  <c r="D57" i="9"/>
  <c r="K57" i="9"/>
  <c r="J57" i="9"/>
  <c r="I57" i="9"/>
  <c r="I69" i="9"/>
  <c r="H69" i="9"/>
  <c r="G69" i="9"/>
  <c r="N69" i="9"/>
  <c r="F69" i="9"/>
  <c r="M69" i="9"/>
  <c r="E69" i="9"/>
  <c r="J70" i="9"/>
  <c r="I70" i="9"/>
  <c r="H70" i="9"/>
  <c r="G70" i="9"/>
  <c r="N70" i="9"/>
  <c r="F70" i="9"/>
  <c r="N75" i="9"/>
  <c r="F75" i="9"/>
  <c r="J75" i="9"/>
  <c r="I75" i="9"/>
  <c r="H75" i="9"/>
  <c r="M75" i="9"/>
  <c r="L75" i="9"/>
  <c r="K75" i="9"/>
  <c r="G75" i="9"/>
  <c r="E75" i="9"/>
  <c r="M82" i="9"/>
  <c r="E82" i="9"/>
  <c r="K82" i="9"/>
  <c r="I82" i="9"/>
  <c r="H82" i="9"/>
  <c r="G82" i="9"/>
  <c r="N82" i="9"/>
  <c r="L82" i="9"/>
  <c r="J82" i="9"/>
  <c r="F82" i="9"/>
  <c r="D82" i="9"/>
  <c r="G14" i="8"/>
  <c r="J28" i="9"/>
  <c r="D30" i="9"/>
  <c r="L30" i="9"/>
  <c r="H34" i="9"/>
  <c r="J36" i="9"/>
  <c r="D38" i="9"/>
  <c r="L38" i="9"/>
  <c r="J41" i="9"/>
  <c r="E42" i="9"/>
  <c r="J43" i="9"/>
  <c r="M49" i="9"/>
  <c r="E49" i="9"/>
  <c r="L49" i="9"/>
  <c r="D49" i="9"/>
  <c r="K49" i="9"/>
  <c r="I49" i="9"/>
  <c r="G51" i="9"/>
  <c r="F51" i="9"/>
  <c r="M51" i="9"/>
  <c r="E51" i="9"/>
  <c r="K51" i="9"/>
  <c r="L54" i="9"/>
  <c r="L55" i="9"/>
  <c r="F57" i="9"/>
  <c r="J59" i="9"/>
  <c r="D69" i="9"/>
  <c r="D70" i="9"/>
  <c r="D75" i="9"/>
  <c r="M90" i="9"/>
  <c r="E90" i="9"/>
  <c r="K90" i="9"/>
  <c r="I90" i="9"/>
  <c r="H90" i="9"/>
  <c r="G90" i="9"/>
  <c r="N90" i="9"/>
  <c r="L90" i="9"/>
  <c r="J90" i="9"/>
  <c r="F90" i="9"/>
  <c r="M98" i="9"/>
  <c r="E98" i="9"/>
  <c r="K98" i="9"/>
  <c r="I98" i="9"/>
  <c r="H98" i="9"/>
  <c r="G98" i="9"/>
  <c r="N98" i="9"/>
  <c r="L98" i="9"/>
  <c r="J98" i="9"/>
  <c r="D98" i="9"/>
  <c r="K112" i="9"/>
  <c r="I112" i="9"/>
  <c r="G112" i="9"/>
  <c r="N112" i="9"/>
  <c r="F112" i="9"/>
  <c r="M112" i="9"/>
  <c r="E112" i="9"/>
  <c r="L112" i="9"/>
  <c r="J112" i="9"/>
  <c r="D112" i="9"/>
  <c r="H14" i="8"/>
  <c r="K28" i="9"/>
  <c r="E30" i="9"/>
  <c r="M30" i="9"/>
  <c r="I34" i="9"/>
  <c r="K36" i="9"/>
  <c r="E38" i="9"/>
  <c r="M38" i="9"/>
  <c r="L41" i="9"/>
  <c r="F42" i="9"/>
  <c r="K43" i="9"/>
  <c r="F50" i="9"/>
  <c r="M50" i="9"/>
  <c r="E50" i="9"/>
  <c r="L50" i="9"/>
  <c r="D50" i="9"/>
  <c r="J50" i="9"/>
  <c r="H52" i="9"/>
  <c r="G52" i="9"/>
  <c r="F52" i="9"/>
  <c r="L52" i="9"/>
  <c r="D52" i="9"/>
  <c r="I53" i="9"/>
  <c r="H53" i="9"/>
  <c r="G53" i="9"/>
  <c r="M53" i="9"/>
  <c r="E53" i="9"/>
  <c r="M54" i="9"/>
  <c r="M55" i="9"/>
  <c r="G57" i="9"/>
  <c r="K63" i="9"/>
  <c r="J63" i="9"/>
  <c r="I63" i="9"/>
  <c r="H63" i="9"/>
  <c r="G63" i="9"/>
  <c r="H68" i="9"/>
  <c r="G68" i="9"/>
  <c r="N68" i="9"/>
  <c r="F68" i="9"/>
  <c r="M68" i="9"/>
  <c r="E68" i="9"/>
  <c r="L68" i="9"/>
  <c r="D68" i="9"/>
  <c r="J69" i="9"/>
  <c r="E70" i="9"/>
  <c r="H85" i="9"/>
  <c r="N85" i="9"/>
  <c r="F85" i="9"/>
  <c r="L85" i="9"/>
  <c r="D85" i="9"/>
  <c r="K85" i="9"/>
  <c r="J85" i="9"/>
  <c r="M85" i="9"/>
  <c r="I85" i="9"/>
  <c r="D28" i="9"/>
  <c r="F30" i="9"/>
  <c r="D36" i="9"/>
  <c r="F38" i="9"/>
  <c r="I40" i="9"/>
  <c r="D41" i="9"/>
  <c r="M41" i="9"/>
  <c r="G42" i="9"/>
  <c r="L43" i="9"/>
  <c r="J46" i="9"/>
  <c r="I46" i="9"/>
  <c r="H46" i="9"/>
  <c r="F46" i="9"/>
  <c r="K47" i="9"/>
  <c r="J47" i="9"/>
  <c r="I47" i="9"/>
  <c r="G47" i="9"/>
  <c r="G49" i="9"/>
  <c r="G50" i="9"/>
  <c r="H51" i="9"/>
  <c r="E52" i="9"/>
  <c r="D53" i="9"/>
  <c r="N55" i="9"/>
  <c r="H57" i="9"/>
  <c r="J62" i="9"/>
  <c r="I62" i="9"/>
  <c r="H62" i="9"/>
  <c r="G62" i="9"/>
  <c r="N62" i="9"/>
  <c r="F62" i="9"/>
  <c r="D63" i="9"/>
  <c r="G67" i="9"/>
  <c r="N67" i="9"/>
  <c r="F67" i="9"/>
  <c r="M67" i="9"/>
  <c r="E67" i="9"/>
  <c r="L67" i="9"/>
  <c r="D67" i="9"/>
  <c r="K67" i="9"/>
  <c r="I68" i="9"/>
  <c r="K69" i="9"/>
  <c r="K70" i="9"/>
  <c r="N71" i="9"/>
  <c r="M74" i="9"/>
  <c r="E74" i="9"/>
  <c r="I74" i="9"/>
  <c r="H74" i="9"/>
  <c r="G74" i="9"/>
  <c r="N74" i="9"/>
  <c r="L74" i="9"/>
  <c r="K74" i="9"/>
  <c r="J74" i="9"/>
  <c r="G76" i="9"/>
  <c r="K76" i="9"/>
  <c r="J76" i="9"/>
  <c r="I76" i="9"/>
  <c r="M76" i="9"/>
  <c r="L76" i="9"/>
  <c r="H76" i="9"/>
  <c r="F76" i="9"/>
  <c r="E76" i="9"/>
  <c r="N83" i="9"/>
  <c r="F83" i="9"/>
  <c r="L83" i="9"/>
  <c r="D83" i="9"/>
  <c r="J83" i="9"/>
  <c r="I83" i="9"/>
  <c r="H83" i="9"/>
  <c r="M83" i="9"/>
  <c r="K83" i="9"/>
  <c r="G83" i="9"/>
  <c r="E83" i="9"/>
  <c r="E85" i="9"/>
  <c r="K96" i="9"/>
  <c r="I96" i="9"/>
  <c r="G96" i="9"/>
  <c r="N96" i="9"/>
  <c r="F96" i="9"/>
  <c r="M96" i="9"/>
  <c r="E96" i="9"/>
  <c r="L96" i="9"/>
  <c r="J96" i="9"/>
  <c r="H96" i="9"/>
  <c r="D96" i="9"/>
  <c r="K104" i="9"/>
  <c r="I104" i="9"/>
  <c r="G104" i="9"/>
  <c r="N104" i="9"/>
  <c r="F104" i="9"/>
  <c r="M104" i="9"/>
  <c r="E104" i="9"/>
  <c r="L105" i="9"/>
  <c r="D105" i="9"/>
  <c r="J105" i="9"/>
  <c r="H105" i="9"/>
  <c r="G105" i="9"/>
  <c r="N105" i="9"/>
  <c r="F105" i="9"/>
  <c r="H117" i="9"/>
  <c r="N117" i="9"/>
  <c r="F117" i="9"/>
  <c r="L117" i="9"/>
  <c r="D117" i="9"/>
  <c r="K117" i="9"/>
  <c r="J117" i="9"/>
  <c r="J58" i="9"/>
  <c r="J66" i="9"/>
  <c r="H77" i="9"/>
  <c r="L77" i="9"/>
  <c r="D77" i="9"/>
  <c r="K77" i="9"/>
  <c r="J77" i="9"/>
  <c r="I78" i="9"/>
  <c r="M78" i="9"/>
  <c r="E78" i="9"/>
  <c r="L78" i="9"/>
  <c r="D78" i="9"/>
  <c r="K78" i="9"/>
  <c r="K80" i="9"/>
  <c r="G80" i="9"/>
  <c r="N80" i="9"/>
  <c r="F80" i="9"/>
  <c r="M80" i="9"/>
  <c r="E80" i="9"/>
  <c r="K88" i="9"/>
  <c r="I88" i="9"/>
  <c r="G88" i="9"/>
  <c r="N88" i="9"/>
  <c r="F88" i="9"/>
  <c r="M88" i="9"/>
  <c r="E88" i="9"/>
  <c r="L89" i="9"/>
  <c r="D89" i="9"/>
  <c r="J89" i="9"/>
  <c r="H89" i="9"/>
  <c r="G89" i="9"/>
  <c r="N89" i="9"/>
  <c r="F89" i="9"/>
  <c r="H104" i="9"/>
  <c r="I105" i="9"/>
  <c r="I110" i="9"/>
  <c r="G110" i="9"/>
  <c r="M110" i="9"/>
  <c r="E110" i="9"/>
  <c r="L110" i="9"/>
  <c r="D110" i="9"/>
  <c r="K110" i="9"/>
  <c r="J111" i="9"/>
  <c r="H111" i="9"/>
  <c r="N111" i="9"/>
  <c r="F111" i="9"/>
  <c r="M111" i="9"/>
  <c r="E111" i="9"/>
  <c r="L111" i="9"/>
  <c r="D111" i="9"/>
  <c r="G117" i="9"/>
  <c r="M122" i="9"/>
  <c r="E122" i="9"/>
  <c r="K122" i="9"/>
  <c r="I122" i="9"/>
  <c r="H122" i="9"/>
  <c r="G122" i="9"/>
  <c r="N123" i="9"/>
  <c r="F123" i="9"/>
  <c r="L123" i="9"/>
  <c r="D123" i="9"/>
  <c r="J123" i="9"/>
  <c r="I123" i="9"/>
  <c r="H123" i="9"/>
  <c r="K58" i="9"/>
  <c r="K66" i="9"/>
  <c r="N72" i="9"/>
  <c r="F72" i="9"/>
  <c r="M72" i="9"/>
  <c r="E72" i="9"/>
  <c r="J79" i="9"/>
  <c r="N79" i="9"/>
  <c r="F79" i="9"/>
  <c r="M79" i="9"/>
  <c r="E79" i="9"/>
  <c r="L79" i="9"/>
  <c r="D79" i="9"/>
  <c r="L81" i="9"/>
  <c r="D81" i="9"/>
  <c r="J81" i="9"/>
  <c r="H81" i="9"/>
  <c r="G81" i="9"/>
  <c r="N81" i="9"/>
  <c r="F81" i="9"/>
  <c r="I102" i="9"/>
  <c r="G102" i="9"/>
  <c r="M102" i="9"/>
  <c r="E102" i="9"/>
  <c r="L102" i="9"/>
  <c r="D102" i="9"/>
  <c r="K102" i="9"/>
  <c r="J103" i="9"/>
  <c r="H103" i="9"/>
  <c r="N103" i="9"/>
  <c r="F103" i="9"/>
  <c r="M103" i="9"/>
  <c r="E103" i="9"/>
  <c r="L103" i="9"/>
  <c r="D103" i="9"/>
  <c r="J104" i="9"/>
  <c r="K105" i="9"/>
  <c r="I117" i="9"/>
  <c r="K120" i="9"/>
  <c r="I120" i="9"/>
  <c r="G120" i="9"/>
  <c r="N120" i="9"/>
  <c r="F120" i="9"/>
  <c r="M120" i="9"/>
  <c r="E120" i="9"/>
  <c r="L121" i="9"/>
  <c r="D121" i="9"/>
  <c r="J121" i="9"/>
  <c r="H121" i="9"/>
  <c r="G121" i="9"/>
  <c r="N121" i="9"/>
  <c r="F121" i="9"/>
  <c r="J48" i="9"/>
  <c r="J56" i="9"/>
  <c r="D58" i="9"/>
  <c r="L58" i="9"/>
  <c r="J64" i="9"/>
  <c r="D66" i="9"/>
  <c r="L66" i="9"/>
  <c r="D72" i="9"/>
  <c r="F77" i="9"/>
  <c r="G78" i="9"/>
  <c r="G79" i="9"/>
  <c r="H80" i="9"/>
  <c r="E81" i="9"/>
  <c r="H88" i="9"/>
  <c r="I89" i="9"/>
  <c r="I94" i="9"/>
  <c r="G94" i="9"/>
  <c r="M94" i="9"/>
  <c r="E94" i="9"/>
  <c r="L94" i="9"/>
  <c r="D94" i="9"/>
  <c r="K94" i="9"/>
  <c r="J95" i="9"/>
  <c r="H95" i="9"/>
  <c r="N95" i="9"/>
  <c r="F95" i="9"/>
  <c r="M95" i="9"/>
  <c r="E95" i="9"/>
  <c r="L95" i="9"/>
  <c r="D95" i="9"/>
  <c r="F102" i="9"/>
  <c r="G103" i="9"/>
  <c r="L104" i="9"/>
  <c r="M105" i="9"/>
  <c r="G108" i="9"/>
  <c r="M108" i="9"/>
  <c r="E108" i="9"/>
  <c r="K108" i="9"/>
  <c r="J108" i="9"/>
  <c r="I108" i="9"/>
  <c r="H109" i="9"/>
  <c r="N109" i="9"/>
  <c r="F109" i="9"/>
  <c r="L109" i="9"/>
  <c r="D109" i="9"/>
  <c r="K109" i="9"/>
  <c r="J109" i="9"/>
  <c r="H110" i="9"/>
  <c r="I111" i="9"/>
  <c r="M117" i="9"/>
  <c r="D120" i="9"/>
  <c r="E121" i="9"/>
  <c r="F122" i="9"/>
  <c r="G123" i="9"/>
  <c r="K56" i="9"/>
  <c r="E58" i="9"/>
  <c r="M58" i="9"/>
  <c r="K64" i="9"/>
  <c r="E66" i="9"/>
  <c r="M66" i="9"/>
  <c r="G72" i="9"/>
  <c r="G77" i="9"/>
  <c r="H78" i="9"/>
  <c r="H79" i="9"/>
  <c r="I80" i="9"/>
  <c r="I81" i="9"/>
  <c r="I86" i="9"/>
  <c r="G86" i="9"/>
  <c r="M86" i="9"/>
  <c r="E86" i="9"/>
  <c r="L86" i="9"/>
  <c r="D86" i="9"/>
  <c r="K86" i="9"/>
  <c r="J87" i="9"/>
  <c r="H87" i="9"/>
  <c r="N87" i="9"/>
  <c r="F87" i="9"/>
  <c r="M87" i="9"/>
  <c r="E87" i="9"/>
  <c r="L87" i="9"/>
  <c r="D87" i="9"/>
  <c r="J88" i="9"/>
  <c r="K89" i="9"/>
  <c r="G100" i="9"/>
  <c r="M100" i="9"/>
  <c r="E100" i="9"/>
  <c r="K100" i="9"/>
  <c r="J100" i="9"/>
  <c r="I100" i="9"/>
  <c r="H101" i="9"/>
  <c r="N101" i="9"/>
  <c r="F101" i="9"/>
  <c r="L101" i="9"/>
  <c r="D101" i="9"/>
  <c r="K101" i="9"/>
  <c r="J101" i="9"/>
  <c r="H102" i="9"/>
  <c r="I103" i="9"/>
  <c r="J110" i="9"/>
  <c r="K111" i="9"/>
  <c r="H120" i="9"/>
  <c r="I121" i="9"/>
  <c r="J122" i="9"/>
  <c r="K123" i="9"/>
  <c r="D56" i="9"/>
  <c r="F58" i="9"/>
  <c r="D64" i="9"/>
  <c r="F66" i="9"/>
  <c r="H72" i="9"/>
  <c r="I77" i="9"/>
  <c r="J78" i="9"/>
  <c r="I79" i="9"/>
  <c r="J80" i="9"/>
  <c r="K81" i="9"/>
  <c r="F86" i="9"/>
  <c r="G87" i="9"/>
  <c r="L88" i="9"/>
  <c r="M89" i="9"/>
  <c r="G92" i="9"/>
  <c r="M92" i="9"/>
  <c r="E92" i="9"/>
  <c r="K92" i="9"/>
  <c r="J92" i="9"/>
  <c r="I92" i="9"/>
  <c r="H93" i="9"/>
  <c r="N93" i="9"/>
  <c r="F93" i="9"/>
  <c r="L93" i="9"/>
  <c r="D93" i="9"/>
  <c r="K93" i="9"/>
  <c r="J93" i="9"/>
  <c r="J102" i="9"/>
  <c r="K103" i="9"/>
  <c r="M106" i="9"/>
  <c r="E106" i="9"/>
  <c r="K106" i="9"/>
  <c r="I106" i="9"/>
  <c r="H106" i="9"/>
  <c r="G106" i="9"/>
  <c r="N107" i="9"/>
  <c r="F107" i="9"/>
  <c r="L107" i="9"/>
  <c r="D107" i="9"/>
  <c r="J107" i="9"/>
  <c r="I107" i="9"/>
  <c r="H107" i="9"/>
  <c r="N110" i="9"/>
  <c r="M114" i="9"/>
  <c r="E114" i="9"/>
  <c r="K114" i="9"/>
  <c r="I114" i="9"/>
  <c r="H114" i="9"/>
  <c r="G114" i="9"/>
  <c r="N115" i="9"/>
  <c r="F115" i="9"/>
  <c r="L115" i="9"/>
  <c r="D115" i="9"/>
  <c r="J115" i="9"/>
  <c r="I115" i="9"/>
  <c r="H115" i="9"/>
  <c r="I118" i="9"/>
  <c r="G118" i="9"/>
  <c r="M118" i="9"/>
  <c r="E118" i="9"/>
  <c r="L118" i="9"/>
  <c r="D118" i="9"/>
  <c r="K118" i="9"/>
  <c r="J119" i="9"/>
  <c r="H119" i="9"/>
  <c r="N119" i="9"/>
  <c r="F119" i="9"/>
  <c r="M119" i="9"/>
  <c r="E119" i="9"/>
  <c r="L119" i="9"/>
  <c r="D119" i="9"/>
  <c r="J120" i="9"/>
  <c r="K121" i="9"/>
  <c r="L122" i="9"/>
  <c r="M123" i="9"/>
  <c r="I116" i="9"/>
  <c r="J116" i="9"/>
  <c r="E4" i="3"/>
  <c r="H18" i="3"/>
  <c r="H4" i="3"/>
  <c r="B6" i="3"/>
  <c r="H6" i="3"/>
  <c r="B9" i="3"/>
  <c r="H9" i="3"/>
  <c r="B12" i="3"/>
  <c r="H12" i="3"/>
  <c r="B15" i="3"/>
  <c r="H15" i="3"/>
  <c r="B18" i="3"/>
  <c r="K4" i="3"/>
  <c r="K18" i="3"/>
  <c r="B4" i="3"/>
  <c r="E6" i="3"/>
  <c r="K6" i="3"/>
  <c r="E9" i="3"/>
  <c r="K9" i="3"/>
  <c r="E12" i="3"/>
  <c r="K12" i="3"/>
  <c r="E15" i="3"/>
  <c r="K15" i="3"/>
  <c r="E18" i="3"/>
  <c r="M42" i="3"/>
  <c r="E42" i="3"/>
  <c r="L42" i="3"/>
  <c r="D42" i="3"/>
  <c r="I42" i="3"/>
  <c r="H42" i="3"/>
  <c r="G42" i="3"/>
  <c r="K42" i="3"/>
  <c r="F42" i="3"/>
  <c r="J42" i="3"/>
  <c r="D11" i="8"/>
  <c r="E11" i="8"/>
  <c r="G11" i="8"/>
  <c r="F11" i="8"/>
  <c r="K32" i="3"/>
  <c r="J32" i="3"/>
  <c r="I32" i="3"/>
  <c r="D32" i="3"/>
  <c r="H32" i="3"/>
  <c r="L32" i="3"/>
  <c r="G32" i="3"/>
  <c r="F32" i="3"/>
  <c r="M32" i="3"/>
  <c r="E32" i="3"/>
  <c r="M34" i="3"/>
  <c r="E34" i="3"/>
  <c r="L34" i="3"/>
  <c r="D34" i="3"/>
  <c r="K34" i="3"/>
  <c r="J34" i="3"/>
  <c r="I34" i="3"/>
  <c r="H34" i="3"/>
  <c r="F34" i="3"/>
  <c r="G34" i="3"/>
  <c r="G28" i="3"/>
  <c r="F28" i="3"/>
  <c r="M28" i="3"/>
  <c r="E28" i="3"/>
  <c r="L28" i="3"/>
  <c r="D28" i="3"/>
  <c r="K28" i="3"/>
  <c r="J28" i="3"/>
  <c r="H28" i="3"/>
  <c r="I28" i="3"/>
  <c r="I30" i="3"/>
  <c r="H30" i="3"/>
  <c r="G30" i="3"/>
  <c r="F30" i="3"/>
  <c r="M30" i="3"/>
  <c r="E30" i="3"/>
  <c r="L30" i="3"/>
  <c r="D30" i="3"/>
  <c r="K30" i="3"/>
  <c r="J30" i="3"/>
  <c r="J29" i="3"/>
  <c r="D31" i="3"/>
  <c r="L31" i="3"/>
  <c r="F33" i="3"/>
  <c r="H35" i="3"/>
  <c r="J36" i="3"/>
  <c r="E37" i="3"/>
  <c r="L38" i="3"/>
  <c r="J46" i="3"/>
  <c r="M50" i="3"/>
  <c r="E50" i="3"/>
  <c r="L50" i="3"/>
  <c r="D50" i="3"/>
  <c r="J50" i="3"/>
  <c r="I50" i="3"/>
  <c r="H50" i="3"/>
  <c r="G50" i="3"/>
  <c r="J55" i="3"/>
  <c r="I55" i="3"/>
  <c r="H55" i="3"/>
  <c r="G55" i="3"/>
  <c r="N55" i="3"/>
  <c r="F55" i="3"/>
  <c r="M55" i="3"/>
  <c r="E55" i="3"/>
  <c r="L55" i="3"/>
  <c r="D55" i="3"/>
  <c r="I70" i="3"/>
  <c r="H70" i="3"/>
  <c r="G70" i="3"/>
  <c r="N70" i="3"/>
  <c r="F70" i="3"/>
  <c r="M70" i="3"/>
  <c r="E70" i="3"/>
  <c r="L70" i="3"/>
  <c r="D70" i="3"/>
  <c r="K70" i="3"/>
  <c r="I102" i="3"/>
  <c r="H102" i="3"/>
  <c r="G102" i="3"/>
  <c r="M102" i="3"/>
  <c r="E102" i="3"/>
  <c r="L102" i="3"/>
  <c r="D102" i="3"/>
  <c r="K102" i="3"/>
  <c r="N102" i="3"/>
  <c r="J102" i="3"/>
  <c r="F102" i="3"/>
  <c r="K29" i="3"/>
  <c r="J62" i="8" s="1"/>
  <c r="E31" i="3"/>
  <c r="M31" i="3"/>
  <c r="G33" i="3"/>
  <c r="I35" i="3"/>
  <c r="L36" i="3"/>
  <c r="F37" i="3"/>
  <c r="M84" i="3"/>
  <c r="E84" i="3"/>
  <c r="K84" i="3"/>
  <c r="I84" i="3"/>
  <c r="N84" i="3"/>
  <c r="L84" i="3"/>
  <c r="J84" i="3"/>
  <c r="H84" i="3"/>
  <c r="G84" i="3"/>
  <c r="F84" i="3"/>
  <c r="D84" i="3"/>
  <c r="M122" i="3"/>
  <c r="E122" i="3"/>
  <c r="L122" i="3"/>
  <c r="D122" i="3"/>
  <c r="K122" i="3"/>
  <c r="J122" i="3"/>
  <c r="I122" i="3"/>
  <c r="H122" i="3"/>
  <c r="G122" i="3"/>
  <c r="N122" i="3"/>
  <c r="F122" i="3"/>
  <c r="F31" i="3"/>
  <c r="H33" i="3"/>
  <c r="J35" i="3"/>
  <c r="D36" i="3"/>
  <c r="M36" i="3"/>
  <c r="G37" i="3"/>
  <c r="H38" i="3"/>
  <c r="M38" i="3"/>
  <c r="E38" i="3"/>
  <c r="K38" i="3"/>
  <c r="L49" i="3"/>
  <c r="D49" i="3"/>
  <c r="K49" i="3"/>
  <c r="I49" i="3"/>
  <c r="H49" i="3"/>
  <c r="G49" i="3"/>
  <c r="F49" i="3"/>
  <c r="I62" i="3"/>
  <c r="H62" i="3"/>
  <c r="G62" i="3"/>
  <c r="N62" i="3"/>
  <c r="F62" i="3"/>
  <c r="M62" i="3"/>
  <c r="E62" i="3"/>
  <c r="L62" i="3"/>
  <c r="D62" i="3"/>
  <c r="K62" i="3"/>
  <c r="L65" i="3"/>
  <c r="D65" i="3"/>
  <c r="K65" i="3"/>
  <c r="J65" i="3"/>
  <c r="I65" i="3"/>
  <c r="H65" i="3"/>
  <c r="G65" i="3"/>
  <c r="N65" i="3"/>
  <c r="F65" i="3"/>
  <c r="G68" i="3"/>
  <c r="N68" i="3"/>
  <c r="F68" i="3"/>
  <c r="M68" i="3"/>
  <c r="E68" i="3"/>
  <c r="L68" i="3"/>
  <c r="D68" i="3"/>
  <c r="K68" i="3"/>
  <c r="J68" i="3"/>
  <c r="I68" i="3"/>
  <c r="H79" i="3"/>
  <c r="N79" i="3"/>
  <c r="F79" i="3"/>
  <c r="L79" i="3"/>
  <c r="D79" i="3"/>
  <c r="E79" i="3"/>
  <c r="M79" i="3"/>
  <c r="K79" i="3"/>
  <c r="J79" i="3"/>
  <c r="I79" i="3"/>
  <c r="K31" i="3"/>
  <c r="G31" i="3"/>
  <c r="K35" i="3"/>
  <c r="H37" i="3"/>
  <c r="L89" i="3"/>
  <c r="D89" i="3"/>
  <c r="J89" i="3"/>
  <c r="H89" i="3"/>
  <c r="N89" i="3"/>
  <c r="F89" i="3"/>
  <c r="M89" i="3"/>
  <c r="K89" i="3"/>
  <c r="I89" i="3"/>
  <c r="G89" i="3"/>
  <c r="E89" i="3"/>
  <c r="G92" i="3"/>
  <c r="M92" i="3"/>
  <c r="E92" i="3"/>
  <c r="K92" i="3"/>
  <c r="J92" i="3"/>
  <c r="I92" i="3"/>
  <c r="N92" i="3"/>
  <c r="L92" i="3"/>
  <c r="H92" i="3"/>
  <c r="F92" i="3"/>
  <c r="D92" i="3"/>
  <c r="F29" i="3"/>
  <c r="H31" i="3"/>
  <c r="J33" i="3"/>
  <c r="D35" i="3"/>
  <c r="L35" i="3"/>
  <c r="F36" i="3"/>
  <c r="F38" i="3"/>
  <c r="J39" i="3"/>
  <c r="I39" i="3"/>
  <c r="F39" i="3"/>
  <c r="L39" i="3"/>
  <c r="D39" i="3"/>
  <c r="G44" i="3"/>
  <c r="F44" i="3"/>
  <c r="K44" i="3"/>
  <c r="J44" i="3"/>
  <c r="I44" i="3"/>
  <c r="J47" i="3"/>
  <c r="I47" i="3"/>
  <c r="G47" i="3"/>
  <c r="F47" i="3"/>
  <c r="M47" i="3"/>
  <c r="E47" i="3"/>
  <c r="L47" i="3"/>
  <c r="D47" i="3"/>
  <c r="J49" i="3"/>
  <c r="G52" i="3"/>
  <c r="F52" i="3"/>
  <c r="L52" i="3"/>
  <c r="D52" i="3"/>
  <c r="K52" i="3"/>
  <c r="J52" i="3"/>
  <c r="I52" i="3"/>
  <c r="I54" i="3"/>
  <c r="H54" i="3"/>
  <c r="G54" i="3"/>
  <c r="F54" i="3"/>
  <c r="M54" i="3"/>
  <c r="E54" i="3"/>
  <c r="L54" i="3"/>
  <c r="D54" i="3"/>
  <c r="K54" i="3"/>
  <c r="L57" i="3"/>
  <c r="D57" i="3"/>
  <c r="K57" i="3"/>
  <c r="J57" i="3"/>
  <c r="I57" i="3"/>
  <c r="H57" i="3"/>
  <c r="G57" i="3"/>
  <c r="N57" i="3"/>
  <c r="F57" i="3"/>
  <c r="G60" i="3"/>
  <c r="N60" i="3"/>
  <c r="F60" i="3"/>
  <c r="M60" i="3"/>
  <c r="E60" i="3"/>
  <c r="L60" i="3"/>
  <c r="D60" i="3"/>
  <c r="K60" i="3"/>
  <c r="J60" i="3"/>
  <c r="I60" i="3"/>
  <c r="M65" i="3"/>
  <c r="L71" i="3"/>
  <c r="J71" i="3"/>
  <c r="I71" i="3"/>
  <c r="H71" i="3"/>
  <c r="G71" i="3"/>
  <c r="F71" i="3"/>
  <c r="N71" i="3"/>
  <c r="E71" i="3"/>
  <c r="M71" i="3"/>
  <c r="D71" i="3"/>
  <c r="L37" i="3"/>
  <c r="D37" i="3"/>
  <c r="J37" i="3"/>
  <c r="I31" i="3"/>
  <c r="K33" i="3"/>
  <c r="E35" i="3"/>
  <c r="M35" i="3"/>
  <c r="K37" i="3"/>
  <c r="I46" i="3"/>
  <c r="H46" i="3"/>
  <c r="M46" i="3"/>
  <c r="E46" i="3"/>
  <c r="L46" i="3"/>
  <c r="D46" i="3"/>
  <c r="K46" i="3"/>
  <c r="D33" i="3"/>
  <c r="F35" i="3"/>
  <c r="H36" i="3"/>
  <c r="M37" i="3"/>
  <c r="I38" i="3"/>
  <c r="L41" i="3"/>
  <c r="D41" i="3"/>
  <c r="K41" i="3"/>
  <c r="H41" i="3"/>
  <c r="F41" i="3"/>
  <c r="F43" i="3"/>
  <c r="M43" i="3"/>
  <c r="E43" i="3"/>
  <c r="J43" i="3"/>
  <c r="I43" i="3"/>
  <c r="H43" i="3"/>
  <c r="E44" i="3"/>
  <c r="F46" i="3"/>
  <c r="K47" i="3"/>
  <c r="H52" i="3"/>
  <c r="M57" i="3"/>
  <c r="J63" i="3"/>
  <c r="I63" i="3"/>
  <c r="H63" i="3"/>
  <c r="G63" i="3"/>
  <c r="N63" i="3"/>
  <c r="F63" i="3"/>
  <c r="M63" i="3"/>
  <c r="E63" i="3"/>
  <c r="L63" i="3"/>
  <c r="D63" i="3"/>
  <c r="M114" i="3"/>
  <c r="E114" i="3"/>
  <c r="L114" i="3"/>
  <c r="D114" i="3"/>
  <c r="K114" i="3"/>
  <c r="J114" i="3"/>
  <c r="I114" i="3"/>
  <c r="H114" i="3"/>
  <c r="G114" i="3"/>
  <c r="N114" i="3"/>
  <c r="F114" i="3"/>
  <c r="E40" i="3"/>
  <c r="M40" i="3"/>
  <c r="J45" i="3"/>
  <c r="E48" i="3"/>
  <c r="M48" i="3"/>
  <c r="H51" i="3"/>
  <c r="J53" i="3"/>
  <c r="E56" i="3"/>
  <c r="M56" i="3"/>
  <c r="G58" i="3"/>
  <c r="H59" i="3"/>
  <c r="J61" i="3"/>
  <c r="E64" i="3"/>
  <c r="M64" i="3"/>
  <c r="G66" i="3"/>
  <c r="H67" i="3"/>
  <c r="J69" i="3"/>
  <c r="H72" i="3"/>
  <c r="J73" i="3"/>
  <c r="H73" i="3"/>
  <c r="N73" i="3"/>
  <c r="F73" i="3"/>
  <c r="G75" i="3"/>
  <c r="F76" i="3"/>
  <c r="F80" i="3"/>
  <c r="F83" i="3"/>
  <c r="J86" i="3"/>
  <c r="G87" i="3"/>
  <c r="H88" i="3"/>
  <c r="F90" i="3"/>
  <c r="N91" i="3"/>
  <c r="F91" i="3"/>
  <c r="L91" i="3"/>
  <c r="D91" i="3"/>
  <c r="J91" i="3"/>
  <c r="H91" i="3"/>
  <c r="H94" i="3"/>
  <c r="G100" i="3"/>
  <c r="M100" i="3"/>
  <c r="E100" i="3"/>
  <c r="K100" i="3"/>
  <c r="J100" i="3"/>
  <c r="I100" i="3"/>
  <c r="J106" i="3"/>
  <c r="G116" i="3"/>
  <c r="N116" i="3"/>
  <c r="F116" i="3"/>
  <c r="M116" i="3"/>
  <c r="E116" i="3"/>
  <c r="L116" i="3"/>
  <c r="D116" i="3"/>
  <c r="K116" i="3"/>
  <c r="J116" i="3"/>
  <c r="I116" i="3"/>
  <c r="J119" i="3"/>
  <c r="I119" i="3"/>
  <c r="H119" i="3"/>
  <c r="G119" i="3"/>
  <c r="N119" i="3"/>
  <c r="F119" i="3"/>
  <c r="M119" i="3"/>
  <c r="E119" i="3"/>
  <c r="L119" i="3"/>
  <c r="D119" i="3"/>
  <c r="K45" i="3"/>
  <c r="I51" i="3"/>
  <c r="K53" i="3"/>
  <c r="F56" i="3"/>
  <c r="N56" i="3"/>
  <c r="H58" i="3"/>
  <c r="I59" i="3"/>
  <c r="K61" i="3"/>
  <c r="F64" i="3"/>
  <c r="N64" i="3"/>
  <c r="H66" i="3"/>
  <c r="I67" i="3"/>
  <c r="K69" i="3"/>
  <c r="J72" i="3"/>
  <c r="K74" i="3"/>
  <c r="I74" i="3"/>
  <c r="G74" i="3"/>
  <c r="N74" i="3"/>
  <c r="G76" i="3"/>
  <c r="N77" i="3"/>
  <c r="F77" i="3"/>
  <c r="L77" i="3"/>
  <c r="D77" i="3"/>
  <c r="J77" i="3"/>
  <c r="J81" i="3"/>
  <c r="H81" i="3"/>
  <c r="N81" i="3"/>
  <c r="F81" i="3"/>
  <c r="G83" i="3"/>
  <c r="L86" i="3"/>
  <c r="I87" i="3"/>
  <c r="J88" i="3"/>
  <c r="H90" i="3"/>
  <c r="J94" i="3"/>
  <c r="M98" i="3"/>
  <c r="E98" i="3"/>
  <c r="K98" i="3"/>
  <c r="I98" i="3"/>
  <c r="H98" i="3"/>
  <c r="G98" i="3"/>
  <c r="G108" i="3"/>
  <c r="N108" i="3"/>
  <c r="F108" i="3"/>
  <c r="M108" i="3"/>
  <c r="E108" i="3"/>
  <c r="L108" i="3"/>
  <c r="D108" i="3"/>
  <c r="K108" i="3"/>
  <c r="J108" i="3"/>
  <c r="I108" i="3"/>
  <c r="J111" i="3"/>
  <c r="I111" i="3"/>
  <c r="H111" i="3"/>
  <c r="G111" i="3"/>
  <c r="N111" i="3"/>
  <c r="F111" i="3"/>
  <c r="M111" i="3"/>
  <c r="E111" i="3"/>
  <c r="L111" i="3"/>
  <c r="D111" i="3"/>
  <c r="H116" i="3"/>
  <c r="G40" i="3"/>
  <c r="D45" i="3"/>
  <c r="L45" i="3"/>
  <c r="G48" i="3"/>
  <c r="J51" i="3"/>
  <c r="D53" i="3"/>
  <c r="G56" i="3"/>
  <c r="I58" i="3"/>
  <c r="J59" i="3"/>
  <c r="D61" i="3"/>
  <c r="L61" i="3"/>
  <c r="G64" i="3"/>
  <c r="I66" i="3"/>
  <c r="J67" i="3"/>
  <c r="D69" i="3"/>
  <c r="L69" i="3"/>
  <c r="K72" i="3"/>
  <c r="D74" i="3"/>
  <c r="H76" i="3"/>
  <c r="E77" i="3"/>
  <c r="G78" i="3"/>
  <c r="M78" i="3"/>
  <c r="E78" i="3"/>
  <c r="K78" i="3"/>
  <c r="J80" i="3"/>
  <c r="D81" i="3"/>
  <c r="K82" i="3"/>
  <c r="I82" i="3"/>
  <c r="G82" i="3"/>
  <c r="N82" i="3"/>
  <c r="I83" i="3"/>
  <c r="N85" i="3"/>
  <c r="F85" i="3"/>
  <c r="L85" i="3"/>
  <c r="D85" i="3"/>
  <c r="J85" i="3"/>
  <c r="D98" i="3"/>
  <c r="N99" i="3"/>
  <c r="F99" i="3"/>
  <c r="L99" i="3"/>
  <c r="D99" i="3"/>
  <c r="J99" i="3"/>
  <c r="I99" i="3"/>
  <c r="H99" i="3"/>
  <c r="F100" i="3"/>
  <c r="K104" i="3"/>
  <c r="J104" i="3"/>
  <c r="I104" i="3"/>
  <c r="G104" i="3"/>
  <c r="N104" i="3"/>
  <c r="F104" i="3"/>
  <c r="M104" i="3"/>
  <c r="E104" i="3"/>
  <c r="H108" i="3"/>
  <c r="K111" i="3"/>
  <c r="K51" i="3"/>
  <c r="J58" i="3"/>
  <c r="K59" i="3"/>
  <c r="J66" i="3"/>
  <c r="K67" i="3"/>
  <c r="G86" i="3"/>
  <c r="M86" i="3"/>
  <c r="E86" i="3"/>
  <c r="K86" i="3"/>
  <c r="K96" i="3"/>
  <c r="I96" i="3"/>
  <c r="G96" i="3"/>
  <c r="N96" i="3"/>
  <c r="F96" i="3"/>
  <c r="M96" i="3"/>
  <c r="E96" i="3"/>
  <c r="L97" i="3"/>
  <c r="D97" i="3"/>
  <c r="J97" i="3"/>
  <c r="H97" i="3"/>
  <c r="G97" i="3"/>
  <c r="N97" i="3"/>
  <c r="F97" i="3"/>
  <c r="I118" i="3"/>
  <c r="H118" i="3"/>
  <c r="G118" i="3"/>
  <c r="N118" i="3"/>
  <c r="F118" i="3"/>
  <c r="M118" i="3"/>
  <c r="E118" i="3"/>
  <c r="L118" i="3"/>
  <c r="D118" i="3"/>
  <c r="K118" i="3"/>
  <c r="K120" i="3"/>
  <c r="J120" i="3"/>
  <c r="I120" i="3"/>
  <c r="H120" i="3"/>
  <c r="G120" i="3"/>
  <c r="N120" i="3"/>
  <c r="F120" i="3"/>
  <c r="M120" i="3"/>
  <c r="E120" i="3"/>
  <c r="K58" i="3"/>
  <c r="K66" i="3"/>
  <c r="I72" i="3"/>
  <c r="M72" i="3"/>
  <c r="E72" i="3"/>
  <c r="N72" i="3"/>
  <c r="D86" i="3"/>
  <c r="D96" i="3"/>
  <c r="I110" i="3"/>
  <c r="H110" i="3"/>
  <c r="G110" i="3"/>
  <c r="N110" i="3"/>
  <c r="F110" i="3"/>
  <c r="M110" i="3"/>
  <c r="E110" i="3"/>
  <c r="L110" i="3"/>
  <c r="D110" i="3"/>
  <c r="K110" i="3"/>
  <c r="K112" i="3"/>
  <c r="J112" i="3"/>
  <c r="I112" i="3"/>
  <c r="H112" i="3"/>
  <c r="G112" i="3"/>
  <c r="N112" i="3"/>
  <c r="F112" i="3"/>
  <c r="M112" i="3"/>
  <c r="E112" i="3"/>
  <c r="J118" i="3"/>
  <c r="D120" i="3"/>
  <c r="J40" i="3"/>
  <c r="G45" i="3"/>
  <c r="J48" i="3"/>
  <c r="E51" i="3"/>
  <c r="M51" i="3"/>
  <c r="J56" i="3"/>
  <c r="D58" i="3"/>
  <c r="L58" i="3"/>
  <c r="E59" i="3"/>
  <c r="M59" i="3"/>
  <c r="J64" i="3"/>
  <c r="D66" i="3"/>
  <c r="L66" i="3"/>
  <c r="E67" i="3"/>
  <c r="M67" i="3"/>
  <c r="D72" i="3"/>
  <c r="H74" i="3"/>
  <c r="L75" i="3"/>
  <c r="D75" i="3"/>
  <c r="J75" i="3"/>
  <c r="H75" i="3"/>
  <c r="I77" i="3"/>
  <c r="H78" i="3"/>
  <c r="I81" i="3"/>
  <c r="F82" i="3"/>
  <c r="F86" i="3"/>
  <c r="K88" i="3"/>
  <c r="I88" i="3"/>
  <c r="G88" i="3"/>
  <c r="M88" i="3"/>
  <c r="E88" i="3"/>
  <c r="H96" i="3"/>
  <c r="I97" i="3"/>
  <c r="L98" i="3"/>
  <c r="N100" i="3"/>
  <c r="N107" i="3"/>
  <c r="F107" i="3"/>
  <c r="M107" i="3"/>
  <c r="E107" i="3"/>
  <c r="L107" i="3"/>
  <c r="D107" i="3"/>
  <c r="J107" i="3"/>
  <c r="I107" i="3"/>
  <c r="H107" i="3"/>
  <c r="J110" i="3"/>
  <c r="F51" i="3"/>
  <c r="E58" i="3"/>
  <c r="F59" i="3"/>
  <c r="E66" i="3"/>
  <c r="F67" i="3"/>
  <c r="F72" i="3"/>
  <c r="M76" i="3"/>
  <c r="E76" i="3"/>
  <c r="K76" i="3"/>
  <c r="I76" i="3"/>
  <c r="K77" i="3"/>
  <c r="I80" i="3"/>
  <c r="G80" i="3"/>
  <c r="M80" i="3"/>
  <c r="E80" i="3"/>
  <c r="K81" i="3"/>
  <c r="L83" i="3"/>
  <c r="D83" i="3"/>
  <c r="J83" i="3"/>
  <c r="H83" i="3"/>
  <c r="H86" i="3"/>
  <c r="J87" i="3"/>
  <c r="H87" i="3"/>
  <c r="N87" i="3"/>
  <c r="F87" i="3"/>
  <c r="L87" i="3"/>
  <c r="D87" i="3"/>
  <c r="M90" i="3"/>
  <c r="E90" i="3"/>
  <c r="K90" i="3"/>
  <c r="I90" i="3"/>
  <c r="G90" i="3"/>
  <c r="I94" i="3"/>
  <c r="G94" i="3"/>
  <c r="M94" i="3"/>
  <c r="E94" i="3"/>
  <c r="L94" i="3"/>
  <c r="D94" i="3"/>
  <c r="K94" i="3"/>
  <c r="J95" i="3"/>
  <c r="H95" i="3"/>
  <c r="N95" i="3"/>
  <c r="F95" i="3"/>
  <c r="M95" i="3"/>
  <c r="E95" i="3"/>
  <c r="L95" i="3"/>
  <c r="D95" i="3"/>
  <c r="J96" i="3"/>
  <c r="K97" i="3"/>
  <c r="N98" i="3"/>
  <c r="J103" i="3"/>
  <c r="I103" i="3"/>
  <c r="H103" i="3"/>
  <c r="N103" i="3"/>
  <c r="F103" i="3"/>
  <c r="M103" i="3"/>
  <c r="E103" i="3"/>
  <c r="L103" i="3"/>
  <c r="D103" i="3"/>
  <c r="M106" i="3"/>
  <c r="E106" i="3"/>
  <c r="L106" i="3"/>
  <c r="D106" i="3"/>
  <c r="K106" i="3"/>
  <c r="I106" i="3"/>
  <c r="H106" i="3"/>
  <c r="G106" i="3"/>
  <c r="G107" i="3"/>
  <c r="J93" i="3"/>
  <c r="J101" i="3"/>
  <c r="F105" i="3"/>
  <c r="N105" i="3"/>
  <c r="J109" i="3"/>
  <c r="F113" i="3"/>
  <c r="N113" i="3"/>
  <c r="H115" i="3"/>
  <c r="J117" i="3"/>
  <c r="F121" i="3"/>
  <c r="N121" i="3"/>
  <c r="H123" i="3"/>
  <c r="K93" i="3"/>
  <c r="K101" i="3"/>
  <c r="G105" i="3"/>
  <c r="K109" i="3"/>
  <c r="G113" i="3"/>
  <c r="I115" i="3"/>
  <c r="K117" i="3"/>
  <c r="I123" i="3"/>
  <c r="D93" i="3"/>
  <c r="L93" i="3"/>
  <c r="D101" i="3"/>
  <c r="L101" i="3"/>
  <c r="H105" i="3"/>
  <c r="D109" i="3"/>
  <c r="L109" i="3"/>
  <c r="H113" i="3"/>
  <c r="J115" i="3"/>
  <c r="D117" i="3"/>
  <c r="L117" i="3"/>
  <c r="H121" i="3"/>
  <c r="J123" i="3"/>
  <c r="K115" i="3"/>
  <c r="K123" i="3"/>
  <c r="F93" i="3"/>
  <c r="N93" i="3"/>
  <c r="F101" i="3"/>
  <c r="N101" i="3"/>
  <c r="J105" i="3"/>
  <c r="F109" i="3"/>
  <c r="N109" i="3"/>
  <c r="J113" i="3"/>
  <c r="D115" i="3"/>
  <c r="L115" i="3"/>
  <c r="F117" i="3"/>
  <c r="N117" i="3"/>
  <c r="J121" i="3"/>
  <c r="D123" i="3"/>
  <c r="L123" i="3"/>
  <c r="K105" i="3"/>
  <c r="K113" i="3"/>
  <c r="E115" i="3"/>
  <c r="M115" i="3"/>
  <c r="K121" i="3"/>
  <c r="E123" i="3"/>
  <c r="M123" i="3"/>
  <c r="D105" i="3"/>
  <c r="D113" i="3"/>
  <c r="F115" i="3"/>
  <c r="D121" i="3"/>
  <c r="F123" i="3"/>
  <c r="K4" i="10"/>
  <c r="K18" i="10"/>
  <c r="E18" i="10"/>
  <c r="K6" i="10"/>
  <c r="K12" i="10"/>
  <c r="E4" i="10"/>
  <c r="E6" i="10"/>
  <c r="E15" i="10"/>
  <c r="E9" i="10"/>
  <c r="K9" i="10"/>
  <c r="K15" i="10"/>
  <c r="H18" i="10"/>
  <c r="H4" i="10"/>
  <c r="B6" i="10"/>
  <c r="D8" i="10" s="1"/>
  <c r="H6" i="10"/>
  <c r="B9" i="10"/>
  <c r="H9" i="10"/>
  <c r="B12" i="10"/>
  <c r="H12" i="10"/>
  <c r="B15" i="10"/>
  <c r="H15" i="10"/>
  <c r="B18" i="10"/>
  <c r="B4" i="10"/>
  <c r="E12" i="10"/>
  <c r="L28" i="10"/>
  <c r="D28" i="10"/>
  <c r="K28" i="10"/>
  <c r="J28" i="10"/>
  <c r="I28" i="10"/>
  <c r="H28" i="10"/>
  <c r="G28" i="10"/>
  <c r="F28" i="10"/>
  <c r="E28" i="10"/>
  <c r="F40" i="10"/>
  <c r="M40" i="10"/>
  <c r="E40" i="10"/>
  <c r="L40" i="10"/>
  <c r="D40" i="10"/>
  <c r="I40" i="10"/>
  <c r="K40" i="10"/>
  <c r="J40" i="10"/>
  <c r="H40" i="10"/>
  <c r="G40" i="10"/>
  <c r="I67" i="10"/>
  <c r="H67" i="10"/>
  <c r="G67" i="10"/>
  <c r="L67" i="10"/>
  <c r="D67" i="10"/>
  <c r="N67" i="10"/>
  <c r="M67" i="10"/>
  <c r="K67" i="10"/>
  <c r="J67" i="10"/>
  <c r="F67" i="10"/>
  <c r="E67" i="10"/>
  <c r="F32" i="10"/>
  <c r="M32" i="10"/>
  <c r="E32" i="10"/>
  <c r="L32" i="10"/>
  <c r="D32" i="10"/>
  <c r="I32" i="10"/>
  <c r="K32" i="10"/>
  <c r="J32" i="10"/>
  <c r="H32" i="10"/>
  <c r="G32" i="10"/>
  <c r="I43" i="10"/>
  <c r="H43" i="10"/>
  <c r="G43" i="10"/>
  <c r="L43" i="10"/>
  <c r="D43" i="10"/>
  <c r="K43" i="10"/>
  <c r="J43" i="10"/>
  <c r="F43" i="10"/>
  <c r="E43" i="10"/>
  <c r="M43" i="10"/>
  <c r="I51" i="10"/>
  <c r="H51" i="10"/>
  <c r="G51" i="10"/>
  <c r="L51" i="10"/>
  <c r="D51" i="10"/>
  <c r="M51" i="10"/>
  <c r="K51" i="10"/>
  <c r="J51" i="10"/>
  <c r="F51" i="10"/>
  <c r="E51" i="10"/>
  <c r="J8" i="8"/>
  <c r="L38" i="10"/>
  <c r="D38" i="10"/>
  <c r="K38" i="10"/>
  <c r="J38" i="10"/>
  <c r="G38" i="10"/>
  <c r="M71" i="10"/>
  <c r="E71" i="10"/>
  <c r="L71" i="10"/>
  <c r="D71" i="10"/>
  <c r="K71" i="10"/>
  <c r="H71" i="10"/>
  <c r="K72" i="10"/>
  <c r="I72" i="10"/>
  <c r="M72" i="10"/>
  <c r="E72" i="10"/>
  <c r="H72" i="10"/>
  <c r="G72" i="10"/>
  <c r="F72" i="10"/>
  <c r="N72" i="10"/>
  <c r="J79" i="10"/>
  <c r="H79" i="10"/>
  <c r="N79" i="10"/>
  <c r="F79" i="10"/>
  <c r="M79" i="10"/>
  <c r="E79" i="10"/>
  <c r="L79" i="10"/>
  <c r="D79" i="10"/>
  <c r="G79" i="10"/>
  <c r="H109" i="10"/>
  <c r="G109" i="10"/>
  <c r="N109" i="10"/>
  <c r="F109" i="10"/>
  <c r="M109" i="10"/>
  <c r="E109" i="10"/>
  <c r="L109" i="10"/>
  <c r="D109" i="10"/>
  <c r="K109" i="10"/>
  <c r="J109" i="10"/>
  <c r="I109" i="10"/>
  <c r="C8" i="8"/>
  <c r="E27" i="10"/>
  <c r="E30" i="10"/>
  <c r="K35" i="10"/>
  <c r="G36" i="10"/>
  <c r="E38" i="10"/>
  <c r="M39" i="10"/>
  <c r="E39" i="10"/>
  <c r="L39" i="10"/>
  <c r="D39" i="10"/>
  <c r="K39" i="10"/>
  <c r="H39" i="10"/>
  <c r="G41" i="10"/>
  <c r="F41" i="10"/>
  <c r="M41" i="10"/>
  <c r="E41" i="10"/>
  <c r="J41" i="10"/>
  <c r="H42" i="10"/>
  <c r="G42" i="10"/>
  <c r="F42" i="10"/>
  <c r="K42" i="10"/>
  <c r="H46" i="10"/>
  <c r="G47" i="10"/>
  <c r="H48" i="10"/>
  <c r="H49" i="10"/>
  <c r="E50" i="10"/>
  <c r="J58" i="10"/>
  <c r="F59" i="10"/>
  <c r="J60" i="10"/>
  <c r="I60" i="10"/>
  <c r="H60" i="10"/>
  <c r="M60" i="10"/>
  <c r="E60" i="10"/>
  <c r="G63" i="10"/>
  <c r="H64" i="10"/>
  <c r="H65" i="10"/>
  <c r="E66" i="10"/>
  <c r="F71" i="10"/>
  <c r="D72" i="10"/>
  <c r="I79" i="10"/>
  <c r="I78" i="10"/>
  <c r="G78" i="10"/>
  <c r="M78" i="10"/>
  <c r="E78" i="10"/>
  <c r="L78" i="10"/>
  <c r="D78" i="10"/>
  <c r="K78" i="10"/>
  <c r="N78" i="10"/>
  <c r="F78" i="10"/>
  <c r="E8" i="8"/>
  <c r="G27" i="10"/>
  <c r="H30" i="10"/>
  <c r="G33" i="10"/>
  <c r="F33" i="10"/>
  <c r="M33" i="10"/>
  <c r="E33" i="10"/>
  <c r="J33" i="10"/>
  <c r="H34" i="10"/>
  <c r="G34" i="10"/>
  <c r="F34" i="10"/>
  <c r="K34" i="10"/>
  <c r="H38" i="10"/>
  <c r="J47" i="10"/>
  <c r="K49" i="10"/>
  <c r="J50" i="10"/>
  <c r="J52" i="10"/>
  <c r="I52" i="10"/>
  <c r="H52" i="10"/>
  <c r="M52" i="10"/>
  <c r="E52" i="10"/>
  <c r="K53" i="10"/>
  <c r="J53" i="10"/>
  <c r="I53" i="10"/>
  <c r="F53" i="10"/>
  <c r="K59" i="10"/>
  <c r="J63" i="10"/>
  <c r="K65" i="10"/>
  <c r="J66" i="10"/>
  <c r="J68" i="10"/>
  <c r="I68" i="10"/>
  <c r="H68" i="10"/>
  <c r="M68" i="10"/>
  <c r="E68" i="10"/>
  <c r="K69" i="10"/>
  <c r="J69" i="10"/>
  <c r="I69" i="10"/>
  <c r="N69" i="10"/>
  <c r="F69" i="10"/>
  <c r="I71" i="10"/>
  <c r="L72" i="10"/>
  <c r="H78" i="10"/>
  <c r="N91" i="10"/>
  <c r="F91" i="10"/>
  <c r="L91" i="10"/>
  <c r="D91" i="10"/>
  <c r="J91" i="10"/>
  <c r="I91" i="10"/>
  <c r="H91" i="10"/>
  <c r="M91" i="10"/>
  <c r="K91" i="10"/>
  <c r="G91" i="10"/>
  <c r="H93" i="10"/>
  <c r="N93" i="10"/>
  <c r="F93" i="10"/>
  <c r="L93" i="10"/>
  <c r="D93" i="10"/>
  <c r="K93" i="10"/>
  <c r="J93" i="10"/>
  <c r="M93" i="10"/>
  <c r="E93" i="10"/>
  <c r="I102" i="10"/>
  <c r="H102" i="10"/>
  <c r="G102" i="10"/>
  <c r="M102" i="10"/>
  <c r="E102" i="10"/>
  <c r="L102" i="10"/>
  <c r="D102" i="10"/>
  <c r="K102" i="10"/>
  <c r="N102" i="10"/>
  <c r="F102" i="10"/>
  <c r="J119" i="10"/>
  <c r="I119" i="10"/>
  <c r="H119" i="10"/>
  <c r="G119" i="10"/>
  <c r="N119" i="10"/>
  <c r="F119" i="10"/>
  <c r="M119" i="10"/>
  <c r="E119" i="10"/>
  <c r="L119" i="10"/>
  <c r="D119" i="10"/>
  <c r="K119" i="10"/>
  <c r="M31" i="10"/>
  <c r="L31" i="10"/>
  <c r="D31" i="10"/>
  <c r="K31" i="10"/>
  <c r="H31" i="10"/>
  <c r="G76" i="10"/>
  <c r="M76" i="10"/>
  <c r="E76" i="10"/>
  <c r="K76" i="10"/>
  <c r="J76" i="10"/>
  <c r="I76" i="10"/>
  <c r="L76" i="10"/>
  <c r="H76" i="10"/>
  <c r="F76" i="10"/>
  <c r="K96" i="10"/>
  <c r="I96" i="10"/>
  <c r="G96" i="10"/>
  <c r="N96" i="10"/>
  <c r="F96" i="10"/>
  <c r="M96" i="10"/>
  <c r="E96" i="10"/>
  <c r="L96" i="10"/>
  <c r="J96" i="10"/>
  <c r="H96" i="10"/>
  <c r="D96" i="10"/>
  <c r="F8" i="8"/>
  <c r="H27" i="10"/>
  <c r="J29" i="10"/>
  <c r="I29" i="10"/>
  <c r="H59" i="8" s="1"/>
  <c r="L59" i="8"/>
  <c r="I30" i="10"/>
  <c r="F31" i="10"/>
  <c r="D33" i="10"/>
  <c r="D34" i="10"/>
  <c r="I38" i="10"/>
  <c r="I39" i="10"/>
  <c r="I41" i="10"/>
  <c r="I42" i="10"/>
  <c r="J44" i="10"/>
  <c r="I44" i="10"/>
  <c r="H44" i="10"/>
  <c r="M44" i="10"/>
  <c r="E44" i="10"/>
  <c r="D52" i="10"/>
  <c r="D53" i="10"/>
  <c r="L54" i="10"/>
  <c r="D54" i="10"/>
  <c r="K54" i="10"/>
  <c r="J54" i="10"/>
  <c r="G54" i="10"/>
  <c r="G60" i="10"/>
  <c r="D68" i="10"/>
  <c r="D69" i="10"/>
  <c r="J71" i="10"/>
  <c r="N76" i="10"/>
  <c r="J78" i="10"/>
  <c r="N83" i="10"/>
  <c r="F83" i="10"/>
  <c r="L83" i="10"/>
  <c r="D83" i="10"/>
  <c r="J83" i="10"/>
  <c r="I83" i="10"/>
  <c r="H83" i="10"/>
  <c r="K83" i="10"/>
  <c r="G83" i="10"/>
  <c r="E83" i="10"/>
  <c r="J87" i="10"/>
  <c r="H87" i="10"/>
  <c r="N87" i="10"/>
  <c r="F87" i="10"/>
  <c r="M87" i="10"/>
  <c r="E87" i="10"/>
  <c r="L87" i="10"/>
  <c r="D87" i="10"/>
  <c r="I87" i="10"/>
  <c r="E91" i="10"/>
  <c r="G93" i="10"/>
  <c r="J102" i="10"/>
  <c r="H117" i="10"/>
  <c r="G117" i="10"/>
  <c r="N117" i="10"/>
  <c r="F117" i="10"/>
  <c r="M117" i="10"/>
  <c r="E117" i="10"/>
  <c r="L117" i="10"/>
  <c r="D117" i="10"/>
  <c r="K117" i="10"/>
  <c r="J117" i="10"/>
  <c r="I117" i="10"/>
  <c r="M38" i="10"/>
  <c r="M55" i="10"/>
  <c r="E55" i="10"/>
  <c r="L55" i="10"/>
  <c r="D55" i="10"/>
  <c r="K55" i="10"/>
  <c r="H55" i="10"/>
  <c r="N56" i="10"/>
  <c r="F56" i="10"/>
  <c r="M56" i="10"/>
  <c r="E56" i="10"/>
  <c r="L56" i="10"/>
  <c r="D56" i="10"/>
  <c r="I56" i="10"/>
  <c r="G57" i="10"/>
  <c r="N57" i="10"/>
  <c r="F57" i="10"/>
  <c r="M57" i="10"/>
  <c r="E57" i="10"/>
  <c r="J57" i="10"/>
  <c r="H58" i="10"/>
  <c r="G58" i="10"/>
  <c r="N58" i="10"/>
  <c r="F58" i="10"/>
  <c r="K58" i="10"/>
  <c r="N71" i="10"/>
  <c r="M83" i="10"/>
  <c r="I86" i="10"/>
  <c r="G86" i="10"/>
  <c r="M86" i="10"/>
  <c r="E86" i="10"/>
  <c r="L86" i="10"/>
  <c r="D86" i="10"/>
  <c r="K86" i="10"/>
  <c r="H86" i="10"/>
  <c r="G87" i="10"/>
  <c r="I93" i="10"/>
  <c r="H8" i="8"/>
  <c r="J27" i="10"/>
  <c r="I31" i="10"/>
  <c r="I33" i="10"/>
  <c r="I34" i="10"/>
  <c r="J36" i="10"/>
  <c r="I36" i="10"/>
  <c r="H36" i="10"/>
  <c r="M36" i="10"/>
  <c r="E36" i="10"/>
  <c r="L46" i="10"/>
  <c r="D46" i="10"/>
  <c r="K46" i="10"/>
  <c r="J46" i="10"/>
  <c r="G46" i="10"/>
  <c r="G52" i="10"/>
  <c r="G53" i="10"/>
  <c r="F55" i="10"/>
  <c r="G56" i="10"/>
  <c r="D57" i="10"/>
  <c r="D58" i="10"/>
  <c r="L60" i="10"/>
  <c r="G68" i="10"/>
  <c r="G69" i="10"/>
  <c r="M90" i="10"/>
  <c r="E90" i="10"/>
  <c r="K90" i="10"/>
  <c r="I90" i="10"/>
  <c r="H90" i="10"/>
  <c r="G90" i="10"/>
  <c r="L90" i="10"/>
  <c r="J90" i="10"/>
  <c r="F90" i="10"/>
  <c r="G92" i="10"/>
  <c r="M92" i="10"/>
  <c r="E92" i="10"/>
  <c r="K92" i="10"/>
  <c r="J92" i="10"/>
  <c r="I92" i="10"/>
  <c r="N92" i="10"/>
  <c r="L92" i="10"/>
  <c r="D92" i="10"/>
  <c r="J111" i="10"/>
  <c r="I111" i="10"/>
  <c r="H111" i="10"/>
  <c r="G111" i="10"/>
  <c r="N111" i="10"/>
  <c r="F111" i="10"/>
  <c r="M111" i="10"/>
  <c r="E111" i="10"/>
  <c r="L111" i="10"/>
  <c r="D111" i="10"/>
  <c r="K111" i="10"/>
  <c r="G31" i="10"/>
  <c r="I35" i="10"/>
  <c r="H35" i="10"/>
  <c r="G35" i="10"/>
  <c r="L35" i="10"/>
  <c r="D35" i="10"/>
  <c r="K30" i="10"/>
  <c r="J30" i="10"/>
  <c r="G30" i="10"/>
  <c r="J31" i="10"/>
  <c r="F35" i="10"/>
  <c r="M47" i="10"/>
  <c r="E47" i="10"/>
  <c r="L47" i="10"/>
  <c r="D47" i="10"/>
  <c r="K47" i="10"/>
  <c r="H47" i="10"/>
  <c r="F48" i="10"/>
  <c r="M48" i="10"/>
  <c r="E48" i="10"/>
  <c r="L48" i="10"/>
  <c r="D48" i="10"/>
  <c r="I48" i="10"/>
  <c r="G49" i="10"/>
  <c r="F49" i="10"/>
  <c r="M49" i="10"/>
  <c r="E49" i="10"/>
  <c r="J49" i="10"/>
  <c r="H50" i="10"/>
  <c r="G50" i="10"/>
  <c r="F50" i="10"/>
  <c r="K50" i="10"/>
  <c r="G55" i="10"/>
  <c r="H56" i="10"/>
  <c r="H57" i="10"/>
  <c r="E58" i="10"/>
  <c r="I59" i="10"/>
  <c r="H59" i="10"/>
  <c r="G59" i="10"/>
  <c r="L59" i="10"/>
  <c r="D59" i="10"/>
  <c r="M63" i="10"/>
  <c r="E63" i="10"/>
  <c r="L63" i="10"/>
  <c r="D63" i="10"/>
  <c r="K63" i="10"/>
  <c r="H63" i="10"/>
  <c r="N64" i="10"/>
  <c r="F64" i="10"/>
  <c r="M64" i="10"/>
  <c r="E64" i="10"/>
  <c r="L64" i="10"/>
  <c r="D64" i="10"/>
  <c r="I64" i="10"/>
  <c r="G65" i="10"/>
  <c r="N65" i="10"/>
  <c r="F65" i="10"/>
  <c r="M65" i="10"/>
  <c r="E65" i="10"/>
  <c r="J65" i="10"/>
  <c r="H66" i="10"/>
  <c r="G66" i="10"/>
  <c r="N66" i="10"/>
  <c r="F66" i="10"/>
  <c r="K66" i="10"/>
  <c r="H77" i="10"/>
  <c r="N77" i="10"/>
  <c r="F77" i="10"/>
  <c r="L77" i="10"/>
  <c r="D77" i="10"/>
  <c r="K77" i="10"/>
  <c r="J77" i="10"/>
  <c r="M77" i="10"/>
  <c r="I77" i="10"/>
  <c r="G77" i="10"/>
  <c r="M82" i="10"/>
  <c r="E82" i="10"/>
  <c r="K82" i="10"/>
  <c r="I82" i="10"/>
  <c r="H82" i="10"/>
  <c r="G82" i="10"/>
  <c r="J82" i="10"/>
  <c r="F82" i="10"/>
  <c r="D82" i="10"/>
  <c r="F37" i="10"/>
  <c r="F45" i="10"/>
  <c r="F61" i="10"/>
  <c r="N61" i="10"/>
  <c r="G62" i="10"/>
  <c r="G70" i="10"/>
  <c r="G84" i="10"/>
  <c r="M84" i="10"/>
  <c r="E84" i="10"/>
  <c r="K84" i="10"/>
  <c r="J84" i="10"/>
  <c r="I84" i="10"/>
  <c r="H85" i="10"/>
  <c r="N85" i="10"/>
  <c r="F85" i="10"/>
  <c r="L85" i="10"/>
  <c r="D85" i="10"/>
  <c r="K85" i="10"/>
  <c r="J85" i="10"/>
  <c r="M98" i="10"/>
  <c r="E98" i="10"/>
  <c r="K98" i="10"/>
  <c r="I98" i="10"/>
  <c r="H98" i="10"/>
  <c r="G98" i="10"/>
  <c r="N99" i="10"/>
  <c r="F99" i="10"/>
  <c r="M99" i="10"/>
  <c r="E99" i="10"/>
  <c r="L99" i="10"/>
  <c r="D99" i="10"/>
  <c r="J99" i="10"/>
  <c r="I99" i="10"/>
  <c r="H99" i="10"/>
  <c r="M114" i="10"/>
  <c r="E114" i="10"/>
  <c r="L114" i="10"/>
  <c r="D114" i="10"/>
  <c r="K114" i="10"/>
  <c r="J114" i="10"/>
  <c r="I114" i="10"/>
  <c r="H114" i="10"/>
  <c r="G114" i="10"/>
  <c r="M122" i="10"/>
  <c r="E122" i="10"/>
  <c r="L122" i="10"/>
  <c r="D122" i="10"/>
  <c r="K122" i="10"/>
  <c r="J122" i="10"/>
  <c r="I122" i="10"/>
  <c r="H122" i="10"/>
  <c r="G122" i="10"/>
  <c r="L97" i="10"/>
  <c r="D97" i="10"/>
  <c r="J97" i="10"/>
  <c r="H97" i="10"/>
  <c r="G97" i="10"/>
  <c r="N97" i="10"/>
  <c r="F97" i="10"/>
  <c r="H101" i="10"/>
  <c r="G101" i="10"/>
  <c r="N101" i="10"/>
  <c r="F101" i="10"/>
  <c r="L101" i="10"/>
  <c r="D101" i="10"/>
  <c r="K101" i="10"/>
  <c r="J101" i="10"/>
  <c r="K104" i="10"/>
  <c r="J104" i="10"/>
  <c r="I104" i="10"/>
  <c r="H104" i="10"/>
  <c r="G104" i="10"/>
  <c r="N104" i="10"/>
  <c r="F104" i="10"/>
  <c r="M104" i="10"/>
  <c r="E104" i="10"/>
  <c r="I37" i="10"/>
  <c r="I45" i="10"/>
  <c r="I61" i="10"/>
  <c r="J62" i="10"/>
  <c r="J70" i="10"/>
  <c r="M74" i="10"/>
  <c r="E74" i="10"/>
  <c r="K74" i="10"/>
  <c r="I74" i="10"/>
  <c r="H74" i="10"/>
  <c r="G74" i="10"/>
  <c r="N75" i="10"/>
  <c r="F75" i="10"/>
  <c r="L75" i="10"/>
  <c r="D75" i="10"/>
  <c r="J75" i="10"/>
  <c r="I75" i="10"/>
  <c r="H75" i="10"/>
  <c r="K88" i="10"/>
  <c r="I88" i="10"/>
  <c r="G88" i="10"/>
  <c r="N88" i="10"/>
  <c r="F88" i="10"/>
  <c r="M88" i="10"/>
  <c r="E88" i="10"/>
  <c r="L89" i="10"/>
  <c r="D89" i="10"/>
  <c r="J89" i="10"/>
  <c r="H89" i="10"/>
  <c r="G89" i="10"/>
  <c r="N89" i="10"/>
  <c r="F89" i="10"/>
  <c r="E97" i="10"/>
  <c r="E101" i="10"/>
  <c r="D104" i="10"/>
  <c r="J37" i="10"/>
  <c r="J45" i="10"/>
  <c r="J61" i="10"/>
  <c r="L73" i="10"/>
  <c r="D73" i="10"/>
  <c r="J73" i="10"/>
  <c r="H73" i="10"/>
  <c r="N73" i="10"/>
  <c r="F73" i="10"/>
  <c r="K80" i="10"/>
  <c r="I80" i="10"/>
  <c r="G80" i="10"/>
  <c r="N80" i="10"/>
  <c r="F80" i="10"/>
  <c r="M80" i="10"/>
  <c r="E80" i="10"/>
  <c r="L81" i="10"/>
  <c r="D81" i="10"/>
  <c r="J81" i="10"/>
  <c r="H81" i="10"/>
  <c r="G81" i="10"/>
  <c r="N81" i="10"/>
  <c r="F81" i="10"/>
  <c r="I97" i="10"/>
  <c r="G100" i="10"/>
  <c r="N100" i="10"/>
  <c r="F100" i="10"/>
  <c r="M100" i="10"/>
  <c r="E100" i="10"/>
  <c r="K100" i="10"/>
  <c r="J100" i="10"/>
  <c r="I100" i="10"/>
  <c r="I101" i="10"/>
  <c r="L104" i="10"/>
  <c r="I110" i="10"/>
  <c r="H110" i="10"/>
  <c r="G110" i="10"/>
  <c r="N110" i="10"/>
  <c r="F110" i="10"/>
  <c r="M110" i="10"/>
  <c r="E110" i="10"/>
  <c r="L110" i="10"/>
  <c r="D110" i="10"/>
  <c r="K110" i="10"/>
  <c r="K112" i="10"/>
  <c r="J112" i="10"/>
  <c r="I112" i="10"/>
  <c r="H112" i="10"/>
  <c r="G112" i="10"/>
  <c r="N112" i="10"/>
  <c r="F112" i="10"/>
  <c r="M112" i="10"/>
  <c r="E112" i="10"/>
  <c r="I118" i="10"/>
  <c r="H118" i="10"/>
  <c r="G118" i="10"/>
  <c r="N118" i="10"/>
  <c r="F118" i="10"/>
  <c r="M118" i="10"/>
  <c r="E118" i="10"/>
  <c r="L118" i="10"/>
  <c r="D118" i="10"/>
  <c r="K118" i="10"/>
  <c r="K120" i="10"/>
  <c r="J120" i="10"/>
  <c r="I120" i="10"/>
  <c r="H120" i="10"/>
  <c r="G120" i="10"/>
  <c r="N120" i="10"/>
  <c r="F120" i="10"/>
  <c r="M120" i="10"/>
  <c r="E120" i="10"/>
  <c r="D80" i="10"/>
  <c r="I94" i="10"/>
  <c r="G94" i="10"/>
  <c r="M94" i="10"/>
  <c r="E94" i="10"/>
  <c r="L94" i="10"/>
  <c r="D94" i="10"/>
  <c r="K94" i="10"/>
  <c r="J95" i="10"/>
  <c r="H95" i="10"/>
  <c r="N95" i="10"/>
  <c r="F95" i="10"/>
  <c r="M95" i="10"/>
  <c r="E95" i="10"/>
  <c r="L95" i="10"/>
  <c r="D95" i="10"/>
  <c r="K97" i="10"/>
  <c r="D100" i="10"/>
  <c r="M101" i="10"/>
  <c r="M106" i="10"/>
  <c r="E106" i="10"/>
  <c r="L106" i="10"/>
  <c r="D106" i="10"/>
  <c r="K106" i="10"/>
  <c r="J106" i="10"/>
  <c r="I106" i="10"/>
  <c r="H106" i="10"/>
  <c r="G106" i="10"/>
  <c r="G108" i="10"/>
  <c r="N108" i="10"/>
  <c r="F108" i="10"/>
  <c r="M108" i="10"/>
  <c r="E108" i="10"/>
  <c r="L108" i="10"/>
  <c r="D108" i="10"/>
  <c r="K108" i="10"/>
  <c r="J108" i="10"/>
  <c r="I108" i="10"/>
  <c r="J110" i="10"/>
  <c r="D112" i="10"/>
  <c r="M97" i="10"/>
  <c r="J103" i="10"/>
  <c r="I103" i="10"/>
  <c r="H103" i="10"/>
  <c r="N103" i="10"/>
  <c r="F103" i="10"/>
  <c r="M103" i="10"/>
  <c r="E103" i="10"/>
  <c r="L103" i="10"/>
  <c r="D103" i="10"/>
  <c r="F105" i="10"/>
  <c r="N105" i="10"/>
  <c r="H107" i="10"/>
  <c r="F113" i="10"/>
  <c r="N113" i="10"/>
  <c r="H115" i="10"/>
  <c r="I116" i="10"/>
  <c r="F121" i="10"/>
  <c r="N121" i="10"/>
  <c r="H123" i="10"/>
  <c r="G105" i="10"/>
  <c r="I107" i="10"/>
  <c r="G113" i="10"/>
  <c r="I115" i="10"/>
  <c r="J116" i="10"/>
  <c r="G121" i="10"/>
  <c r="I123" i="10"/>
  <c r="H105" i="10"/>
  <c r="J107" i="10"/>
  <c r="H113" i="10"/>
  <c r="J115" i="10"/>
  <c r="K116" i="10"/>
  <c r="H121" i="10"/>
  <c r="J123" i="10"/>
  <c r="K107" i="10"/>
  <c r="K115" i="10"/>
  <c r="K123" i="10"/>
  <c r="J105" i="10"/>
  <c r="D107" i="10"/>
  <c r="L107" i="10"/>
  <c r="J113" i="10"/>
  <c r="D115" i="10"/>
  <c r="L115" i="10"/>
  <c r="E116" i="10"/>
  <c r="M116" i="10"/>
  <c r="J121" i="10"/>
  <c r="D123" i="10"/>
  <c r="L123" i="10"/>
  <c r="K105" i="10"/>
  <c r="E107" i="10"/>
  <c r="M107" i="10"/>
  <c r="K113" i="10"/>
  <c r="E115" i="10"/>
  <c r="M115" i="10"/>
  <c r="K121" i="10"/>
  <c r="E123" i="10"/>
  <c r="M123" i="10"/>
  <c r="D105" i="10"/>
  <c r="F107" i="10"/>
  <c r="D113" i="10"/>
  <c r="F115" i="10"/>
  <c r="D121" i="10"/>
  <c r="F123" i="10"/>
  <c r="E100" i="15"/>
  <c r="L100" i="15"/>
  <c r="N100" i="15"/>
  <c r="J29" i="15"/>
  <c r="D21" i="15"/>
  <c r="E97" i="15"/>
  <c r="H89" i="15"/>
  <c r="I83" i="15"/>
  <c r="H75" i="15"/>
  <c r="N69" i="15"/>
  <c r="G40" i="15"/>
  <c r="H29" i="15"/>
  <c r="J10" i="15"/>
  <c r="K10" i="15" s="1"/>
  <c r="O95" i="15"/>
  <c r="G93" i="15"/>
  <c r="D89" i="15"/>
  <c r="F83" i="15"/>
  <c r="J74" i="15"/>
  <c r="K69" i="15"/>
  <c r="N45" i="15"/>
  <c r="D40" i="15"/>
  <c r="D28" i="15"/>
  <c r="E28" i="15" s="1"/>
  <c r="H17" i="15"/>
  <c r="D10" i="15"/>
  <c r="E10" i="15" s="1"/>
  <c r="D93" i="15"/>
  <c r="O82" i="15"/>
  <c r="P73" i="15"/>
  <c r="P67" i="15"/>
  <c r="E56" i="15"/>
  <c r="O38" i="15"/>
  <c r="L16" i="15"/>
  <c r="M16" i="15" s="1"/>
  <c r="I9" i="15"/>
  <c r="F95" i="15"/>
  <c r="E82" i="15"/>
  <c r="H73" i="15"/>
  <c r="H67" i="15"/>
  <c r="I38" i="15"/>
  <c r="J25" i="15"/>
  <c r="H15" i="15"/>
  <c r="I15" i="15" s="1"/>
  <c r="D9" i="15"/>
  <c r="E9" i="15" s="1"/>
  <c r="O99" i="15"/>
  <c r="P94" i="15"/>
  <c r="P90" i="15"/>
  <c r="O85" i="15"/>
  <c r="O81" i="15"/>
  <c r="G72" i="15"/>
  <c r="J63" i="15"/>
  <c r="N51" i="15"/>
  <c r="N37" i="15"/>
  <c r="H25" i="15"/>
  <c r="L7" i="15"/>
  <c r="M7" i="15" s="1"/>
  <c r="L94" i="15"/>
  <c r="N90" i="15"/>
  <c r="H85" i="15"/>
  <c r="H81" i="15"/>
  <c r="I62" i="15"/>
  <c r="J42" i="15"/>
  <c r="D37" i="15"/>
  <c r="L13" i="15"/>
  <c r="O98" i="15"/>
  <c r="D90" i="15"/>
  <c r="E85" i="15"/>
  <c r="J71" i="15"/>
  <c r="F62" i="15"/>
  <c r="P41" i="15"/>
  <c r="J21" i="15"/>
  <c r="K21" i="15" s="1"/>
  <c r="L98" i="15"/>
  <c r="P93" i="15"/>
  <c r="N75" i="15"/>
  <c r="I70" i="15"/>
  <c r="O49" i="15"/>
  <c r="O40" i="15"/>
  <c r="D31" i="15"/>
  <c r="E31" i="15" s="1"/>
  <c r="F80" i="15"/>
  <c r="N80" i="15"/>
  <c r="H80" i="15"/>
  <c r="P80" i="15"/>
  <c r="I80" i="15"/>
  <c r="K80" i="15"/>
  <c r="D80" i="15"/>
  <c r="J80" i="15"/>
  <c r="E80" i="15"/>
  <c r="G80" i="15"/>
  <c r="L80" i="15"/>
  <c r="O80" i="15"/>
  <c r="J76" i="15"/>
  <c r="D76" i="15"/>
  <c r="L76" i="15"/>
  <c r="E76" i="15"/>
  <c r="G76" i="15"/>
  <c r="O76" i="15"/>
  <c r="F76" i="15"/>
  <c r="H76" i="15"/>
  <c r="N76" i="15"/>
  <c r="I76" i="15"/>
  <c r="K76" i="15"/>
  <c r="P76" i="15"/>
  <c r="I13" i="15"/>
  <c r="D13" i="15"/>
  <c r="E13" i="15" s="1"/>
  <c r="F13" i="15"/>
  <c r="J13" i="15"/>
  <c r="D99" i="15"/>
  <c r="L99" i="15"/>
  <c r="E99" i="15"/>
  <c r="H99" i="15"/>
  <c r="P99" i="15"/>
  <c r="G99" i="15"/>
  <c r="I99" i="15"/>
  <c r="J99" i="15"/>
  <c r="N99" i="15"/>
  <c r="D91" i="15"/>
  <c r="L91" i="15"/>
  <c r="E91" i="15"/>
  <c r="H91" i="15"/>
  <c r="P91" i="15"/>
  <c r="F91" i="15"/>
  <c r="I91" i="15"/>
  <c r="J91" i="15"/>
  <c r="K91" i="15"/>
  <c r="O91" i="15"/>
  <c r="H87" i="15"/>
  <c r="P87" i="15"/>
  <c r="I87" i="15"/>
  <c r="D87" i="15"/>
  <c r="L87" i="15"/>
  <c r="F87" i="15"/>
  <c r="G87" i="15"/>
  <c r="J87" i="15"/>
  <c r="K87" i="15"/>
  <c r="N87" i="15"/>
  <c r="O87" i="15"/>
  <c r="J68" i="15"/>
  <c r="D68" i="15"/>
  <c r="L68" i="15"/>
  <c r="E68" i="15"/>
  <c r="G68" i="15"/>
  <c r="O68" i="15"/>
  <c r="N68" i="15"/>
  <c r="P68" i="15"/>
  <c r="F68" i="15"/>
  <c r="H68" i="15"/>
  <c r="I68" i="15"/>
  <c r="K68" i="15"/>
  <c r="F64" i="15"/>
  <c r="N64" i="15"/>
  <c r="H64" i="15"/>
  <c r="P64" i="15"/>
  <c r="I64" i="15"/>
  <c r="K64" i="15"/>
  <c r="D64" i="15"/>
  <c r="J64" i="15"/>
  <c r="G64" i="15"/>
  <c r="L64" i="15"/>
  <c r="O64" i="15"/>
  <c r="I57" i="15"/>
  <c r="K57" i="15"/>
  <c r="D57" i="15"/>
  <c r="L57" i="15"/>
  <c r="F57" i="15"/>
  <c r="N57" i="15"/>
  <c r="O57" i="15"/>
  <c r="E57" i="15"/>
  <c r="G57" i="15"/>
  <c r="H57" i="15"/>
  <c r="J57" i="15"/>
  <c r="P57" i="15"/>
  <c r="E53" i="15"/>
  <c r="G53" i="15"/>
  <c r="O53" i="15"/>
  <c r="H53" i="15"/>
  <c r="P53" i="15"/>
  <c r="J53" i="15"/>
  <c r="I53" i="15"/>
  <c r="D53" i="15"/>
  <c r="F53" i="15"/>
  <c r="K53" i="15"/>
  <c r="L53" i="15"/>
  <c r="N53" i="15"/>
  <c r="D34" i="15"/>
  <c r="L34" i="15"/>
  <c r="F34" i="15"/>
  <c r="N34" i="15"/>
  <c r="G34" i="15"/>
  <c r="O34" i="15"/>
  <c r="I34" i="15"/>
  <c r="H34" i="15"/>
  <c r="J34" i="15"/>
  <c r="P34" i="15"/>
  <c r="E34" i="15"/>
  <c r="J26" i="15"/>
  <c r="J23" i="15"/>
  <c r="K23" i="15" s="1"/>
  <c r="L24" i="15"/>
  <c r="M24" i="15" s="1"/>
  <c r="D24" i="15"/>
  <c r="E24" i="15" s="1"/>
  <c r="G24" i="15"/>
  <c r="H20" i="15"/>
  <c r="I20" i="15" s="1"/>
  <c r="J20" i="15"/>
  <c r="L20" i="15"/>
  <c r="M20" i="15" s="1"/>
  <c r="K79" i="15"/>
  <c r="E79" i="15"/>
  <c r="F79" i="15"/>
  <c r="N79" i="15"/>
  <c r="H79" i="15"/>
  <c r="P79" i="15"/>
  <c r="O79" i="15"/>
  <c r="G79" i="15"/>
  <c r="D79" i="15"/>
  <c r="I79" i="15"/>
  <c r="J79" i="15"/>
  <c r="F20" i="15"/>
  <c r="G20" i="15" s="1"/>
  <c r="P97" i="15"/>
  <c r="J12" i="15"/>
  <c r="K12" i="15" s="1"/>
  <c r="D12" i="15"/>
  <c r="E12" i="15" s="1"/>
  <c r="H12" i="15"/>
  <c r="I12" i="15" s="1"/>
  <c r="I98" i="15"/>
  <c r="J98" i="15"/>
  <c r="E98" i="15"/>
  <c r="D98" i="15"/>
  <c r="P98" i="15"/>
  <c r="G98" i="15"/>
  <c r="H98" i="15"/>
  <c r="K98" i="15"/>
  <c r="N98" i="15"/>
  <c r="I90" i="15"/>
  <c r="J90" i="15"/>
  <c r="E90" i="15"/>
  <c r="F90" i="15"/>
  <c r="H90" i="15"/>
  <c r="K90" i="15"/>
  <c r="L90" i="15"/>
  <c r="O90" i="15"/>
  <c r="E86" i="15"/>
  <c r="F86" i="15"/>
  <c r="N86" i="15"/>
  <c r="I86" i="15"/>
  <c r="G86" i="15"/>
  <c r="H86" i="15"/>
  <c r="J86" i="15"/>
  <c r="K86" i="15"/>
  <c r="L86" i="15"/>
  <c r="O86" i="15"/>
  <c r="P86" i="15"/>
  <c r="J52" i="15"/>
  <c r="D52" i="15"/>
  <c r="L52" i="15"/>
  <c r="E52" i="15"/>
  <c r="G52" i="15"/>
  <c r="O52" i="15"/>
  <c r="N52" i="15"/>
  <c r="P52" i="15"/>
  <c r="F52" i="15"/>
  <c r="I52" i="15"/>
  <c r="K52" i="15"/>
  <c r="F48" i="15"/>
  <c r="N48" i="15"/>
  <c r="H48" i="15"/>
  <c r="P48" i="15"/>
  <c r="I48" i="15"/>
  <c r="K48" i="15"/>
  <c r="D48" i="15"/>
  <c r="J48" i="15"/>
  <c r="L48" i="15"/>
  <c r="O48" i="15"/>
  <c r="E48" i="15"/>
  <c r="J44" i="15"/>
  <c r="D44" i="15"/>
  <c r="L44" i="15"/>
  <c r="E44" i="15"/>
  <c r="G44" i="15"/>
  <c r="O44" i="15"/>
  <c r="F44" i="15"/>
  <c r="H44" i="15"/>
  <c r="N44" i="15"/>
  <c r="K44" i="15"/>
  <c r="P44" i="15"/>
  <c r="I33" i="15"/>
  <c r="K33" i="15"/>
  <c r="D33" i="15"/>
  <c r="L33" i="15"/>
  <c r="F33" i="15"/>
  <c r="N33" i="15"/>
  <c r="E33" i="15"/>
  <c r="G33" i="15"/>
  <c r="H33" i="15"/>
  <c r="J33" i="15"/>
  <c r="O33" i="15"/>
  <c r="P33" i="15"/>
  <c r="L22" i="15"/>
  <c r="M22" i="15" s="1"/>
  <c r="D20" i="15"/>
  <c r="F12" i="15"/>
  <c r="G12" i="15" s="1"/>
  <c r="F92" i="15"/>
  <c r="L27" i="15"/>
  <c r="M27" i="15" s="1"/>
  <c r="D27" i="15"/>
  <c r="E27" i="15" s="1"/>
  <c r="F27" i="15"/>
  <c r="G27" i="15" s="1"/>
  <c r="J27" i="15"/>
  <c r="H23" i="15"/>
  <c r="L23" i="15"/>
  <c r="M23" i="15" s="1"/>
  <c r="D23" i="15"/>
  <c r="E23" i="15" s="1"/>
  <c r="D19" i="15"/>
  <c r="E19" i="15" s="1"/>
  <c r="F19" i="15"/>
  <c r="G19" i="15" s="1"/>
  <c r="H19" i="15"/>
  <c r="L19" i="15"/>
  <c r="M19" i="15" s="1"/>
  <c r="J36" i="15"/>
  <c r="D36" i="15"/>
  <c r="L36" i="15"/>
  <c r="E36" i="15"/>
  <c r="G36" i="15"/>
  <c r="O36" i="15"/>
  <c r="N36" i="15"/>
  <c r="P36" i="15"/>
  <c r="F36" i="15"/>
  <c r="K36" i="15"/>
  <c r="H36" i="15"/>
  <c r="H22" i="15"/>
  <c r="J19" i="15"/>
  <c r="L79" i="15"/>
  <c r="I36" i="15"/>
  <c r="E5" i="8"/>
  <c r="L15" i="15"/>
  <c r="M15" i="15" s="1"/>
  <c r="D15" i="15"/>
  <c r="E15" i="15" s="1"/>
  <c r="F15" i="15"/>
  <c r="G15" i="15" s="1"/>
  <c r="H11" i="15"/>
  <c r="I11" i="15" s="1"/>
  <c r="D11" i="15"/>
  <c r="E11" i="15" s="1"/>
  <c r="J11" i="15"/>
  <c r="L11" i="15"/>
  <c r="M11" i="15" s="1"/>
  <c r="F97" i="15"/>
  <c r="N97" i="15"/>
  <c r="G97" i="15"/>
  <c r="O97" i="15"/>
  <c r="J97" i="15"/>
  <c r="D97" i="15"/>
  <c r="H97" i="15"/>
  <c r="I97" i="15"/>
  <c r="K97" i="15"/>
  <c r="D66" i="15"/>
  <c r="L66" i="15"/>
  <c r="F66" i="15"/>
  <c r="N66" i="15"/>
  <c r="G66" i="15"/>
  <c r="O66" i="15"/>
  <c r="I66" i="15"/>
  <c r="H66" i="15"/>
  <c r="J66" i="15"/>
  <c r="P66" i="15"/>
  <c r="E66" i="15"/>
  <c r="K66" i="15"/>
  <c r="G59" i="15"/>
  <c r="O59" i="15"/>
  <c r="I59" i="15"/>
  <c r="J59" i="15"/>
  <c r="D59" i="15"/>
  <c r="L59" i="15"/>
  <c r="E59" i="15"/>
  <c r="K59" i="15"/>
  <c r="F59" i="15"/>
  <c r="H59" i="15"/>
  <c r="N59" i="15"/>
  <c r="K55" i="15"/>
  <c r="E55" i="15"/>
  <c r="F55" i="15"/>
  <c r="N55" i="15"/>
  <c r="H55" i="15"/>
  <c r="P55" i="15"/>
  <c r="G55" i="15"/>
  <c r="I55" i="15"/>
  <c r="O55" i="15"/>
  <c r="D55" i="15"/>
  <c r="J55" i="15"/>
  <c r="L55" i="15"/>
  <c r="K47" i="15"/>
  <c r="E47" i="15"/>
  <c r="F47" i="15"/>
  <c r="N47" i="15"/>
  <c r="H47" i="15"/>
  <c r="P47" i="15"/>
  <c r="O47" i="15"/>
  <c r="G47" i="15"/>
  <c r="D47" i="15"/>
  <c r="I47" i="15"/>
  <c r="J47" i="15"/>
  <c r="L47" i="15"/>
  <c r="F32" i="15"/>
  <c r="N32" i="15"/>
  <c r="H32" i="15"/>
  <c r="P32" i="15"/>
  <c r="I32" i="15"/>
  <c r="K32" i="15"/>
  <c r="D32" i="15"/>
  <c r="J32" i="15"/>
  <c r="O32" i="15"/>
  <c r="E32" i="15"/>
  <c r="G32" i="15"/>
  <c r="K99" i="15"/>
  <c r="P96" i="15"/>
  <c r="N91" i="15"/>
  <c r="E64" i="15"/>
  <c r="G48" i="15"/>
  <c r="K34" i="15"/>
  <c r="D26" i="15"/>
  <c r="E26" i="15" s="1"/>
  <c r="F26" i="15"/>
  <c r="G26" i="15" s="1"/>
  <c r="H26" i="15"/>
  <c r="I26" i="15" s="1"/>
  <c r="F22" i="15"/>
  <c r="G22" i="15" s="1"/>
  <c r="J22" i="15"/>
  <c r="E77" i="15"/>
  <c r="G77" i="15"/>
  <c r="O77" i="15"/>
  <c r="H77" i="15"/>
  <c r="P77" i="15"/>
  <c r="J77" i="15"/>
  <c r="I77" i="15"/>
  <c r="K77" i="15"/>
  <c r="D77" i="15"/>
  <c r="F77" i="15"/>
  <c r="L77" i="15"/>
  <c r="G35" i="15"/>
  <c r="O35" i="15"/>
  <c r="I35" i="15"/>
  <c r="J35" i="15"/>
  <c r="D35" i="15"/>
  <c r="L35" i="15"/>
  <c r="K35" i="15"/>
  <c r="E35" i="15"/>
  <c r="F35" i="15"/>
  <c r="H35" i="15"/>
  <c r="N35" i="15"/>
  <c r="P35" i="15"/>
  <c r="J24" i="15"/>
  <c r="K24" i="15" s="1"/>
  <c r="N77" i="15"/>
  <c r="K96" i="15"/>
  <c r="D96" i="15"/>
  <c r="L96" i="15"/>
  <c r="G96" i="15"/>
  <c r="O96" i="15"/>
  <c r="E96" i="15"/>
  <c r="H96" i="15"/>
  <c r="I96" i="15"/>
  <c r="J96" i="15"/>
  <c r="N96" i="15"/>
  <c r="G92" i="15"/>
  <c r="O92" i="15"/>
  <c r="H92" i="15"/>
  <c r="P92" i="15"/>
  <c r="K92" i="15"/>
  <c r="E92" i="15"/>
  <c r="I92" i="15"/>
  <c r="J92" i="15"/>
  <c r="L92" i="15"/>
  <c r="N92" i="15"/>
  <c r="K88" i="15"/>
  <c r="D88" i="15"/>
  <c r="L88" i="15"/>
  <c r="G88" i="15"/>
  <c r="O88" i="15"/>
  <c r="F88" i="15"/>
  <c r="H88" i="15"/>
  <c r="I88" i="15"/>
  <c r="J88" i="15"/>
  <c r="N88" i="15"/>
  <c r="P88" i="15"/>
  <c r="G84" i="15"/>
  <c r="O84" i="15"/>
  <c r="H84" i="15"/>
  <c r="P84" i="15"/>
  <c r="K84" i="15"/>
  <c r="F84" i="15"/>
  <c r="I84" i="15"/>
  <c r="J84" i="15"/>
  <c r="L84" i="15"/>
  <c r="N84" i="15"/>
  <c r="D84" i="15"/>
  <c r="I65" i="15"/>
  <c r="K65" i="15"/>
  <c r="D65" i="15"/>
  <c r="L65" i="15"/>
  <c r="F65" i="15"/>
  <c r="N65" i="15"/>
  <c r="E65" i="15"/>
  <c r="G65" i="15"/>
  <c r="H65" i="15"/>
  <c r="J65" i="15"/>
  <c r="O65" i="15"/>
  <c r="D58" i="15"/>
  <c r="L58" i="15"/>
  <c r="F58" i="15"/>
  <c r="N58" i="15"/>
  <c r="G58" i="15"/>
  <c r="O58" i="15"/>
  <c r="I58" i="15"/>
  <c r="P58" i="15"/>
  <c r="H58" i="15"/>
  <c r="J58" i="15"/>
  <c r="K58" i="15"/>
  <c r="H54" i="15"/>
  <c r="P54" i="15"/>
  <c r="J54" i="15"/>
  <c r="K54" i="15"/>
  <c r="E54" i="15"/>
  <c r="D54" i="15"/>
  <c r="F54" i="15"/>
  <c r="L54" i="15"/>
  <c r="I54" i="15"/>
  <c r="N54" i="15"/>
  <c r="O54" i="15"/>
  <c r="H46" i="15"/>
  <c r="P46" i="15"/>
  <c r="J46" i="15"/>
  <c r="K46" i="15"/>
  <c r="E46" i="15"/>
  <c r="L46" i="15"/>
  <c r="N46" i="15"/>
  <c r="D46" i="15"/>
  <c r="I46" i="15"/>
  <c r="O46" i="15"/>
  <c r="F46" i="15"/>
  <c r="H27" i="15"/>
  <c r="I27" i="15" s="1"/>
  <c r="H24" i="15"/>
  <c r="F96" i="15"/>
  <c r="G54" i="15"/>
  <c r="D8" i="15"/>
  <c r="E8" i="15" s="1"/>
  <c r="H8" i="15"/>
  <c r="I8" i="15" s="1"/>
  <c r="G22" i="8"/>
  <c r="E94" i="15"/>
  <c r="F94" i="15"/>
  <c r="N94" i="15"/>
  <c r="I94" i="15"/>
  <c r="D83" i="15"/>
  <c r="L83" i="15"/>
  <c r="E83" i="15"/>
  <c r="H83" i="15"/>
  <c r="P83" i="15"/>
  <c r="F72" i="15"/>
  <c r="N72" i="15"/>
  <c r="H72" i="15"/>
  <c r="P72" i="15"/>
  <c r="I72" i="15"/>
  <c r="K72" i="15"/>
  <c r="J72" i="15"/>
  <c r="L72" i="15"/>
  <c r="E61" i="15"/>
  <c r="G61" i="15"/>
  <c r="O61" i="15"/>
  <c r="H61" i="15"/>
  <c r="P61" i="15"/>
  <c r="J61" i="15"/>
  <c r="I61" i="15"/>
  <c r="K61" i="15"/>
  <c r="D50" i="15"/>
  <c r="L50" i="15"/>
  <c r="F50" i="15"/>
  <c r="N50" i="15"/>
  <c r="G50" i="15"/>
  <c r="O50" i="15"/>
  <c r="I50" i="15"/>
  <c r="H50" i="15"/>
  <c r="J50" i="15"/>
  <c r="P50" i="15"/>
  <c r="G43" i="15"/>
  <c r="O43" i="15"/>
  <c r="I43" i="15"/>
  <c r="J43" i="15"/>
  <c r="D43" i="15"/>
  <c r="L43" i="15"/>
  <c r="E43" i="15"/>
  <c r="K43" i="15"/>
  <c r="K39" i="15"/>
  <c r="E39" i="15"/>
  <c r="F39" i="15"/>
  <c r="N39" i="15"/>
  <c r="H39" i="15"/>
  <c r="P39" i="15"/>
  <c r="G39" i="15"/>
  <c r="I39" i="15"/>
  <c r="O39" i="15"/>
  <c r="H30" i="15"/>
  <c r="I30" i="15" s="1"/>
  <c r="J28" i="15"/>
  <c r="K28" i="15" s="1"/>
  <c r="L21" i="15"/>
  <c r="J16" i="15"/>
  <c r="K16" i="15" s="1"/>
  <c r="L10" i="15"/>
  <c r="M10" i="15" s="1"/>
  <c r="N95" i="15"/>
  <c r="O94" i="15"/>
  <c r="P89" i="15"/>
  <c r="P85" i="15"/>
  <c r="D85" i="15"/>
  <c r="J73" i="15"/>
  <c r="L69" i="15"/>
  <c r="N67" i="15"/>
  <c r="L63" i="15"/>
  <c r="N61" i="15"/>
  <c r="P51" i="15"/>
  <c r="P43" i="15"/>
  <c r="F18" i="15"/>
  <c r="G18" i="15" s="1"/>
  <c r="J18" i="15"/>
  <c r="K18" i="15" s="1"/>
  <c r="G100" i="15"/>
  <c r="O100" i="15"/>
  <c r="H100" i="15"/>
  <c r="P100" i="15"/>
  <c r="K100" i="15"/>
  <c r="J93" i="15"/>
  <c r="K93" i="15"/>
  <c r="F93" i="15"/>
  <c r="N93" i="15"/>
  <c r="D82" i="15"/>
  <c r="F82" i="15"/>
  <c r="G82" i="15"/>
  <c r="I82" i="15"/>
  <c r="H82" i="15"/>
  <c r="J82" i="15"/>
  <c r="G75" i="15"/>
  <c r="O75" i="15"/>
  <c r="I75" i="15"/>
  <c r="J75" i="15"/>
  <c r="D75" i="15"/>
  <c r="L75" i="15"/>
  <c r="E75" i="15"/>
  <c r="K75" i="15"/>
  <c r="K71" i="15"/>
  <c r="E71" i="15"/>
  <c r="F71" i="15"/>
  <c r="N71" i="15"/>
  <c r="H71" i="15"/>
  <c r="P71" i="15"/>
  <c r="G71" i="15"/>
  <c r="I71" i="15"/>
  <c r="O71" i="15"/>
  <c r="J60" i="15"/>
  <c r="D60" i="15"/>
  <c r="L60" i="15"/>
  <c r="E60" i="15"/>
  <c r="G60" i="15"/>
  <c r="O60" i="15"/>
  <c r="F60" i="15"/>
  <c r="H60" i="15"/>
  <c r="N60" i="15"/>
  <c r="I49" i="15"/>
  <c r="K49" i="15"/>
  <c r="D49" i="15"/>
  <c r="L49" i="15"/>
  <c r="F49" i="15"/>
  <c r="N49" i="15"/>
  <c r="E49" i="15"/>
  <c r="G49" i="15"/>
  <c r="D42" i="15"/>
  <c r="L42" i="15"/>
  <c r="F42" i="15"/>
  <c r="N42" i="15"/>
  <c r="G42" i="15"/>
  <c r="O42" i="15"/>
  <c r="I42" i="15"/>
  <c r="P42" i="15"/>
  <c r="H42" i="15"/>
  <c r="H38" i="15"/>
  <c r="P38" i="15"/>
  <c r="J38" i="15"/>
  <c r="K38" i="15"/>
  <c r="E38" i="15"/>
  <c r="D38" i="15"/>
  <c r="F38" i="15"/>
  <c r="L38" i="15"/>
  <c r="F30" i="15"/>
  <c r="F29" i="15"/>
  <c r="G29" i="15" s="1"/>
  <c r="H28" i="15"/>
  <c r="F25" i="15"/>
  <c r="G25" i="15" s="1"/>
  <c r="D18" i="15"/>
  <c r="E18" i="15" s="1"/>
  <c r="H16" i="15"/>
  <c r="I16" i="15" s="1"/>
  <c r="H10" i="15"/>
  <c r="L8" i="15"/>
  <c r="M8" i="15" s="1"/>
  <c r="E39" i="8"/>
  <c r="J100" i="15"/>
  <c r="K95" i="15"/>
  <c r="K94" i="15"/>
  <c r="L93" i="15"/>
  <c r="N83" i="15"/>
  <c r="N82" i="15"/>
  <c r="F75" i="15"/>
  <c r="D71" i="15"/>
  <c r="F69" i="15"/>
  <c r="I63" i="15"/>
  <c r="F61" i="15"/>
  <c r="H51" i="15"/>
  <c r="J49" i="15"/>
  <c r="J41" i="15"/>
  <c r="L39" i="15"/>
  <c r="L37" i="15"/>
  <c r="J14" i="15"/>
  <c r="K14" i="15" s="1"/>
  <c r="D14" i="15"/>
  <c r="E14" i="15" s="1"/>
  <c r="F89" i="15"/>
  <c r="N89" i="15"/>
  <c r="G89" i="15"/>
  <c r="O89" i="15"/>
  <c r="J89" i="15"/>
  <c r="J85" i="15"/>
  <c r="K85" i="15"/>
  <c r="F85" i="15"/>
  <c r="N85" i="15"/>
  <c r="H78" i="15"/>
  <c r="P78" i="15"/>
  <c r="J78" i="15"/>
  <c r="K78" i="15"/>
  <c r="E78" i="15"/>
  <c r="L78" i="15"/>
  <c r="N78" i="15"/>
  <c r="D78" i="15"/>
  <c r="G67" i="15"/>
  <c r="O67" i="15"/>
  <c r="I67" i="15"/>
  <c r="J67" i="15"/>
  <c r="D67" i="15"/>
  <c r="L67" i="15"/>
  <c r="K67" i="15"/>
  <c r="F56" i="15"/>
  <c r="N56" i="15"/>
  <c r="H56" i="15"/>
  <c r="P56" i="15"/>
  <c r="I56" i="15"/>
  <c r="K56" i="15"/>
  <c r="J56" i="15"/>
  <c r="L56" i="15"/>
  <c r="E45" i="15"/>
  <c r="G45" i="15"/>
  <c r="O45" i="15"/>
  <c r="H45" i="15"/>
  <c r="P45" i="15"/>
  <c r="J45" i="15"/>
  <c r="I45" i="15"/>
  <c r="K45" i="15"/>
  <c r="F31" i="15"/>
  <c r="H31" i="15"/>
  <c r="D29" i="15"/>
  <c r="F28" i="15"/>
  <c r="G28" i="15" s="1"/>
  <c r="D25" i="15"/>
  <c r="E25" i="15" s="1"/>
  <c r="H21" i="15"/>
  <c r="I21" i="15" s="1"/>
  <c r="F16" i="15"/>
  <c r="J8" i="15"/>
  <c r="K8" i="15" s="1"/>
  <c r="E7" i="15"/>
  <c r="I100" i="15"/>
  <c r="J95" i="15"/>
  <c r="J94" i="15"/>
  <c r="I93" i="15"/>
  <c r="K89" i="15"/>
  <c r="L85" i="15"/>
  <c r="K83" i="15"/>
  <c r="L82" i="15"/>
  <c r="O78" i="15"/>
  <c r="O72" i="15"/>
  <c r="E67" i="15"/>
  <c r="D61" i="15"/>
  <c r="F51" i="15"/>
  <c r="H49" i="15"/>
  <c r="F45" i="15"/>
  <c r="H43" i="15"/>
  <c r="J39" i="15"/>
  <c r="J31" i="15"/>
  <c r="D17" i="15"/>
  <c r="E17" i="15" s="1"/>
  <c r="G10" i="15"/>
  <c r="I81" i="15"/>
  <c r="K81" i="15"/>
  <c r="D81" i="15"/>
  <c r="L81" i="15"/>
  <c r="F81" i="15"/>
  <c r="N81" i="15"/>
  <c r="E81" i="15"/>
  <c r="G81" i="15"/>
  <c r="D74" i="15"/>
  <c r="L74" i="15"/>
  <c r="F74" i="15"/>
  <c r="N74" i="15"/>
  <c r="G74" i="15"/>
  <c r="O74" i="15"/>
  <c r="I74" i="15"/>
  <c r="P74" i="15"/>
  <c r="H74" i="15"/>
  <c r="H70" i="15"/>
  <c r="P70" i="15"/>
  <c r="J70" i="15"/>
  <c r="K70" i="15"/>
  <c r="E70" i="15"/>
  <c r="D70" i="15"/>
  <c r="F70" i="15"/>
  <c r="L70" i="15"/>
  <c r="K63" i="15"/>
  <c r="E63" i="15"/>
  <c r="F63" i="15"/>
  <c r="N63" i="15"/>
  <c r="H63" i="15"/>
  <c r="P63" i="15"/>
  <c r="O63" i="15"/>
  <c r="G63" i="15"/>
  <c r="I41" i="15"/>
  <c r="K41" i="15"/>
  <c r="D41" i="15"/>
  <c r="L41" i="15"/>
  <c r="F41" i="15"/>
  <c r="N41" i="15"/>
  <c r="O41" i="15"/>
  <c r="E41" i="15"/>
  <c r="E37" i="15"/>
  <c r="G37" i="15"/>
  <c r="O37" i="15"/>
  <c r="H37" i="15"/>
  <c r="P37" i="15"/>
  <c r="J37" i="15"/>
  <c r="I37" i="15"/>
  <c r="L30" i="15"/>
  <c r="M30" i="15" s="1"/>
  <c r="D30" i="15"/>
  <c r="J17" i="15"/>
  <c r="K17" i="15" s="1"/>
  <c r="H14" i="15"/>
  <c r="I14" i="15" s="1"/>
  <c r="L6" i="15"/>
  <c r="M6" i="15" s="1"/>
  <c r="F100" i="15"/>
  <c r="H94" i="15"/>
  <c r="H93" i="15"/>
  <c r="I89" i="15"/>
  <c r="I85" i="15"/>
  <c r="J83" i="15"/>
  <c r="K82" i="15"/>
  <c r="I78" i="15"/>
  <c r="K74" i="15"/>
  <c r="N70" i="15"/>
  <c r="P60" i="15"/>
  <c r="O56" i="15"/>
  <c r="D45" i="15"/>
  <c r="F43" i="15"/>
  <c r="G41" i="15"/>
  <c r="D39" i="15"/>
  <c r="F37" i="15"/>
  <c r="F9" i="15"/>
  <c r="G9" i="15" s="1"/>
  <c r="J9" i="15"/>
  <c r="K9" i="15" s="1"/>
  <c r="H95" i="15"/>
  <c r="P95" i="15"/>
  <c r="I95" i="15"/>
  <c r="D95" i="15"/>
  <c r="L95" i="15"/>
  <c r="I73" i="15"/>
  <c r="K73" i="15"/>
  <c r="D73" i="15"/>
  <c r="L73" i="15"/>
  <c r="F73" i="15"/>
  <c r="N73" i="15"/>
  <c r="O73" i="15"/>
  <c r="E73" i="15"/>
  <c r="E69" i="15"/>
  <c r="G69" i="15"/>
  <c r="O69" i="15"/>
  <c r="H69" i="15"/>
  <c r="P69" i="15"/>
  <c r="J69" i="15"/>
  <c r="I69" i="15"/>
  <c r="H62" i="15"/>
  <c r="P62" i="15"/>
  <c r="J62" i="15"/>
  <c r="K62" i="15"/>
  <c r="E62" i="15"/>
  <c r="L62" i="15"/>
  <c r="N62" i="15"/>
  <c r="D62" i="15"/>
  <c r="G51" i="15"/>
  <c r="O51" i="15"/>
  <c r="I51" i="15"/>
  <c r="J51" i="15"/>
  <c r="D51" i="15"/>
  <c r="L51" i="15"/>
  <c r="K51" i="15"/>
  <c r="F40" i="15"/>
  <c r="N40" i="15"/>
  <c r="H40" i="15"/>
  <c r="P40" i="15"/>
  <c r="I40" i="15"/>
  <c r="K40" i="15"/>
  <c r="J40" i="15"/>
  <c r="L40" i="15"/>
  <c r="L18" i="15"/>
  <c r="M18" i="15" s="1"/>
  <c r="F17" i="15"/>
  <c r="G17" i="15" s="1"/>
  <c r="F14" i="15"/>
  <c r="G14" i="15" s="1"/>
  <c r="L9" i="15"/>
  <c r="M9" i="15" s="1"/>
  <c r="G8" i="15"/>
  <c r="D100" i="15"/>
  <c r="E95" i="15"/>
  <c r="D94" i="15"/>
  <c r="E93" i="15"/>
  <c r="E89" i="15"/>
  <c r="G85" i="15"/>
  <c r="G83" i="15"/>
  <c r="P81" i="15"/>
  <c r="F78" i="15"/>
  <c r="P75" i="15"/>
  <c r="E74" i="15"/>
  <c r="E72" i="15"/>
  <c r="G70" i="15"/>
  <c r="G62" i="15"/>
  <c r="I60" i="15"/>
  <c r="G56" i="15"/>
  <c r="K50" i="15"/>
  <c r="K42" i="15"/>
  <c r="N38" i="15"/>
  <c r="I18" i="15"/>
  <c r="D226" i="8" l="1"/>
  <c r="E1530" i="8"/>
  <c r="B39" i="8"/>
  <c r="I39" i="8"/>
  <c r="K1266" i="8"/>
  <c r="I107" i="8"/>
  <c r="J5" i="8"/>
  <c r="E107" i="8"/>
  <c r="E192" i="8"/>
  <c r="G728" i="8"/>
  <c r="K260" i="8"/>
  <c r="F59" i="8"/>
  <c r="G722" i="8"/>
  <c r="I90" i="8"/>
  <c r="K56" i="8"/>
  <c r="K90" i="8"/>
  <c r="K39" i="8"/>
  <c r="C73" i="8"/>
  <c r="C39" i="8"/>
  <c r="G39" i="8"/>
  <c r="J1269" i="8"/>
  <c r="E62" i="8"/>
  <c r="C209" i="8"/>
  <c r="F1632" i="8"/>
  <c r="C379" i="8"/>
  <c r="C345" i="8"/>
  <c r="E430" i="8"/>
  <c r="D1008" i="8"/>
  <c r="B464" i="8"/>
  <c r="F1266" i="8"/>
  <c r="F68" i="8"/>
  <c r="F1479" i="8"/>
  <c r="C362" i="8"/>
  <c r="C481" i="8"/>
  <c r="C243" i="8"/>
  <c r="C90" i="8"/>
  <c r="C396" i="8"/>
  <c r="C702" i="8"/>
  <c r="B294" i="8"/>
  <c r="G192" i="8"/>
  <c r="B447" i="8"/>
  <c r="C107" i="8"/>
  <c r="C124" i="8"/>
  <c r="D1442" i="8"/>
  <c r="C328" i="8"/>
  <c r="F731" i="8"/>
  <c r="F1275" i="8"/>
  <c r="H855" i="8"/>
  <c r="H396" i="8"/>
  <c r="G725" i="8"/>
  <c r="F1445" i="8"/>
  <c r="F1258" i="8"/>
  <c r="C260" i="8"/>
  <c r="B668" i="8"/>
  <c r="C430" i="8"/>
  <c r="B328" i="8"/>
  <c r="F1530" i="8"/>
  <c r="C192" i="8"/>
  <c r="C141" i="8"/>
  <c r="C413" i="8"/>
  <c r="C158" i="8"/>
  <c r="C175" i="8"/>
  <c r="I1436" i="8"/>
  <c r="B226" i="8"/>
  <c r="C277" i="8"/>
  <c r="C226" i="8"/>
  <c r="G260" i="8"/>
  <c r="G56" i="8"/>
  <c r="K107" i="8"/>
  <c r="E243" i="8"/>
  <c r="E124" i="8"/>
  <c r="E736" i="8"/>
  <c r="F1484" i="8"/>
  <c r="J722" i="8"/>
  <c r="E1626" i="8"/>
  <c r="H65" i="8"/>
  <c r="F5" i="8"/>
  <c r="I59" i="8"/>
  <c r="H725" i="8"/>
  <c r="I1470" i="8"/>
  <c r="F725" i="8"/>
  <c r="I65" i="8"/>
  <c r="L62" i="8"/>
  <c r="E59" i="8"/>
  <c r="K515" i="8"/>
  <c r="K1025" i="8"/>
  <c r="J974" i="8"/>
  <c r="J821" i="8"/>
  <c r="J770" i="8"/>
  <c r="K872" i="8"/>
  <c r="I722" i="8"/>
  <c r="J804" i="8"/>
  <c r="K1620" i="8"/>
  <c r="K1518" i="8"/>
  <c r="K1433" i="8"/>
  <c r="I1623" i="8"/>
  <c r="K1399" i="8"/>
  <c r="D1272" i="8"/>
  <c r="K1229" i="8"/>
  <c r="J1297" i="8"/>
  <c r="J1093" i="8"/>
  <c r="J1382" i="8"/>
  <c r="D345" i="8"/>
  <c r="G209" i="8"/>
  <c r="K226" i="8"/>
  <c r="F243" i="8"/>
  <c r="H1470" i="8"/>
  <c r="J923" i="8"/>
  <c r="J1059" i="8"/>
  <c r="K685" i="8"/>
  <c r="K974" i="8"/>
  <c r="D728" i="8"/>
  <c r="K770" i="8"/>
  <c r="J957" i="8"/>
  <c r="J617" i="8"/>
  <c r="J549" i="8"/>
  <c r="K651" i="8"/>
  <c r="K1552" i="8"/>
  <c r="J1654" i="8"/>
  <c r="J1586" i="8"/>
  <c r="J1535" i="8"/>
  <c r="J1626" i="8"/>
  <c r="J1331" i="8"/>
  <c r="D1255" i="8"/>
  <c r="J1144" i="8"/>
  <c r="K1093" i="8"/>
  <c r="K1212" i="8"/>
  <c r="K277" i="8"/>
  <c r="E413" i="8"/>
  <c r="G158" i="8"/>
  <c r="K294" i="8"/>
  <c r="J498" i="8"/>
  <c r="K923" i="8"/>
  <c r="K1059" i="8"/>
  <c r="J1008" i="8"/>
  <c r="K821" i="8"/>
  <c r="K702" i="8"/>
  <c r="K957" i="8"/>
  <c r="K549" i="8"/>
  <c r="J787" i="8"/>
  <c r="K1654" i="8"/>
  <c r="K1586" i="8"/>
  <c r="K1535" i="8"/>
  <c r="K1280" i="8"/>
  <c r="J1348" i="8"/>
  <c r="I1266" i="8"/>
  <c r="J1365" i="8"/>
  <c r="K1144" i="8"/>
  <c r="D1629" i="8"/>
  <c r="K1195" i="8"/>
  <c r="E90" i="8"/>
  <c r="K464" i="8"/>
  <c r="E379" i="8"/>
  <c r="I1524" i="8"/>
  <c r="K65" i="8"/>
  <c r="D68" i="8"/>
  <c r="B5" i="8"/>
  <c r="K498" i="8"/>
  <c r="K991" i="8"/>
  <c r="J736" i="8"/>
  <c r="K600" i="8"/>
  <c r="J651" i="8"/>
  <c r="J1637" i="8"/>
  <c r="J1524" i="8"/>
  <c r="K1348" i="8"/>
  <c r="J1246" i="8"/>
  <c r="J1212" i="8"/>
  <c r="K1365" i="8"/>
  <c r="K1008" i="8"/>
  <c r="J1314" i="8"/>
  <c r="J1552" i="8"/>
  <c r="D1527" i="8"/>
  <c r="E328" i="8"/>
  <c r="H209" i="8"/>
  <c r="J532" i="8"/>
  <c r="J906" i="8"/>
  <c r="J1042" i="8"/>
  <c r="J753" i="8"/>
  <c r="J889" i="8"/>
  <c r="J725" i="8"/>
  <c r="K736" i="8"/>
  <c r="K855" i="8"/>
  <c r="J566" i="8"/>
  <c r="K1637" i="8"/>
  <c r="K1484" i="8"/>
  <c r="K1501" i="8"/>
  <c r="J1195" i="8"/>
  <c r="I1249" i="8"/>
  <c r="K1127" i="8"/>
  <c r="K1569" i="8"/>
  <c r="J1110" i="8"/>
  <c r="J1280" i="8"/>
  <c r="J1484" i="8"/>
  <c r="K532" i="8"/>
  <c r="K906" i="8"/>
  <c r="K1042" i="8"/>
  <c r="K787" i="8"/>
  <c r="K753" i="8"/>
  <c r="K889" i="8"/>
  <c r="J600" i="8"/>
  <c r="J668" i="8"/>
  <c r="K617" i="8"/>
  <c r="J634" i="8"/>
  <c r="K719" i="8"/>
  <c r="J702" i="8"/>
  <c r="J1569" i="8"/>
  <c r="J1467" i="8"/>
  <c r="J1603" i="8"/>
  <c r="J1450" i="8"/>
  <c r="I1521" i="8"/>
  <c r="J1263" i="8"/>
  <c r="K1416" i="8"/>
  <c r="J1252" i="8"/>
  <c r="K1382" i="8"/>
  <c r="J430" i="8"/>
  <c r="J940" i="8"/>
  <c r="J1076" i="8"/>
  <c r="J685" i="8"/>
  <c r="J583" i="8"/>
  <c r="K668" i="8"/>
  <c r="J719" i="8"/>
  <c r="J838" i="8"/>
  <c r="K1467" i="8"/>
  <c r="J1671" i="8"/>
  <c r="J1501" i="8"/>
  <c r="K1450" i="8"/>
  <c r="J1473" i="8"/>
  <c r="K1263" i="8"/>
  <c r="J1416" i="8"/>
  <c r="J1439" i="8"/>
  <c r="K1110" i="8"/>
  <c r="K1297" i="8"/>
  <c r="K1161" i="8"/>
  <c r="J1127" i="8"/>
  <c r="K1603" i="8"/>
  <c r="J1178" i="8"/>
  <c r="J991" i="8"/>
  <c r="J1229" i="8"/>
  <c r="K1246" i="8"/>
  <c r="H62" i="8"/>
  <c r="J515" i="8"/>
  <c r="K940" i="8"/>
  <c r="K1076" i="8"/>
  <c r="J1025" i="8"/>
  <c r="K838" i="8"/>
  <c r="J855" i="8"/>
  <c r="K583" i="8"/>
  <c r="J872" i="8"/>
  <c r="K566" i="8"/>
  <c r="K634" i="8"/>
  <c r="K804" i="8"/>
  <c r="J1620" i="8"/>
  <c r="J1518" i="8"/>
  <c r="J1433" i="8"/>
  <c r="K1671" i="8"/>
  <c r="K1314" i="8"/>
  <c r="J1399" i="8"/>
  <c r="K1331" i="8"/>
  <c r="J1161" i="8"/>
  <c r="K1178" i="8"/>
  <c r="E447" i="8"/>
  <c r="G141" i="8"/>
  <c r="I124" i="8"/>
  <c r="J65" i="8"/>
  <c r="F62" i="8"/>
  <c r="E56" i="8"/>
  <c r="F107" i="8"/>
  <c r="D141" i="8"/>
  <c r="J192" i="8"/>
  <c r="K430" i="8"/>
  <c r="J379" i="8"/>
  <c r="H464" i="8"/>
  <c r="E311" i="8"/>
  <c r="I17" i="15"/>
  <c r="G243" i="8" s="1"/>
  <c r="G73" i="8"/>
  <c r="G90" i="8"/>
  <c r="E396" i="8"/>
  <c r="E209" i="8"/>
  <c r="E277" i="8"/>
  <c r="K413" i="8"/>
  <c r="I62" i="8"/>
  <c r="C65" i="8"/>
  <c r="G62" i="8"/>
  <c r="G68" i="8"/>
  <c r="G59" i="8"/>
  <c r="D56" i="8"/>
  <c r="E141" i="8"/>
  <c r="F175" i="8"/>
  <c r="K379" i="8"/>
  <c r="E362" i="8"/>
  <c r="G175" i="8"/>
  <c r="K73" i="8"/>
  <c r="E68" i="8"/>
  <c r="J59" i="8"/>
  <c r="K447" i="8"/>
  <c r="D311" i="8"/>
  <c r="K192" i="8"/>
  <c r="F124" i="8"/>
  <c r="K26" i="15"/>
  <c r="K209" i="8"/>
  <c r="E158" i="8"/>
  <c r="E294" i="8"/>
  <c r="E65" i="8"/>
  <c r="K62" i="8"/>
  <c r="E73" i="8"/>
  <c r="D362" i="8"/>
  <c r="G226" i="8"/>
  <c r="K124" i="8"/>
  <c r="K345" i="8"/>
  <c r="K362" i="8"/>
  <c r="F65" i="8"/>
  <c r="C62" i="8"/>
  <c r="K59" i="8"/>
  <c r="D73" i="8"/>
  <c r="J243" i="8"/>
  <c r="K158" i="8"/>
  <c r="J447" i="8"/>
  <c r="E260" i="8"/>
  <c r="K141" i="8"/>
  <c r="K328" i="8"/>
  <c r="G107" i="8"/>
  <c r="G65" i="8"/>
  <c r="D62" i="8"/>
  <c r="C59" i="8"/>
  <c r="K243" i="8"/>
  <c r="J158" i="8"/>
  <c r="E345" i="8"/>
  <c r="J396" i="8"/>
  <c r="J481" i="8"/>
  <c r="D59" i="8"/>
  <c r="D124" i="8"/>
  <c r="F260" i="8"/>
  <c r="K396" i="8"/>
  <c r="K481" i="8"/>
  <c r="H923" i="8"/>
  <c r="I10" i="15"/>
  <c r="G124" i="8" s="1"/>
  <c r="F22" i="8"/>
  <c r="N3" i="15"/>
  <c r="L5" i="8" s="1"/>
  <c r="D532" i="8"/>
  <c r="B277" i="8"/>
  <c r="D583" i="8"/>
  <c r="F906" i="8"/>
  <c r="H1059" i="8"/>
  <c r="H889" i="8"/>
  <c r="C668" i="8"/>
  <c r="B107" i="8"/>
  <c r="H940" i="8"/>
  <c r="J56" i="8"/>
  <c r="C515" i="8"/>
  <c r="D192" i="8"/>
  <c r="J362" i="8"/>
  <c r="F804" i="8"/>
  <c r="F685" i="8"/>
  <c r="B1620" i="8"/>
  <c r="J345" i="8"/>
  <c r="B1076" i="8"/>
  <c r="D1252" i="8"/>
  <c r="D1439" i="8"/>
  <c r="D1473" i="8"/>
  <c r="D1269" i="8"/>
  <c r="D725" i="8"/>
  <c r="D1626" i="8"/>
  <c r="D1524" i="8"/>
  <c r="F722" i="8"/>
  <c r="G31" i="15"/>
  <c r="E481" i="8" s="1"/>
  <c r="D481" i="8"/>
  <c r="I24" i="15"/>
  <c r="F362" i="8"/>
  <c r="H1110" i="8"/>
  <c r="H1178" i="8"/>
  <c r="H1365" i="8"/>
  <c r="H1331" i="8"/>
  <c r="H1467" i="8"/>
  <c r="H1348" i="8"/>
  <c r="H1433" i="8"/>
  <c r="H566" i="8"/>
  <c r="H1127" i="8"/>
  <c r="H1552" i="8"/>
  <c r="H1144" i="8"/>
  <c r="H1297" i="8"/>
  <c r="H1501" i="8"/>
  <c r="H1603" i="8"/>
  <c r="H1586" i="8"/>
  <c r="H634" i="8"/>
  <c r="H736" i="8"/>
  <c r="H770" i="8"/>
  <c r="H1229" i="8"/>
  <c r="H1212" i="8"/>
  <c r="H1280" i="8"/>
  <c r="H1093" i="8"/>
  <c r="H1195" i="8"/>
  <c r="H1535" i="8"/>
  <c r="H1654" i="8"/>
  <c r="H753" i="8"/>
  <c r="H549" i="8"/>
  <c r="H1450" i="8"/>
  <c r="H1620" i="8"/>
  <c r="H617" i="8"/>
  <c r="H957" i="8"/>
  <c r="H668" i="8"/>
  <c r="H974" i="8"/>
  <c r="H838" i="8"/>
  <c r="H787" i="8"/>
  <c r="H1008" i="8"/>
  <c r="H1042" i="8"/>
  <c r="H515" i="8"/>
  <c r="H1416" i="8"/>
  <c r="H1314" i="8"/>
  <c r="H1246" i="8"/>
  <c r="H1399" i="8"/>
  <c r="H1671" i="8"/>
  <c r="H1637" i="8"/>
  <c r="H600" i="8"/>
  <c r="H1263" i="8"/>
  <c r="H1569" i="8"/>
  <c r="H804" i="8"/>
  <c r="H719" i="8"/>
  <c r="H1518" i="8"/>
  <c r="H1161" i="8"/>
  <c r="H1382" i="8"/>
  <c r="H1484" i="8"/>
  <c r="I23" i="15"/>
  <c r="F345" i="8"/>
  <c r="C1623" i="8"/>
  <c r="C1266" i="8"/>
  <c r="C1249" i="8"/>
  <c r="C1436" i="8"/>
  <c r="C1521" i="8"/>
  <c r="C1439" i="8"/>
  <c r="C1473" i="8"/>
  <c r="C1626" i="8"/>
  <c r="C1269" i="8"/>
  <c r="C1252" i="8"/>
  <c r="C1524" i="8"/>
  <c r="H1252" i="8"/>
  <c r="H1269" i="8"/>
  <c r="H1626" i="8"/>
  <c r="H1524" i="8"/>
  <c r="H1439" i="8"/>
  <c r="D1530" i="8"/>
  <c r="D1445" i="8"/>
  <c r="D1632" i="8"/>
  <c r="D1275" i="8"/>
  <c r="D1258" i="8"/>
  <c r="D731" i="8"/>
  <c r="D1479" i="8"/>
  <c r="F39" i="8"/>
  <c r="J90" i="8"/>
  <c r="B175" i="8"/>
  <c r="F413" i="8"/>
  <c r="B396" i="8"/>
  <c r="B379" i="8"/>
  <c r="B515" i="8"/>
  <c r="H498" i="8"/>
  <c r="D277" i="8"/>
  <c r="F311" i="8"/>
  <c r="E906" i="8"/>
  <c r="F1025" i="8"/>
  <c r="E1008" i="8"/>
  <c r="D787" i="8"/>
  <c r="H651" i="8"/>
  <c r="E889" i="8"/>
  <c r="E804" i="8"/>
  <c r="B821" i="8"/>
  <c r="H702" i="8"/>
  <c r="C583" i="8"/>
  <c r="C722" i="8"/>
  <c r="C770" i="8"/>
  <c r="C864" i="8"/>
  <c r="K13" i="15"/>
  <c r="H175" i="8"/>
  <c r="K25" i="15"/>
  <c r="H379" i="8"/>
  <c r="F1249" i="8"/>
  <c r="F1623" i="8"/>
  <c r="F1521" i="8"/>
  <c r="F1470" i="8"/>
  <c r="F1436" i="8"/>
  <c r="D1249" i="8"/>
  <c r="D1266" i="8"/>
  <c r="D1521" i="8"/>
  <c r="D1436" i="8"/>
  <c r="D1470" i="8"/>
  <c r="H1255" i="8"/>
  <c r="H1272" i="8"/>
  <c r="H1476" i="8"/>
  <c r="H1442" i="8"/>
  <c r="H1629" i="8"/>
  <c r="H1527" i="8"/>
  <c r="G16" i="15"/>
  <c r="E226" i="8" s="1"/>
  <c r="M21" i="15"/>
  <c r="K311" i="8" s="1"/>
  <c r="J311" i="8"/>
  <c r="K22" i="15"/>
  <c r="H328" i="8"/>
  <c r="B1382" i="8"/>
  <c r="B1161" i="8"/>
  <c r="B1297" i="8"/>
  <c r="B634" i="8"/>
  <c r="B1314" i="8"/>
  <c r="B1178" i="8"/>
  <c r="B1501" i="8"/>
  <c r="B1603" i="8"/>
  <c r="B1484" i="8"/>
  <c r="B1569" i="8"/>
  <c r="B600" i="8"/>
  <c r="B736" i="8"/>
  <c r="B1552" i="8"/>
  <c r="B804" i="8"/>
  <c r="B1586" i="8"/>
  <c r="B1246" i="8"/>
  <c r="B1263" i="8"/>
  <c r="B1280" i="8"/>
  <c r="B1127" i="8"/>
  <c r="B1365" i="8"/>
  <c r="B1212" i="8"/>
  <c r="B1348" i="8"/>
  <c r="B1093" i="8"/>
  <c r="B1144" i="8"/>
  <c r="B1229" i="8"/>
  <c r="B1110" i="8"/>
  <c r="B1433" i="8"/>
  <c r="B1518" i="8"/>
  <c r="B617" i="8"/>
  <c r="B770" i="8"/>
  <c r="B1416" i="8"/>
  <c r="B1450" i="8"/>
  <c r="B1535" i="8"/>
  <c r="B549" i="8"/>
  <c r="B1195" i="8"/>
  <c r="B583" i="8"/>
  <c r="B1671" i="8"/>
  <c r="B1637" i="8"/>
  <c r="B787" i="8"/>
  <c r="B1467" i="8"/>
  <c r="B719" i="8"/>
  <c r="B974" i="8"/>
  <c r="B1025" i="8"/>
  <c r="B1059" i="8"/>
  <c r="B498" i="8"/>
  <c r="B532" i="8"/>
  <c r="B566" i="8"/>
  <c r="B923" i="8"/>
  <c r="B1331" i="8"/>
  <c r="B702" i="8"/>
  <c r="K11" i="15"/>
  <c r="I141" i="8" s="1"/>
  <c r="H141" i="8"/>
  <c r="K27" i="15"/>
  <c r="H413" i="8"/>
  <c r="K1470" i="8"/>
  <c r="K1521" i="8"/>
  <c r="K1436" i="8"/>
  <c r="K1623" i="8"/>
  <c r="K1249" i="8"/>
  <c r="K1252" i="8"/>
  <c r="K1473" i="8"/>
  <c r="K1626" i="8"/>
  <c r="K1524" i="8"/>
  <c r="K1439" i="8"/>
  <c r="K1269" i="8"/>
  <c r="I1252" i="8"/>
  <c r="I1269" i="8"/>
  <c r="I1439" i="8"/>
  <c r="I1473" i="8"/>
  <c r="I1626" i="8"/>
  <c r="F1442" i="8"/>
  <c r="F1527" i="8"/>
  <c r="F1629" i="8"/>
  <c r="F1255" i="8"/>
  <c r="F1272" i="8"/>
  <c r="F1476" i="8"/>
  <c r="H22" i="8"/>
  <c r="H124" i="8"/>
  <c r="F90" i="8"/>
  <c r="H260" i="8"/>
  <c r="H243" i="8"/>
  <c r="D243" i="8"/>
  <c r="D158" i="8"/>
  <c r="B192" i="8"/>
  <c r="B345" i="8"/>
  <c r="B362" i="8"/>
  <c r="B481" i="8"/>
  <c r="E923" i="8"/>
  <c r="H1076" i="8"/>
  <c r="F991" i="8"/>
  <c r="B753" i="8"/>
  <c r="D855" i="8"/>
  <c r="D974" i="8"/>
  <c r="F889" i="8"/>
  <c r="K722" i="8"/>
  <c r="D872" i="8"/>
  <c r="B957" i="8"/>
  <c r="H430" i="8"/>
  <c r="I19" i="15"/>
  <c r="G277" i="8" s="1"/>
  <c r="F277" i="8"/>
  <c r="K20" i="15"/>
  <c r="H294" i="8"/>
  <c r="G13" i="15"/>
  <c r="E175" i="8" s="1"/>
  <c r="D175" i="8"/>
  <c r="E21" i="15"/>
  <c r="C311" i="8" s="1"/>
  <c r="B311" i="8"/>
  <c r="L1436" i="8"/>
  <c r="L1623" i="8"/>
  <c r="L1249" i="8"/>
  <c r="L722" i="8"/>
  <c r="L1266" i="8"/>
  <c r="L1521" i="8"/>
  <c r="L1524" i="8"/>
  <c r="L1439" i="8"/>
  <c r="L1473" i="8"/>
  <c r="L1626" i="8"/>
  <c r="L1269" i="8"/>
  <c r="L1252" i="8"/>
  <c r="L1629" i="8"/>
  <c r="L1255" i="8"/>
  <c r="L1476" i="8"/>
  <c r="L1527" i="8"/>
  <c r="L728" i="8"/>
  <c r="L1442" i="8"/>
  <c r="L1272" i="8"/>
  <c r="K1255" i="8"/>
  <c r="K1272" i="8"/>
  <c r="K1527" i="8"/>
  <c r="K1629" i="8"/>
  <c r="K1442" i="8"/>
  <c r="I1442" i="8"/>
  <c r="I728" i="8"/>
  <c r="I1272" i="8"/>
  <c r="I1629" i="8"/>
  <c r="I1527" i="8"/>
  <c r="I1255" i="8"/>
  <c r="H1249" i="8"/>
  <c r="H1436" i="8"/>
  <c r="H1623" i="8"/>
  <c r="H1266" i="8"/>
  <c r="H722" i="8"/>
  <c r="H1521" i="8"/>
  <c r="B22" i="8"/>
  <c r="B56" i="8"/>
  <c r="J39" i="8"/>
  <c r="B124" i="8"/>
  <c r="J107" i="8"/>
  <c r="D90" i="8"/>
  <c r="H73" i="8"/>
  <c r="B260" i="8"/>
  <c r="B209" i="8"/>
  <c r="F226" i="8"/>
  <c r="F192" i="8"/>
  <c r="B430" i="8"/>
  <c r="D396" i="8"/>
  <c r="D498" i="8"/>
  <c r="J464" i="8"/>
  <c r="J294" i="8"/>
  <c r="B940" i="8"/>
  <c r="B1042" i="8"/>
  <c r="H1025" i="8"/>
  <c r="B651" i="8"/>
  <c r="C753" i="8"/>
  <c r="B855" i="8"/>
  <c r="E974" i="8"/>
  <c r="B889" i="8"/>
  <c r="H821" i="8"/>
  <c r="D722" i="8"/>
  <c r="C725" i="8"/>
  <c r="E872" i="8"/>
  <c r="C957" i="8"/>
  <c r="F1569" i="8"/>
  <c r="C1530" i="8"/>
  <c r="C1258" i="8"/>
  <c r="C1445" i="8"/>
  <c r="C1275" i="8"/>
  <c r="C1632" i="8"/>
  <c r="G30" i="15"/>
  <c r="E464" i="8" s="1"/>
  <c r="D464" i="8"/>
  <c r="I29" i="15"/>
  <c r="F447" i="8"/>
  <c r="K29" i="15"/>
  <c r="H447" i="8"/>
  <c r="E1269" i="8"/>
  <c r="E1252" i="8"/>
  <c r="E1439" i="8"/>
  <c r="E1473" i="8"/>
  <c r="E1524" i="8"/>
  <c r="E725" i="8"/>
  <c r="G1442" i="8"/>
  <c r="G1272" i="8"/>
  <c r="G1255" i="8"/>
  <c r="G1629" i="8"/>
  <c r="G1527" i="8"/>
  <c r="G1476" i="8"/>
  <c r="J1272" i="8"/>
  <c r="J1255" i="8"/>
  <c r="J1629" i="8"/>
  <c r="J1527" i="8"/>
  <c r="J728" i="8"/>
  <c r="J1442" i="8"/>
  <c r="C1255" i="8"/>
  <c r="C1442" i="8"/>
  <c r="C1527" i="8"/>
  <c r="C1272" i="8"/>
  <c r="C1629" i="8"/>
  <c r="E1258" i="8"/>
  <c r="E1445" i="8"/>
  <c r="E731" i="8"/>
  <c r="E1275" i="8"/>
  <c r="J22" i="8"/>
  <c r="F56" i="8"/>
  <c r="J124" i="8"/>
  <c r="J260" i="8"/>
  <c r="D209" i="8"/>
  <c r="J209" i="8"/>
  <c r="H226" i="8"/>
  <c r="F158" i="8"/>
  <c r="F294" i="8"/>
  <c r="B413" i="8"/>
  <c r="D379" i="8"/>
  <c r="E532" i="8"/>
  <c r="H311" i="8"/>
  <c r="H906" i="8"/>
  <c r="C1076" i="8"/>
  <c r="B1008" i="8"/>
  <c r="H991" i="8"/>
  <c r="E855" i="8"/>
  <c r="C855" i="8"/>
  <c r="H685" i="8"/>
  <c r="D651" i="8"/>
  <c r="L725" i="8"/>
  <c r="I725" i="8"/>
  <c r="K725" i="8"/>
  <c r="H872" i="8"/>
  <c r="D634" i="8"/>
  <c r="D1623" i="8"/>
  <c r="E1479" i="8"/>
  <c r="B1399" i="8"/>
  <c r="C1178" i="8"/>
  <c r="I28" i="15"/>
  <c r="F430" i="8"/>
  <c r="E1501" i="8"/>
  <c r="E1093" i="8"/>
  <c r="E1127" i="8"/>
  <c r="E1365" i="8"/>
  <c r="E1042" i="8"/>
  <c r="E1212" i="8"/>
  <c r="E1331" i="8"/>
  <c r="E1314" i="8"/>
  <c r="E1637" i="8"/>
  <c r="E770" i="8"/>
  <c r="E1603" i="8"/>
  <c r="E1416" i="8"/>
  <c r="E1518" i="8"/>
  <c r="E702" i="8"/>
  <c r="E617" i="8"/>
  <c r="E566" i="8"/>
  <c r="E1297" i="8"/>
  <c r="E1178" i="8"/>
  <c r="E583" i="8"/>
  <c r="E1144" i="8"/>
  <c r="E1161" i="8"/>
  <c r="E498" i="8"/>
  <c r="E1280" i="8"/>
  <c r="E1433" i="8"/>
  <c r="E1586" i="8"/>
  <c r="E634" i="8"/>
  <c r="E1399" i="8"/>
  <c r="E1348" i="8"/>
  <c r="E1484" i="8"/>
  <c r="E1569" i="8"/>
  <c r="E719" i="8"/>
  <c r="E1382" i="8"/>
  <c r="E549" i="8"/>
  <c r="E991" i="8"/>
  <c r="E1025" i="8"/>
  <c r="E515" i="8"/>
  <c r="E1229" i="8"/>
  <c r="E1535" i="8"/>
  <c r="E1654" i="8"/>
  <c r="E1620" i="8"/>
  <c r="E957" i="8"/>
  <c r="E1450" i="8"/>
  <c r="E651" i="8"/>
  <c r="E668" i="8"/>
  <c r="E1110" i="8"/>
  <c r="E1246" i="8"/>
  <c r="E600" i="8"/>
  <c r="E821" i="8"/>
  <c r="E787" i="8"/>
  <c r="E1195" i="8"/>
  <c r="E1671" i="8"/>
  <c r="E1263" i="8"/>
  <c r="E1467" i="8"/>
  <c r="E685" i="8"/>
  <c r="F600" i="8"/>
  <c r="F1416" i="8"/>
  <c r="F617" i="8"/>
  <c r="F872" i="8"/>
  <c r="F1450" i="8"/>
  <c r="F1620" i="8"/>
  <c r="F1161" i="8"/>
  <c r="F1229" i="8"/>
  <c r="F515" i="8"/>
  <c r="F1178" i="8"/>
  <c r="F1331" i="8"/>
  <c r="F1246" i="8"/>
  <c r="F549" i="8"/>
  <c r="F719" i="8"/>
  <c r="F668" i="8"/>
  <c r="F1059" i="8"/>
  <c r="F1297" i="8"/>
  <c r="F1212" i="8"/>
  <c r="F1552" i="8"/>
  <c r="F1093" i="8"/>
  <c r="F1467" i="8"/>
  <c r="F1433" i="8"/>
  <c r="F1127" i="8"/>
  <c r="F1365" i="8"/>
  <c r="F1348" i="8"/>
  <c r="F1110" i="8"/>
  <c r="F1314" i="8"/>
  <c r="F1382" i="8"/>
  <c r="F1501" i="8"/>
  <c r="F1144" i="8"/>
  <c r="F1195" i="8"/>
  <c r="F1603" i="8"/>
  <c r="F957" i="8"/>
  <c r="F566" i="8"/>
  <c r="F940" i="8"/>
  <c r="F1535" i="8"/>
  <c r="F1654" i="8"/>
  <c r="F770" i="8"/>
  <c r="F583" i="8"/>
  <c r="F821" i="8"/>
  <c r="F787" i="8"/>
  <c r="F855" i="8"/>
  <c r="F1671" i="8"/>
  <c r="F736" i="8"/>
  <c r="F702" i="8"/>
  <c r="F974" i="8"/>
  <c r="F838" i="8"/>
  <c r="F1008" i="8"/>
  <c r="F1042" i="8"/>
  <c r="F532" i="8"/>
  <c r="F1637" i="8"/>
  <c r="F1399" i="8"/>
  <c r="F1263" i="8"/>
  <c r="F1280" i="8"/>
  <c r="F1586" i="8"/>
  <c r="F1518" i="8"/>
  <c r="K19" i="15"/>
  <c r="H277" i="8"/>
  <c r="M13" i="15"/>
  <c r="K175" i="8" s="1"/>
  <c r="J175" i="8"/>
  <c r="E1255" i="8"/>
  <c r="E1272" i="8"/>
  <c r="E1527" i="8"/>
  <c r="E1629" i="8"/>
  <c r="E728" i="8"/>
  <c r="E1442" i="8"/>
  <c r="G1632" i="8"/>
  <c r="G1258" i="8"/>
  <c r="G1530" i="8"/>
  <c r="G1275" i="8"/>
  <c r="G1445" i="8"/>
  <c r="H56" i="8"/>
  <c r="H90" i="8"/>
  <c r="B73" i="8"/>
  <c r="B141" i="8"/>
  <c r="F141" i="8"/>
  <c r="B243" i="8"/>
  <c r="F209" i="8"/>
  <c r="B158" i="8"/>
  <c r="J413" i="8"/>
  <c r="F396" i="8"/>
  <c r="F498" i="8"/>
  <c r="D447" i="8"/>
  <c r="J328" i="8"/>
  <c r="C940" i="8"/>
  <c r="C923" i="8"/>
  <c r="B906" i="8"/>
  <c r="D1059" i="8"/>
  <c r="C1042" i="8"/>
  <c r="B838" i="8"/>
  <c r="C838" i="8"/>
  <c r="C889" i="8"/>
  <c r="F728" i="8"/>
  <c r="H728" i="8"/>
  <c r="B872" i="8"/>
  <c r="E753" i="8"/>
  <c r="K31" i="15"/>
  <c r="H481" i="8"/>
  <c r="C1144" i="8"/>
  <c r="C1416" i="8"/>
  <c r="C1212" i="8"/>
  <c r="C1399" i="8"/>
  <c r="C1263" i="8"/>
  <c r="C1586" i="8"/>
  <c r="C634" i="8"/>
  <c r="C1501" i="8"/>
  <c r="C1331" i="8"/>
  <c r="C1382" i="8"/>
  <c r="C1365" i="8"/>
  <c r="C1280" i="8"/>
  <c r="C1314" i="8"/>
  <c r="C1195" i="8"/>
  <c r="C1229" i="8"/>
  <c r="C1110" i="8"/>
  <c r="C1603" i="8"/>
  <c r="C1246" i="8"/>
  <c r="C1161" i="8"/>
  <c r="C549" i="8"/>
  <c r="C736" i="8"/>
  <c r="C1093" i="8"/>
  <c r="C1671" i="8"/>
  <c r="C1637" i="8"/>
  <c r="C685" i="8"/>
  <c r="C1467" i="8"/>
  <c r="C1008" i="8"/>
  <c r="C821" i="8"/>
  <c r="C719" i="8"/>
  <c r="C974" i="8"/>
  <c r="C1025" i="8"/>
  <c r="C1059" i="8"/>
  <c r="C498" i="8"/>
  <c r="C532" i="8"/>
  <c r="C1518" i="8"/>
  <c r="C1552" i="8"/>
  <c r="C566" i="8"/>
  <c r="C1348" i="8"/>
  <c r="C1433" i="8"/>
  <c r="C651" i="8"/>
  <c r="C872" i="8"/>
  <c r="C804" i="8"/>
  <c r="C1569" i="8"/>
  <c r="C1127" i="8"/>
  <c r="C1297" i="8"/>
  <c r="C1484" i="8"/>
  <c r="C1654" i="8"/>
  <c r="C1620" i="8"/>
  <c r="C617" i="8"/>
  <c r="C1450" i="8"/>
  <c r="C1535" i="8"/>
  <c r="I22" i="15"/>
  <c r="F328" i="8"/>
  <c r="I25" i="15"/>
  <c r="F379" i="8"/>
  <c r="E1249" i="8"/>
  <c r="E1266" i="8"/>
  <c r="E1436" i="8"/>
  <c r="E1623" i="8"/>
  <c r="E1521" i="8"/>
  <c r="G1521" i="8"/>
  <c r="G1249" i="8"/>
  <c r="G1266" i="8"/>
  <c r="G1470" i="8"/>
  <c r="G1436" i="8"/>
  <c r="G1623" i="8"/>
  <c r="F1439" i="8"/>
  <c r="F1252" i="8"/>
  <c r="F1524" i="8"/>
  <c r="F1473" i="8"/>
  <c r="F1269" i="8"/>
  <c r="F1626" i="8"/>
  <c r="I11" i="13"/>
  <c r="D39" i="8"/>
  <c r="D107" i="8"/>
  <c r="J73" i="8"/>
  <c r="J141" i="8"/>
  <c r="D413" i="8"/>
  <c r="D294" i="8"/>
  <c r="F464" i="8"/>
  <c r="J277" i="8"/>
  <c r="D328" i="8"/>
  <c r="E1076" i="8"/>
  <c r="C991" i="8"/>
  <c r="C787" i="8"/>
  <c r="F753" i="8"/>
  <c r="G651" i="8"/>
  <c r="F651" i="8"/>
  <c r="H583" i="8"/>
  <c r="C731" i="8"/>
  <c r="C728" i="8"/>
  <c r="F634" i="8"/>
  <c r="B991" i="8"/>
  <c r="E1552" i="8"/>
  <c r="E1632" i="8"/>
  <c r="I1476" i="8"/>
  <c r="I31" i="15"/>
  <c r="F481" i="8"/>
  <c r="D1314" i="8"/>
  <c r="D1433" i="8"/>
  <c r="D1195" i="8"/>
  <c r="D1280" i="8"/>
  <c r="D549" i="8"/>
  <c r="D719" i="8"/>
  <c r="D1127" i="8"/>
  <c r="D1365" i="8"/>
  <c r="D1586" i="8"/>
  <c r="D1263" i="8"/>
  <c r="D1093" i="8"/>
  <c r="D1518" i="8"/>
  <c r="D566" i="8"/>
  <c r="D770" i="8"/>
  <c r="D1212" i="8"/>
  <c r="D1382" i="8"/>
  <c r="D1178" i="8"/>
  <c r="D1161" i="8"/>
  <c r="D1110" i="8"/>
  <c r="D1620" i="8"/>
  <c r="D1144" i="8"/>
  <c r="D1297" i="8"/>
  <c r="D1229" i="8"/>
  <c r="D1399" i="8"/>
  <c r="D1501" i="8"/>
  <c r="D1484" i="8"/>
  <c r="D1569" i="8"/>
  <c r="D1331" i="8"/>
  <c r="D1552" i="8"/>
  <c r="D1246" i="8"/>
  <c r="D1348" i="8"/>
  <c r="D668" i="8"/>
  <c r="D685" i="8"/>
  <c r="D1025" i="8"/>
  <c r="D1603" i="8"/>
  <c r="D1654" i="8"/>
  <c r="D838" i="8"/>
  <c r="D957" i="8"/>
  <c r="D736" i="8"/>
  <c r="D702" i="8"/>
  <c r="D753" i="8"/>
  <c r="D991" i="8"/>
  <c r="D1042" i="8"/>
  <c r="D515" i="8"/>
  <c r="D1416" i="8"/>
  <c r="D1450" i="8"/>
  <c r="D1535" i="8"/>
  <c r="D821" i="8"/>
  <c r="D1076" i="8"/>
  <c r="D906" i="8"/>
  <c r="D940" i="8"/>
  <c r="D600" i="8"/>
  <c r="D617" i="8"/>
  <c r="D1671" i="8"/>
  <c r="D1637" i="8"/>
  <c r="J1436" i="8"/>
  <c r="J1266" i="8"/>
  <c r="J1249" i="8"/>
  <c r="J1623" i="8"/>
  <c r="J1521" i="8"/>
  <c r="G1269" i="8"/>
  <c r="G1439" i="8"/>
  <c r="G1524" i="8"/>
  <c r="G1252" i="8"/>
  <c r="G1473" i="8"/>
  <c r="G1626" i="8"/>
  <c r="H39" i="8"/>
  <c r="H107" i="8"/>
  <c r="B90" i="8"/>
  <c r="F73" i="8"/>
  <c r="D260" i="8"/>
  <c r="J226" i="8"/>
  <c r="H158" i="8"/>
  <c r="H192" i="8"/>
  <c r="H345" i="8"/>
  <c r="D430" i="8"/>
  <c r="H362" i="8"/>
  <c r="H532" i="8"/>
  <c r="F923" i="8"/>
  <c r="E940" i="8"/>
  <c r="D923" i="8"/>
  <c r="C906" i="8"/>
  <c r="F1076" i="8"/>
  <c r="E1059" i="8"/>
  <c r="B685" i="8"/>
  <c r="D889" i="8"/>
  <c r="D804" i="8"/>
  <c r="E838" i="8"/>
  <c r="K728" i="8"/>
  <c r="G731" i="8"/>
  <c r="E722" i="8"/>
  <c r="C600" i="8"/>
  <c r="B1654" i="8"/>
  <c r="D1467" i="8"/>
  <c r="G1195" i="8"/>
  <c r="E1564" i="8"/>
  <c r="G861" i="8"/>
  <c r="J864" i="8"/>
  <c r="E867" i="8"/>
  <c r="K1558" i="8"/>
  <c r="L1558" i="8"/>
  <c r="I1555" i="8"/>
  <c r="C1564" i="8"/>
  <c r="E1561" i="8"/>
  <c r="E1555" i="8"/>
  <c r="I1561" i="8"/>
  <c r="F1558" i="8"/>
  <c r="F1561" i="8"/>
  <c r="F1564" i="8"/>
  <c r="C1561" i="8"/>
  <c r="F1555" i="8"/>
  <c r="J1558" i="8"/>
  <c r="H1555" i="8"/>
  <c r="K1561" i="8"/>
  <c r="I1558" i="8"/>
  <c r="G1558" i="8"/>
  <c r="H1561" i="8"/>
  <c r="G1561" i="8"/>
  <c r="E1558" i="8"/>
  <c r="J1555" i="8"/>
  <c r="D1564" i="8"/>
  <c r="C1555" i="8"/>
  <c r="D1561" i="8"/>
  <c r="G1555" i="8"/>
  <c r="J1561" i="8"/>
  <c r="K1555" i="8"/>
  <c r="L1561" i="8"/>
  <c r="L1555" i="8"/>
  <c r="D1555" i="8"/>
  <c r="D1558" i="8"/>
  <c r="G1564" i="8"/>
  <c r="H1558" i="8"/>
  <c r="C1558" i="8"/>
  <c r="J861" i="8"/>
  <c r="D864" i="8"/>
  <c r="E861" i="8"/>
  <c r="C861" i="8"/>
  <c r="H861" i="8"/>
  <c r="H1473" i="8"/>
  <c r="E1470" i="8"/>
  <c r="C1476" i="8"/>
  <c r="E1476" i="8"/>
  <c r="C1470" i="8"/>
  <c r="J1476" i="8"/>
  <c r="G1479" i="8"/>
  <c r="D1476" i="8"/>
  <c r="C1479" i="8"/>
  <c r="J1470" i="8"/>
  <c r="K1476" i="8"/>
  <c r="L1470" i="8"/>
  <c r="C858" i="8"/>
  <c r="H864" i="8"/>
  <c r="I858" i="8"/>
  <c r="L858" i="8"/>
  <c r="K864" i="8"/>
  <c r="I861" i="8"/>
  <c r="D861" i="8"/>
  <c r="F864" i="8"/>
  <c r="H858" i="8"/>
  <c r="C1394" i="8"/>
  <c r="F1391" i="8"/>
  <c r="I1388" i="8"/>
  <c r="L1385" i="8"/>
  <c r="D1385" i="8"/>
  <c r="E1391" i="8"/>
  <c r="H1388" i="8"/>
  <c r="K1385" i="8"/>
  <c r="C1385" i="8"/>
  <c r="L1391" i="8"/>
  <c r="D1391" i="8"/>
  <c r="G1388" i="8"/>
  <c r="J1385" i="8"/>
  <c r="K1391" i="8"/>
  <c r="C1391" i="8"/>
  <c r="F1388" i="8"/>
  <c r="I1385" i="8"/>
  <c r="I1391" i="8"/>
  <c r="D1388" i="8"/>
  <c r="H1391" i="8"/>
  <c r="C1388" i="8"/>
  <c r="G1394" i="8"/>
  <c r="H1385" i="8"/>
  <c r="D1394" i="8"/>
  <c r="J1388" i="8"/>
  <c r="E1385" i="8"/>
  <c r="G1391" i="8"/>
  <c r="L1388" i="8"/>
  <c r="K1388" i="8"/>
  <c r="E1388" i="8"/>
  <c r="F1394" i="8"/>
  <c r="E1394" i="8"/>
  <c r="F1385" i="8"/>
  <c r="J1391" i="8"/>
  <c r="G1385" i="8"/>
  <c r="G1292" i="8"/>
  <c r="J1289" i="8"/>
  <c r="E1286" i="8"/>
  <c r="H1283" i="8"/>
  <c r="F1292" i="8"/>
  <c r="I1289" i="8"/>
  <c r="L1286" i="8"/>
  <c r="D1286" i="8"/>
  <c r="G1283" i="8"/>
  <c r="D1292" i="8"/>
  <c r="G1289" i="8"/>
  <c r="J1286" i="8"/>
  <c r="E1283" i="8"/>
  <c r="L1289" i="8"/>
  <c r="D1289" i="8"/>
  <c r="G1286" i="8"/>
  <c r="J1283" i="8"/>
  <c r="C1292" i="8"/>
  <c r="I1286" i="8"/>
  <c r="D1283" i="8"/>
  <c r="H1286" i="8"/>
  <c r="C1283" i="8"/>
  <c r="K1289" i="8"/>
  <c r="F1286" i="8"/>
  <c r="H1289" i="8"/>
  <c r="C1286" i="8"/>
  <c r="I1283" i="8"/>
  <c r="L1283" i="8"/>
  <c r="E1292" i="8"/>
  <c r="F1283" i="8"/>
  <c r="F1289" i="8"/>
  <c r="E1289" i="8"/>
  <c r="C1289" i="8"/>
  <c r="K1283" i="8"/>
  <c r="K1286" i="8"/>
  <c r="L1357" i="8"/>
  <c r="D1357" i="8"/>
  <c r="G1354" i="8"/>
  <c r="J1351" i="8"/>
  <c r="K1357" i="8"/>
  <c r="C1357" i="8"/>
  <c r="F1354" i="8"/>
  <c r="I1351" i="8"/>
  <c r="G1360" i="8"/>
  <c r="J1357" i="8"/>
  <c r="E1354" i="8"/>
  <c r="H1351" i="8"/>
  <c r="F1360" i="8"/>
  <c r="I1357" i="8"/>
  <c r="L1354" i="8"/>
  <c r="D1354" i="8"/>
  <c r="G1351" i="8"/>
  <c r="H1357" i="8"/>
  <c r="C1354" i="8"/>
  <c r="G1357" i="8"/>
  <c r="E1357" i="8"/>
  <c r="K1351" i="8"/>
  <c r="C1360" i="8"/>
  <c r="I1354" i="8"/>
  <c r="D1351" i="8"/>
  <c r="C1351" i="8"/>
  <c r="F1357" i="8"/>
  <c r="K1354" i="8"/>
  <c r="J1354" i="8"/>
  <c r="H1354" i="8"/>
  <c r="L1351" i="8"/>
  <c r="F1351" i="8"/>
  <c r="E1351" i="8"/>
  <c r="E1360" i="8"/>
  <c r="D1360" i="8"/>
  <c r="D1207" i="8"/>
  <c r="G1204" i="8"/>
  <c r="J1201" i="8"/>
  <c r="E1198" i="8"/>
  <c r="C1207" i="8"/>
  <c r="F1204" i="8"/>
  <c r="I1201" i="8"/>
  <c r="L1198" i="8"/>
  <c r="D1198" i="8"/>
  <c r="E1204" i="8"/>
  <c r="H1201" i="8"/>
  <c r="K1198" i="8"/>
  <c r="C1198" i="8"/>
  <c r="L1204" i="8"/>
  <c r="D1204" i="8"/>
  <c r="G1201" i="8"/>
  <c r="J1198" i="8"/>
  <c r="K1204" i="8"/>
  <c r="F1201" i="8"/>
  <c r="E1207" i="8"/>
  <c r="J1204" i="8"/>
  <c r="E1201" i="8"/>
  <c r="F1207" i="8"/>
  <c r="I1204" i="8"/>
  <c r="D1201" i="8"/>
  <c r="L1201" i="8"/>
  <c r="G1198" i="8"/>
  <c r="H1204" i="8"/>
  <c r="C1201" i="8"/>
  <c r="C1204" i="8"/>
  <c r="I1198" i="8"/>
  <c r="G1207" i="8"/>
  <c r="H1198" i="8"/>
  <c r="K1201" i="8"/>
  <c r="F1198" i="8"/>
  <c r="K1306" i="8"/>
  <c r="C1306" i="8"/>
  <c r="F1303" i="8"/>
  <c r="I1300" i="8"/>
  <c r="G1309" i="8"/>
  <c r="J1306" i="8"/>
  <c r="E1303" i="8"/>
  <c r="H1300" i="8"/>
  <c r="E1309" i="8"/>
  <c r="H1306" i="8"/>
  <c r="K1303" i="8"/>
  <c r="C1303" i="8"/>
  <c r="F1300" i="8"/>
  <c r="E1306" i="8"/>
  <c r="H1303" i="8"/>
  <c r="K1300" i="8"/>
  <c r="C1300" i="8"/>
  <c r="G1306" i="8"/>
  <c r="F1306" i="8"/>
  <c r="L1300" i="8"/>
  <c r="D1306" i="8"/>
  <c r="J1300" i="8"/>
  <c r="F1309" i="8"/>
  <c r="L1303" i="8"/>
  <c r="G1300" i="8"/>
  <c r="G1303" i="8"/>
  <c r="D1303" i="8"/>
  <c r="I1303" i="8"/>
  <c r="D1309" i="8"/>
  <c r="E1300" i="8"/>
  <c r="C1309" i="8"/>
  <c r="D1300" i="8"/>
  <c r="J1303" i="8"/>
  <c r="L1306" i="8"/>
  <c r="I1306" i="8"/>
  <c r="D1411" i="8"/>
  <c r="G1408" i="8"/>
  <c r="J1405" i="8"/>
  <c r="E1402" i="8"/>
  <c r="C1411" i="8"/>
  <c r="F1408" i="8"/>
  <c r="I1405" i="8"/>
  <c r="L1402" i="8"/>
  <c r="D1402" i="8"/>
  <c r="E1408" i="8"/>
  <c r="H1405" i="8"/>
  <c r="K1402" i="8"/>
  <c r="C1402" i="8"/>
  <c r="L1408" i="8"/>
  <c r="D1408" i="8"/>
  <c r="G1405" i="8"/>
  <c r="J1402" i="8"/>
  <c r="F1411" i="8"/>
  <c r="L1405" i="8"/>
  <c r="G1402" i="8"/>
  <c r="E1411" i="8"/>
  <c r="K1405" i="8"/>
  <c r="F1402" i="8"/>
  <c r="J1408" i="8"/>
  <c r="E1405" i="8"/>
  <c r="C1408" i="8"/>
  <c r="I1402" i="8"/>
  <c r="K1408" i="8"/>
  <c r="I1408" i="8"/>
  <c r="H1408" i="8"/>
  <c r="H1402" i="8"/>
  <c r="G1411" i="8"/>
  <c r="C1405" i="8"/>
  <c r="F1405" i="8"/>
  <c r="D1405" i="8"/>
  <c r="F1105" i="8"/>
  <c r="I1102" i="8"/>
  <c r="L1099" i="8"/>
  <c r="D1099" i="8"/>
  <c r="G1096" i="8"/>
  <c r="E1105" i="8"/>
  <c r="H1102" i="8"/>
  <c r="K1099" i="8"/>
  <c r="C1099" i="8"/>
  <c r="F1096" i="8"/>
  <c r="C1105" i="8"/>
  <c r="C1102" i="8"/>
  <c r="C1096" i="8"/>
  <c r="G1105" i="8"/>
  <c r="D1102" i="8"/>
  <c r="L1102" i="8"/>
  <c r="L1096" i="8"/>
  <c r="E1099" i="8"/>
  <c r="K1102" i="8"/>
  <c r="J1099" i="8"/>
  <c r="K1096" i="8"/>
  <c r="E1096" i="8"/>
  <c r="J1102" i="8"/>
  <c r="I1099" i="8"/>
  <c r="J1096" i="8"/>
  <c r="F1099" i="8"/>
  <c r="D1105" i="8"/>
  <c r="D1096" i="8"/>
  <c r="G1102" i="8"/>
  <c r="H1099" i="8"/>
  <c r="I1096" i="8"/>
  <c r="F1102" i="8"/>
  <c r="G1099" i="8"/>
  <c r="H1096" i="8"/>
  <c r="E1102" i="8"/>
  <c r="D1598" i="8"/>
  <c r="G1595" i="8"/>
  <c r="J1592" i="8"/>
  <c r="E1589" i="8"/>
  <c r="C1598" i="8"/>
  <c r="F1595" i="8"/>
  <c r="I1592" i="8"/>
  <c r="L1589" i="8"/>
  <c r="D1589" i="8"/>
  <c r="E1595" i="8"/>
  <c r="H1592" i="8"/>
  <c r="K1589" i="8"/>
  <c r="C1589" i="8"/>
  <c r="L1595" i="8"/>
  <c r="D1595" i="8"/>
  <c r="G1592" i="8"/>
  <c r="J1589" i="8"/>
  <c r="K1595" i="8"/>
  <c r="C1595" i="8"/>
  <c r="F1592" i="8"/>
  <c r="I1589" i="8"/>
  <c r="F1598" i="8"/>
  <c r="I1595" i="8"/>
  <c r="L1592" i="8"/>
  <c r="D1592" i="8"/>
  <c r="G1589" i="8"/>
  <c r="G1598" i="8"/>
  <c r="H1589" i="8"/>
  <c r="E1598" i="8"/>
  <c r="F1589" i="8"/>
  <c r="J1595" i="8"/>
  <c r="H1595" i="8"/>
  <c r="C1592" i="8"/>
  <c r="K1592" i="8"/>
  <c r="E1592" i="8"/>
  <c r="C1241" i="8"/>
  <c r="F1238" i="8"/>
  <c r="I1235" i="8"/>
  <c r="L1238" i="8"/>
  <c r="D1238" i="8"/>
  <c r="G1235" i="8"/>
  <c r="J1232" i="8"/>
  <c r="F1241" i="8"/>
  <c r="I1238" i="8"/>
  <c r="L1235" i="8"/>
  <c r="D1235" i="8"/>
  <c r="G1232" i="8"/>
  <c r="G1241" i="8"/>
  <c r="E1238" i="8"/>
  <c r="C1235" i="8"/>
  <c r="D1232" i="8"/>
  <c r="E1241" i="8"/>
  <c r="C1238" i="8"/>
  <c r="C1232" i="8"/>
  <c r="D1241" i="8"/>
  <c r="L1232" i="8"/>
  <c r="K1235" i="8"/>
  <c r="K1232" i="8"/>
  <c r="H1235" i="8"/>
  <c r="F1235" i="8"/>
  <c r="E1235" i="8"/>
  <c r="G1238" i="8"/>
  <c r="K1238" i="8"/>
  <c r="I1232" i="8"/>
  <c r="E1232" i="8"/>
  <c r="J1238" i="8"/>
  <c r="H1232" i="8"/>
  <c r="H1238" i="8"/>
  <c r="F1232" i="8"/>
  <c r="J1235" i="8"/>
  <c r="E1615" i="8"/>
  <c r="H1612" i="8"/>
  <c r="K1609" i="8"/>
  <c r="C1609" i="8"/>
  <c r="F1606" i="8"/>
  <c r="D1615" i="8"/>
  <c r="G1612" i="8"/>
  <c r="J1609" i="8"/>
  <c r="E1606" i="8"/>
  <c r="C1615" i="8"/>
  <c r="F1612" i="8"/>
  <c r="I1609" i="8"/>
  <c r="L1606" i="8"/>
  <c r="D1606" i="8"/>
  <c r="E1612" i="8"/>
  <c r="H1609" i="8"/>
  <c r="K1606" i="8"/>
  <c r="C1606" i="8"/>
  <c r="L1612" i="8"/>
  <c r="D1612" i="8"/>
  <c r="G1609" i="8"/>
  <c r="J1606" i="8"/>
  <c r="G1615" i="8"/>
  <c r="J1612" i="8"/>
  <c r="E1609" i="8"/>
  <c r="H1606" i="8"/>
  <c r="D1609" i="8"/>
  <c r="I1606" i="8"/>
  <c r="F1615" i="8"/>
  <c r="G1606" i="8"/>
  <c r="K1612" i="8"/>
  <c r="I1612" i="8"/>
  <c r="F1609" i="8"/>
  <c r="C1612" i="8"/>
  <c r="L1609" i="8"/>
  <c r="L1544" i="8"/>
  <c r="D1544" i="8"/>
  <c r="G1541" i="8"/>
  <c r="J1538" i="8"/>
  <c r="G1547" i="8"/>
  <c r="J1544" i="8"/>
  <c r="E1541" i="8"/>
  <c r="H1538" i="8"/>
  <c r="F1547" i="8"/>
  <c r="I1544" i="8"/>
  <c r="L1541" i="8"/>
  <c r="D1541" i="8"/>
  <c r="G1538" i="8"/>
  <c r="E1547" i="8"/>
  <c r="H1544" i="8"/>
  <c r="K1541" i="8"/>
  <c r="C1541" i="8"/>
  <c r="F1538" i="8"/>
  <c r="C1547" i="8"/>
  <c r="F1544" i="8"/>
  <c r="I1541" i="8"/>
  <c r="L1538" i="8"/>
  <c r="D1538" i="8"/>
  <c r="J1541" i="8"/>
  <c r="H1541" i="8"/>
  <c r="D1547" i="8"/>
  <c r="F1541" i="8"/>
  <c r="I1538" i="8"/>
  <c r="E1538" i="8"/>
  <c r="K1544" i="8"/>
  <c r="C1544" i="8"/>
  <c r="G1544" i="8"/>
  <c r="E1544" i="8"/>
  <c r="K1538" i="8"/>
  <c r="C1538" i="8"/>
  <c r="K1221" i="8"/>
  <c r="C1221" i="8"/>
  <c r="F1218" i="8"/>
  <c r="I1215" i="8"/>
  <c r="E1224" i="8"/>
  <c r="H1221" i="8"/>
  <c r="K1218" i="8"/>
  <c r="C1218" i="8"/>
  <c r="D1224" i="8"/>
  <c r="E1221" i="8"/>
  <c r="E1218" i="8"/>
  <c r="F1215" i="8"/>
  <c r="C1224" i="8"/>
  <c r="D1221" i="8"/>
  <c r="D1218" i="8"/>
  <c r="E1215" i="8"/>
  <c r="D1215" i="8"/>
  <c r="L1221" i="8"/>
  <c r="L1218" i="8"/>
  <c r="L1215" i="8"/>
  <c r="C1215" i="8"/>
  <c r="I1221" i="8"/>
  <c r="J1215" i="8"/>
  <c r="J1221" i="8"/>
  <c r="G1221" i="8"/>
  <c r="H1215" i="8"/>
  <c r="F1221" i="8"/>
  <c r="G1215" i="8"/>
  <c r="G1218" i="8"/>
  <c r="J1218" i="8"/>
  <c r="I1218" i="8"/>
  <c r="F1224" i="8"/>
  <c r="G1224" i="8"/>
  <c r="H1218" i="8"/>
  <c r="K1215" i="8"/>
  <c r="G1122" i="8"/>
  <c r="J1119" i="8"/>
  <c r="E1116" i="8"/>
  <c r="H1113" i="8"/>
  <c r="F1122" i="8"/>
  <c r="I1119" i="8"/>
  <c r="L1116" i="8"/>
  <c r="D1116" i="8"/>
  <c r="G1113" i="8"/>
  <c r="D1122" i="8"/>
  <c r="G1119" i="8"/>
  <c r="J1116" i="8"/>
  <c r="E1113" i="8"/>
  <c r="K1119" i="8"/>
  <c r="H1116" i="8"/>
  <c r="F1113" i="8"/>
  <c r="K1116" i="8"/>
  <c r="H1119" i="8"/>
  <c r="G1116" i="8"/>
  <c r="D1113" i="8"/>
  <c r="I1113" i="8"/>
  <c r="F1119" i="8"/>
  <c r="F1116" i="8"/>
  <c r="C1113" i="8"/>
  <c r="E1119" i="8"/>
  <c r="C1116" i="8"/>
  <c r="L1119" i="8"/>
  <c r="E1122" i="8"/>
  <c r="D1119" i="8"/>
  <c r="L1113" i="8"/>
  <c r="I1116" i="8"/>
  <c r="C1122" i="8"/>
  <c r="C1119" i="8"/>
  <c r="K1113" i="8"/>
  <c r="J1113" i="8"/>
  <c r="K1136" i="8"/>
  <c r="C1136" i="8"/>
  <c r="F1133" i="8"/>
  <c r="I1130" i="8"/>
  <c r="G1139" i="8"/>
  <c r="J1136" i="8"/>
  <c r="E1133" i="8"/>
  <c r="H1130" i="8"/>
  <c r="E1139" i="8"/>
  <c r="H1136" i="8"/>
  <c r="K1133" i="8"/>
  <c r="C1133" i="8"/>
  <c r="F1130" i="8"/>
  <c r="F1136" i="8"/>
  <c r="D1133" i="8"/>
  <c r="C1130" i="8"/>
  <c r="I1136" i="8"/>
  <c r="F1139" i="8"/>
  <c r="E1136" i="8"/>
  <c r="G1136" i="8"/>
  <c r="D1139" i="8"/>
  <c r="D1136" i="8"/>
  <c r="L1130" i="8"/>
  <c r="C1139" i="8"/>
  <c r="L1133" i="8"/>
  <c r="K1130" i="8"/>
  <c r="D1130" i="8"/>
  <c r="J1133" i="8"/>
  <c r="J1130" i="8"/>
  <c r="H1133" i="8"/>
  <c r="L1136" i="8"/>
  <c r="I1133" i="8"/>
  <c r="G1130" i="8"/>
  <c r="E1130" i="8"/>
  <c r="G1133" i="8"/>
  <c r="C1581" i="8"/>
  <c r="F1578" i="8"/>
  <c r="I1575" i="8"/>
  <c r="L1572" i="8"/>
  <c r="D1572" i="8"/>
  <c r="L1578" i="8"/>
  <c r="D1578" i="8"/>
  <c r="G1575" i="8"/>
  <c r="J1572" i="8"/>
  <c r="K1578" i="8"/>
  <c r="C1578" i="8"/>
  <c r="F1575" i="8"/>
  <c r="I1572" i="8"/>
  <c r="G1581" i="8"/>
  <c r="J1578" i="8"/>
  <c r="E1575" i="8"/>
  <c r="H1572" i="8"/>
  <c r="E1581" i="8"/>
  <c r="H1578" i="8"/>
  <c r="K1575" i="8"/>
  <c r="C1575" i="8"/>
  <c r="F1572" i="8"/>
  <c r="D1581" i="8"/>
  <c r="D1575" i="8"/>
  <c r="I1578" i="8"/>
  <c r="K1572" i="8"/>
  <c r="G1578" i="8"/>
  <c r="G1572" i="8"/>
  <c r="C1572" i="8"/>
  <c r="F1581" i="8"/>
  <c r="E1578" i="8"/>
  <c r="H1575" i="8"/>
  <c r="L1575" i="8"/>
  <c r="J1575" i="8"/>
  <c r="E1572" i="8"/>
  <c r="C1190" i="8"/>
  <c r="F1187" i="8"/>
  <c r="I1184" i="8"/>
  <c r="L1181" i="8"/>
  <c r="D1181" i="8"/>
  <c r="E1187" i="8"/>
  <c r="H1184" i="8"/>
  <c r="K1181" i="8"/>
  <c r="C1181" i="8"/>
  <c r="L1187" i="8"/>
  <c r="D1187" i="8"/>
  <c r="G1184" i="8"/>
  <c r="J1181" i="8"/>
  <c r="K1187" i="8"/>
  <c r="C1187" i="8"/>
  <c r="F1184" i="8"/>
  <c r="I1181" i="8"/>
  <c r="G1187" i="8"/>
  <c r="G1190" i="8"/>
  <c r="H1181" i="8"/>
  <c r="F1190" i="8"/>
  <c r="L1184" i="8"/>
  <c r="G1181" i="8"/>
  <c r="I1187" i="8"/>
  <c r="E1190" i="8"/>
  <c r="K1184" i="8"/>
  <c r="F1181" i="8"/>
  <c r="D1190" i="8"/>
  <c r="J1184" i="8"/>
  <c r="E1181" i="8"/>
  <c r="D1184" i="8"/>
  <c r="J1187" i="8"/>
  <c r="E1184" i="8"/>
  <c r="H1187" i="8"/>
  <c r="C1184" i="8"/>
  <c r="F1496" i="8"/>
  <c r="I1493" i="8"/>
  <c r="L1490" i="8"/>
  <c r="D1490" i="8"/>
  <c r="G1487" i="8"/>
  <c r="D1496" i="8"/>
  <c r="G1493" i="8"/>
  <c r="J1490" i="8"/>
  <c r="E1487" i="8"/>
  <c r="C1496" i="8"/>
  <c r="F1493" i="8"/>
  <c r="I1490" i="8"/>
  <c r="L1487" i="8"/>
  <c r="D1487" i="8"/>
  <c r="E1493" i="8"/>
  <c r="H1490" i="8"/>
  <c r="K1493" i="8"/>
  <c r="C1493" i="8"/>
  <c r="K1490" i="8"/>
  <c r="H1487" i="8"/>
  <c r="G1496" i="8"/>
  <c r="G1490" i="8"/>
  <c r="F1487" i="8"/>
  <c r="E1496" i="8"/>
  <c r="F1490" i="8"/>
  <c r="C1487" i="8"/>
  <c r="L1493" i="8"/>
  <c r="E1490" i="8"/>
  <c r="C1490" i="8"/>
  <c r="K1487" i="8"/>
  <c r="I1487" i="8"/>
  <c r="D1493" i="8"/>
  <c r="J1487" i="8"/>
  <c r="H1493" i="8"/>
  <c r="J1493" i="8"/>
  <c r="L1680" i="8"/>
  <c r="D1680" i="8"/>
  <c r="G1677" i="8"/>
  <c r="J1674" i="8"/>
  <c r="K1680" i="8"/>
  <c r="C1680" i="8"/>
  <c r="F1677" i="8"/>
  <c r="I1674" i="8"/>
  <c r="G1683" i="8"/>
  <c r="J1680" i="8"/>
  <c r="E1677" i="8"/>
  <c r="H1674" i="8"/>
  <c r="F1683" i="8"/>
  <c r="I1680" i="8"/>
  <c r="L1677" i="8"/>
  <c r="D1677" i="8"/>
  <c r="G1674" i="8"/>
  <c r="E1683" i="8"/>
  <c r="H1680" i="8"/>
  <c r="K1677" i="8"/>
  <c r="C1677" i="8"/>
  <c r="F1674" i="8"/>
  <c r="C1683" i="8"/>
  <c r="F1680" i="8"/>
  <c r="I1677" i="8"/>
  <c r="L1674" i="8"/>
  <c r="D1674" i="8"/>
  <c r="D1683" i="8"/>
  <c r="E1674" i="8"/>
  <c r="C1674" i="8"/>
  <c r="G1680" i="8"/>
  <c r="E1680" i="8"/>
  <c r="J1677" i="8"/>
  <c r="H1677" i="8"/>
  <c r="K1674" i="8"/>
  <c r="G1462" i="8"/>
  <c r="J1459" i="8"/>
  <c r="E1456" i="8"/>
  <c r="H1453" i="8"/>
  <c r="F1462" i="8"/>
  <c r="I1459" i="8"/>
  <c r="L1456" i="8"/>
  <c r="D1456" i="8"/>
  <c r="G1453" i="8"/>
  <c r="E1462" i="8"/>
  <c r="H1459" i="8"/>
  <c r="K1456" i="8"/>
  <c r="C1456" i="8"/>
  <c r="F1453" i="8"/>
  <c r="D1462" i="8"/>
  <c r="G1459" i="8"/>
  <c r="J1456" i="8"/>
  <c r="E1453" i="8"/>
  <c r="F1459" i="8"/>
  <c r="L1453" i="8"/>
  <c r="E1459" i="8"/>
  <c r="K1453" i="8"/>
  <c r="C1459" i="8"/>
  <c r="I1453" i="8"/>
  <c r="L1459" i="8"/>
  <c r="G1456" i="8"/>
  <c r="I1456" i="8"/>
  <c r="H1456" i="8"/>
  <c r="F1456" i="8"/>
  <c r="J1453" i="8"/>
  <c r="C1453" i="8"/>
  <c r="C1462" i="8"/>
  <c r="K1459" i="8"/>
  <c r="D1459" i="8"/>
  <c r="D1453" i="8"/>
  <c r="L1153" i="8"/>
  <c r="D1153" i="8"/>
  <c r="G1150" i="8"/>
  <c r="J1147" i="8"/>
  <c r="K1153" i="8"/>
  <c r="C1153" i="8"/>
  <c r="F1150" i="8"/>
  <c r="I1147" i="8"/>
  <c r="F1156" i="8"/>
  <c r="I1153" i="8"/>
  <c r="L1150" i="8"/>
  <c r="D1150" i="8"/>
  <c r="G1147" i="8"/>
  <c r="D1156" i="8"/>
  <c r="L1147" i="8"/>
  <c r="F1153" i="8"/>
  <c r="C1156" i="8"/>
  <c r="K1150" i="8"/>
  <c r="K1147" i="8"/>
  <c r="J1150" i="8"/>
  <c r="H1147" i="8"/>
  <c r="E1156" i="8"/>
  <c r="J1153" i="8"/>
  <c r="I1150" i="8"/>
  <c r="F1147" i="8"/>
  <c r="G1156" i="8"/>
  <c r="E1153" i="8"/>
  <c r="H1153" i="8"/>
  <c r="H1150" i="8"/>
  <c r="E1147" i="8"/>
  <c r="C1147" i="8"/>
  <c r="G1153" i="8"/>
  <c r="E1150" i="8"/>
  <c r="D1147" i="8"/>
  <c r="C1150" i="8"/>
  <c r="K1663" i="8"/>
  <c r="C1663" i="8"/>
  <c r="F1660" i="8"/>
  <c r="I1657" i="8"/>
  <c r="G1666" i="8"/>
  <c r="J1663" i="8"/>
  <c r="E1660" i="8"/>
  <c r="H1657" i="8"/>
  <c r="F1666" i="8"/>
  <c r="I1663" i="8"/>
  <c r="L1660" i="8"/>
  <c r="D1660" i="8"/>
  <c r="G1657" i="8"/>
  <c r="E1666" i="8"/>
  <c r="H1663" i="8"/>
  <c r="K1660" i="8"/>
  <c r="C1660" i="8"/>
  <c r="F1657" i="8"/>
  <c r="D1666" i="8"/>
  <c r="G1663" i="8"/>
  <c r="J1660" i="8"/>
  <c r="E1657" i="8"/>
  <c r="E1663" i="8"/>
  <c r="H1660" i="8"/>
  <c r="K1657" i="8"/>
  <c r="C1657" i="8"/>
  <c r="L1663" i="8"/>
  <c r="F1663" i="8"/>
  <c r="D1663" i="8"/>
  <c r="I1660" i="8"/>
  <c r="J1657" i="8"/>
  <c r="D1657" i="8"/>
  <c r="G1660" i="8"/>
  <c r="C1666" i="8"/>
  <c r="L1657" i="8"/>
  <c r="L1323" i="8"/>
  <c r="D1323" i="8"/>
  <c r="G1320" i="8"/>
  <c r="J1317" i="8"/>
  <c r="K1323" i="8"/>
  <c r="C1323" i="8"/>
  <c r="F1320" i="8"/>
  <c r="I1317" i="8"/>
  <c r="F1326" i="8"/>
  <c r="I1323" i="8"/>
  <c r="L1320" i="8"/>
  <c r="D1320" i="8"/>
  <c r="G1317" i="8"/>
  <c r="C1326" i="8"/>
  <c r="F1323" i="8"/>
  <c r="I1320" i="8"/>
  <c r="L1317" i="8"/>
  <c r="D1317" i="8"/>
  <c r="D1326" i="8"/>
  <c r="J1320" i="8"/>
  <c r="E1317" i="8"/>
  <c r="H1320" i="8"/>
  <c r="C1317" i="8"/>
  <c r="J1323" i="8"/>
  <c r="E1320" i="8"/>
  <c r="H1323" i="8"/>
  <c r="C1320" i="8"/>
  <c r="G1326" i="8"/>
  <c r="H1317" i="8"/>
  <c r="E1326" i="8"/>
  <c r="F1317" i="8"/>
  <c r="G1323" i="8"/>
  <c r="E1323" i="8"/>
  <c r="K1320" i="8"/>
  <c r="K1317" i="8"/>
  <c r="E1428" i="8"/>
  <c r="H1425" i="8"/>
  <c r="K1422" i="8"/>
  <c r="C1422" i="8"/>
  <c r="F1419" i="8"/>
  <c r="D1428" i="8"/>
  <c r="G1425" i="8"/>
  <c r="J1422" i="8"/>
  <c r="E1419" i="8"/>
  <c r="C1428" i="8"/>
  <c r="F1425" i="8"/>
  <c r="I1422" i="8"/>
  <c r="L1419" i="8"/>
  <c r="D1419" i="8"/>
  <c r="E1425" i="8"/>
  <c r="H1422" i="8"/>
  <c r="K1419" i="8"/>
  <c r="C1419" i="8"/>
  <c r="I1425" i="8"/>
  <c r="D1422" i="8"/>
  <c r="D1425" i="8"/>
  <c r="J1419" i="8"/>
  <c r="G1428" i="8"/>
  <c r="H1419" i="8"/>
  <c r="K1425" i="8"/>
  <c r="F1422" i="8"/>
  <c r="I1419" i="8"/>
  <c r="F1428" i="8"/>
  <c r="G1419" i="8"/>
  <c r="L1425" i="8"/>
  <c r="J1425" i="8"/>
  <c r="G1422" i="8"/>
  <c r="C1425" i="8"/>
  <c r="L1422" i="8"/>
  <c r="E1422" i="8"/>
  <c r="G1649" i="8"/>
  <c r="J1646" i="8"/>
  <c r="E1643" i="8"/>
  <c r="H1640" i="8"/>
  <c r="F1649" i="8"/>
  <c r="I1646" i="8"/>
  <c r="L1643" i="8"/>
  <c r="D1643" i="8"/>
  <c r="G1640" i="8"/>
  <c r="E1649" i="8"/>
  <c r="H1646" i="8"/>
  <c r="K1643" i="8"/>
  <c r="C1643" i="8"/>
  <c r="F1640" i="8"/>
  <c r="D1649" i="8"/>
  <c r="G1646" i="8"/>
  <c r="J1643" i="8"/>
  <c r="E1640" i="8"/>
  <c r="C1649" i="8"/>
  <c r="F1646" i="8"/>
  <c r="I1643" i="8"/>
  <c r="L1640" i="8"/>
  <c r="D1640" i="8"/>
  <c r="L1646" i="8"/>
  <c r="D1646" i="8"/>
  <c r="G1643" i="8"/>
  <c r="J1640" i="8"/>
  <c r="C1646" i="8"/>
  <c r="H1643" i="8"/>
  <c r="F1643" i="8"/>
  <c r="K1640" i="8"/>
  <c r="K1646" i="8"/>
  <c r="E1646" i="8"/>
  <c r="C1640" i="8"/>
  <c r="I1640" i="8"/>
  <c r="G1513" i="8"/>
  <c r="J1510" i="8"/>
  <c r="E1507" i="8"/>
  <c r="H1504" i="8"/>
  <c r="E1513" i="8"/>
  <c r="H1510" i="8"/>
  <c r="K1507" i="8"/>
  <c r="C1507" i="8"/>
  <c r="F1504" i="8"/>
  <c r="D1513" i="8"/>
  <c r="G1510" i="8"/>
  <c r="J1507" i="8"/>
  <c r="E1504" i="8"/>
  <c r="C1513" i="8"/>
  <c r="F1510" i="8"/>
  <c r="I1507" i="8"/>
  <c r="L1504" i="8"/>
  <c r="D1504" i="8"/>
  <c r="L1510" i="8"/>
  <c r="D1510" i="8"/>
  <c r="G1507" i="8"/>
  <c r="J1504" i="8"/>
  <c r="E1510" i="8"/>
  <c r="G1504" i="8"/>
  <c r="C1510" i="8"/>
  <c r="C1504" i="8"/>
  <c r="L1507" i="8"/>
  <c r="H1507" i="8"/>
  <c r="F1513" i="8"/>
  <c r="I1510" i="8"/>
  <c r="K1504" i="8"/>
  <c r="I1504" i="8"/>
  <c r="F1507" i="8"/>
  <c r="K1510" i="8"/>
  <c r="D1507" i="8"/>
  <c r="K1340" i="8"/>
  <c r="C1340" i="8"/>
  <c r="F1337" i="8"/>
  <c r="I1334" i="8"/>
  <c r="G1343" i="8"/>
  <c r="J1340" i="8"/>
  <c r="E1337" i="8"/>
  <c r="H1334" i="8"/>
  <c r="F1343" i="8"/>
  <c r="I1340" i="8"/>
  <c r="L1337" i="8"/>
  <c r="D1337" i="8"/>
  <c r="G1334" i="8"/>
  <c r="E1343" i="8"/>
  <c r="H1340" i="8"/>
  <c r="K1337" i="8"/>
  <c r="C1337" i="8"/>
  <c r="F1334" i="8"/>
  <c r="D1343" i="8"/>
  <c r="J1337" i="8"/>
  <c r="E1334" i="8"/>
  <c r="C1343" i="8"/>
  <c r="I1337" i="8"/>
  <c r="D1334" i="8"/>
  <c r="L1340" i="8"/>
  <c r="G1337" i="8"/>
  <c r="E1340" i="8"/>
  <c r="K1334" i="8"/>
  <c r="F1340" i="8"/>
  <c r="D1340" i="8"/>
  <c r="H1337" i="8"/>
  <c r="G1340" i="8"/>
  <c r="L1334" i="8"/>
  <c r="J1334" i="8"/>
  <c r="C1334" i="8"/>
  <c r="E1374" i="8"/>
  <c r="H1371" i="8"/>
  <c r="K1368" i="8"/>
  <c r="C1368" i="8"/>
  <c r="L1374" i="8"/>
  <c r="D1374" i="8"/>
  <c r="G1371" i="8"/>
  <c r="J1368" i="8"/>
  <c r="K1374" i="8"/>
  <c r="C1374" i="8"/>
  <c r="F1371" i="8"/>
  <c r="I1368" i="8"/>
  <c r="G1377" i="8"/>
  <c r="J1374" i="8"/>
  <c r="E1371" i="8"/>
  <c r="H1368" i="8"/>
  <c r="F1377" i="8"/>
  <c r="L1371" i="8"/>
  <c r="G1368" i="8"/>
  <c r="E1377" i="8"/>
  <c r="K1371" i="8"/>
  <c r="F1368" i="8"/>
  <c r="C1377" i="8"/>
  <c r="I1371" i="8"/>
  <c r="D1368" i="8"/>
  <c r="G1374" i="8"/>
  <c r="D1377" i="8"/>
  <c r="E1368" i="8"/>
  <c r="I1374" i="8"/>
  <c r="H1374" i="8"/>
  <c r="F1374" i="8"/>
  <c r="J1371" i="8"/>
  <c r="D1371" i="8"/>
  <c r="C1371" i="8"/>
  <c r="L1368" i="8"/>
  <c r="E1170" i="8"/>
  <c r="H1167" i="8"/>
  <c r="K1164" i="8"/>
  <c r="C1164" i="8"/>
  <c r="L1170" i="8"/>
  <c r="D1170" i="8"/>
  <c r="G1167" i="8"/>
  <c r="J1164" i="8"/>
  <c r="K1170" i="8"/>
  <c r="C1170" i="8"/>
  <c r="G1173" i="8"/>
  <c r="J1170" i="8"/>
  <c r="E1167" i="8"/>
  <c r="H1164" i="8"/>
  <c r="D1173" i="8"/>
  <c r="J1167" i="8"/>
  <c r="G1164" i="8"/>
  <c r="L1167" i="8"/>
  <c r="C1173" i="8"/>
  <c r="I1167" i="8"/>
  <c r="F1164" i="8"/>
  <c r="I1164" i="8"/>
  <c r="I1170" i="8"/>
  <c r="F1167" i="8"/>
  <c r="E1164" i="8"/>
  <c r="K1167" i="8"/>
  <c r="H1170" i="8"/>
  <c r="D1167" i="8"/>
  <c r="D1164" i="8"/>
  <c r="E1173" i="8"/>
  <c r="G1170" i="8"/>
  <c r="C1167" i="8"/>
  <c r="L1164" i="8"/>
  <c r="F1170" i="8"/>
  <c r="F1173" i="8"/>
  <c r="I864" i="8"/>
  <c r="G867" i="8"/>
  <c r="E858" i="8"/>
  <c r="L864" i="8"/>
  <c r="E864" i="8"/>
  <c r="D867" i="8"/>
  <c r="L861" i="8"/>
  <c r="F867" i="8"/>
  <c r="F858" i="8"/>
  <c r="G858" i="8"/>
  <c r="F861" i="8"/>
  <c r="K858" i="8"/>
  <c r="C867" i="8"/>
  <c r="K861" i="8"/>
  <c r="J858" i="8"/>
  <c r="D858" i="8"/>
  <c r="G864" i="8"/>
  <c r="K932" i="8"/>
  <c r="C932" i="8"/>
  <c r="F929" i="8"/>
  <c r="I926" i="8"/>
  <c r="G935" i="8"/>
  <c r="J932" i="8"/>
  <c r="E929" i="8"/>
  <c r="H926" i="8"/>
  <c r="F935" i="8"/>
  <c r="I932" i="8"/>
  <c r="L929" i="8"/>
  <c r="D929" i="8"/>
  <c r="G926" i="8"/>
  <c r="E935" i="8"/>
  <c r="H932" i="8"/>
  <c r="K929" i="8"/>
  <c r="C929" i="8"/>
  <c r="F926" i="8"/>
  <c r="D935" i="8"/>
  <c r="G932" i="8"/>
  <c r="J929" i="8"/>
  <c r="E926" i="8"/>
  <c r="C935" i="8"/>
  <c r="F932" i="8"/>
  <c r="I929" i="8"/>
  <c r="L926" i="8"/>
  <c r="D926" i="8"/>
  <c r="E932" i="8"/>
  <c r="H929" i="8"/>
  <c r="K926" i="8"/>
  <c r="C926" i="8"/>
  <c r="G929" i="8"/>
  <c r="J926" i="8"/>
  <c r="L932" i="8"/>
  <c r="D932" i="8"/>
  <c r="G918" i="8"/>
  <c r="J915" i="8"/>
  <c r="E912" i="8"/>
  <c r="H909" i="8"/>
  <c r="F918" i="8"/>
  <c r="I915" i="8"/>
  <c r="L912" i="8"/>
  <c r="D912" i="8"/>
  <c r="G909" i="8"/>
  <c r="E918" i="8"/>
  <c r="H915" i="8"/>
  <c r="K912" i="8"/>
  <c r="C912" i="8"/>
  <c r="F909" i="8"/>
  <c r="D918" i="8"/>
  <c r="G915" i="8"/>
  <c r="J912" i="8"/>
  <c r="E909" i="8"/>
  <c r="C918" i="8"/>
  <c r="F915" i="8"/>
  <c r="I912" i="8"/>
  <c r="L909" i="8"/>
  <c r="D909" i="8"/>
  <c r="E915" i="8"/>
  <c r="H912" i="8"/>
  <c r="K909" i="8"/>
  <c r="C909" i="8"/>
  <c r="L915" i="8"/>
  <c r="D915" i="8"/>
  <c r="G912" i="8"/>
  <c r="J909" i="8"/>
  <c r="F912" i="8"/>
  <c r="I909" i="8"/>
  <c r="K915" i="8"/>
  <c r="C915" i="8"/>
  <c r="G765" i="8"/>
  <c r="J762" i="8"/>
  <c r="E759" i="8"/>
  <c r="H756" i="8"/>
  <c r="F765" i="8"/>
  <c r="I762" i="8"/>
  <c r="L759" i="8"/>
  <c r="D759" i="8"/>
  <c r="G756" i="8"/>
  <c r="E765" i="8"/>
  <c r="H762" i="8"/>
  <c r="K759" i="8"/>
  <c r="C759" i="8"/>
  <c r="F756" i="8"/>
  <c r="D765" i="8"/>
  <c r="G762" i="8"/>
  <c r="J759" i="8"/>
  <c r="E756" i="8"/>
  <c r="L762" i="8"/>
  <c r="D762" i="8"/>
  <c r="G759" i="8"/>
  <c r="J756" i="8"/>
  <c r="C765" i="8"/>
  <c r="F759" i="8"/>
  <c r="L756" i="8"/>
  <c r="K762" i="8"/>
  <c r="K756" i="8"/>
  <c r="F762" i="8"/>
  <c r="I756" i="8"/>
  <c r="E762" i="8"/>
  <c r="D756" i="8"/>
  <c r="I759" i="8"/>
  <c r="H759" i="8"/>
  <c r="C762" i="8"/>
  <c r="C756" i="8"/>
  <c r="D714" i="8"/>
  <c r="G711" i="8"/>
  <c r="J708" i="8"/>
  <c r="E705" i="8"/>
  <c r="C714" i="8"/>
  <c r="F711" i="8"/>
  <c r="I708" i="8"/>
  <c r="L705" i="8"/>
  <c r="D705" i="8"/>
  <c r="E711" i="8"/>
  <c r="H708" i="8"/>
  <c r="L711" i="8"/>
  <c r="D711" i="8"/>
  <c r="G708" i="8"/>
  <c r="J705" i="8"/>
  <c r="F714" i="8"/>
  <c r="I711" i="8"/>
  <c r="L708" i="8"/>
  <c r="D708" i="8"/>
  <c r="G705" i="8"/>
  <c r="E714" i="8"/>
  <c r="E708" i="8"/>
  <c r="K711" i="8"/>
  <c r="C708" i="8"/>
  <c r="J711" i="8"/>
  <c r="K705" i="8"/>
  <c r="H711" i="8"/>
  <c r="I705" i="8"/>
  <c r="C711" i="8"/>
  <c r="H705" i="8"/>
  <c r="K708" i="8"/>
  <c r="C705" i="8"/>
  <c r="F708" i="8"/>
  <c r="F705" i="8"/>
  <c r="G714" i="8"/>
  <c r="K575" i="8"/>
  <c r="C575" i="8"/>
  <c r="F572" i="8"/>
  <c r="I569" i="8"/>
  <c r="F578" i="8"/>
  <c r="I575" i="8"/>
  <c r="L572" i="8"/>
  <c r="D572" i="8"/>
  <c r="G569" i="8"/>
  <c r="E578" i="8"/>
  <c r="H575" i="8"/>
  <c r="K572" i="8"/>
  <c r="D578" i="8"/>
  <c r="G575" i="8"/>
  <c r="J572" i="8"/>
  <c r="E569" i="8"/>
  <c r="E575" i="8"/>
  <c r="H572" i="8"/>
  <c r="K569" i="8"/>
  <c r="C569" i="8"/>
  <c r="D575" i="8"/>
  <c r="H569" i="8"/>
  <c r="F575" i="8"/>
  <c r="F569" i="8"/>
  <c r="L575" i="8"/>
  <c r="C572" i="8"/>
  <c r="I572" i="8"/>
  <c r="D569" i="8"/>
  <c r="G578" i="8"/>
  <c r="G572" i="8"/>
  <c r="C578" i="8"/>
  <c r="E572" i="8"/>
  <c r="J569" i="8"/>
  <c r="J575" i="8"/>
  <c r="L569" i="8"/>
  <c r="C629" i="8"/>
  <c r="F626" i="8"/>
  <c r="I623" i="8"/>
  <c r="L620" i="8"/>
  <c r="D620" i="8"/>
  <c r="E626" i="8"/>
  <c r="H623" i="8"/>
  <c r="K620" i="8"/>
  <c r="C620" i="8"/>
  <c r="L626" i="8"/>
  <c r="D626" i="8"/>
  <c r="G623" i="8"/>
  <c r="J620" i="8"/>
  <c r="K626" i="8"/>
  <c r="C626" i="8"/>
  <c r="F623" i="8"/>
  <c r="I620" i="8"/>
  <c r="G629" i="8"/>
  <c r="J626" i="8"/>
  <c r="E623" i="8"/>
  <c r="H620" i="8"/>
  <c r="E629" i="8"/>
  <c r="H626" i="8"/>
  <c r="K623" i="8"/>
  <c r="C623" i="8"/>
  <c r="F620" i="8"/>
  <c r="D629" i="8"/>
  <c r="E620" i="8"/>
  <c r="F629" i="8"/>
  <c r="I626" i="8"/>
  <c r="D623" i="8"/>
  <c r="G626" i="8"/>
  <c r="L623" i="8"/>
  <c r="J623" i="8"/>
  <c r="G620" i="8"/>
  <c r="D1003" i="8"/>
  <c r="G1000" i="8"/>
  <c r="J997" i="8"/>
  <c r="E994" i="8"/>
  <c r="C1003" i="8"/>
  <c r="F1000" i="8"/>
  <c r="I997" i="8"/>
  <c r="L994" i="8"/>
  <c r="D994" i="8"/>
  <c r="E1000" i="8"/>
  <c r="H997" i="8"/>
  <c r="K994" i="8"/>
  <c r="C994" i="8"/>
  <c r="L1000" i="8"/>
  <c r="D1000" i="8"/>
  <c r="G997" i="8"/>
  <c r="J994" i="8"/>
  <c r="K1000" i="8"/>
  <c r="C1000" i="8"/>
  <c r="F997" i="8"/>
  <c r="I994" i="8"/>
  <c r="G1003" i="8"/>
  <c r="J1000" i="8"/>
  <c r="E997" i="8"/>
  <c r="H994" i="8"/>
  <c r="F1003" i="8"/>
  <c r="I1000" i="8"/>
  <c r="L997" i="8"/>
  <c r="D997" i="8"/>
  <c r="G994" i="8"/>
  <c r="H1000" i="8"/>
  <c r="K997" i="8"/>
  <c r="C997" i="8"/>
  <c r="F994" i="8"/>
  <c r="E1003" i="8"/>
  <c r="E663" i="8"/>
  <c r="H660" i="8"/>
  <c r="K657" i="8"/>
  <c r="C657" i="8"/>
  <c r="F654" i="8"/>
  <c r="D663" i="8"/>
  <c r="G660" i="8"/>
  <c r="J657" i="8"/>
  <c r="E654" i="8"/>
  <c r="C663" i="8"/>
  <c r="F660" i="8"/>
  <c r="I657" i="8"/>
  <c r="L654" i="8"/>
  <c r="D654" i="8"/>
  <c r="E660" i="8"/>
  <c r="H657" i="8"/>
  <c r="K654" i="8"/>
  <c r="C654" i="8"/>
  <c r="L660" i="8"/>
  <c r="D660" i="8"/>
  <c r="G657" i="8"/>
  <c r="J654" i="8"/>
  <c r="G663" i="8"/>
  <c r="J660" i="8"/>
  <c r="E657" i="8"/>
  <c r="H654" i="8"/>
  <c r="I654" i="8"/>
  <c r="D657" i="8"/>
  <c r="F663" i="8"/>
  <c r="G654" i="8"/>
  <c r="K660" i="8"/>
  <c r="L657" i="8"/>
  <c r="I660" i="8"/>
  <c r="C660" i="8"/>
  <c r="F657" i="8"/>
  <c r="C833" i="8"/>
  <c r="F830" i="8"/>
  <c r="I827" i="8"/>
  <c r="L824" i="8"/>
  <c r="D824" i="8"/>
  <c r="E830" i="8"/>
  <c r="H827" i="8"/>
  <c r="K824" i="8"/>
  <c r="C824" i="8"/>
  <c r="L830" i="8"/>
  <c r="D830" i="8"/>
  <c r="G827" i="8"/>
  <c r="J824" i="8"/>
  <c r="K830" i="8"/>
  <c r="C830" i="8"/>
  <c r="F827" i="8"/>
  <c r="I824" i="8"/>
  <c r="E833" i="8"/>
  <c r="H830" i="8"/>
  <c r="K827" i="8"/>
  <c r="C827" i="8"/>
  <c r="F824" i="8"/>
  <c r="E824" i="8"/>
  <c r="L827" i="8"/>
  <c r="G833" i="8"/>
  <c r="J827" i="8"/>
  <c r="F833" i="8"/>
  <c r="E827" i="8"/>
  <c r="D833" i="8"/>
  <c r="D827" i="8"/>
  <c r="I830" i="8"/>
  <c r="H824" i="8"/>
  <c r="G824" i="8"/>
  <c r="G830" i="8"/>
  <c r="J830" i="8"/>
  <c r="G1054" i="8"/>
  <c r="J1051" i="8"/>
  <c r="E1048" i="8"/>
  <c r="H1045" i="8"/>
  <c r="F1054" i="8"/>
  <c r="I1051" i="8"/>
  <c r="L1048" i="8"/>
  <c r="D1048" i="8"/>
  <c r="G1045" i="8"/>
  <c r="E1054" i="8"/>
  <c r="H1051" i="8"/>
  <c r="K1048" i="8"/>
  <c r="C1048" i="8"/>
  <c r="F1045" i="8"/>
  <c r="D1054" i="8"/>
  <c r="G1051" i="8"/>
  <c r="J1048" i="8"/>
  <c r="E1045" i="8"/>
  <c r="C1054" i="8"/>
  <c r="F1051" i="8"/>
  <c r="I1048" i="8"/>
  <c r="L1045" i="8"/>
  <c r="D1045" i="8"/>
  <c r="E1051" i="8"/>
  <c r="H1048" i="8"/>
  <c r="K1045" i="8"/>
  <c r="C1045" i="8"/>
  <c r="L1051" i="8"/>
  <c r="D1051" i="8"/>
  <c r="G1048" i="8"/>
  <c r="J1045" i="8"/>
  <c r="K1051" i="8"/>
  <c r="C1051" i="8"/>
  <c r="F1048" i="8"/>
  <c r="I1045" i="8"/>
  <c r="F901" i="8"/>
  <c r="I898" i="8"/>
  <c r="L895" i="8"/>
  <c r="D895" i="8"/>
  <c r="G892" i="8"/>
  <c r="E901" i="8"/>
  <c r="H898" i="8"/>
  <c r="K895" i="8"/>
  <c r="C895" i="8"/>
  <c r="F892" i="8"/>
  <c r="D901" i="8"/>
  <c r="G898" i="8"/>
  <c r="J895" i="8"/>
  <c r="E892" i="8"/>
  <c r="C901" i="8"/>
  <c r="F898" i="8"/>
  <c r="I895" i="8"/>
  <c r="L892" i="8"/>
  <c r="D892" i="8"/>
  <c r="E898" i="8"/>
  <c r="H895" i="8"/>
  <c r="K892" i="8"/>
  <c r="C892" i="8"/>
  <c r="L898" i="8"/>
  <c r="D898" i="8"/>
  <c r="G895" i="8"/>
  <c r="K898" i="8"/>
  <c r="F895" i="8"/>
  <c r="E895" i="8"/>
  <c r="J892" i="8"/>
  <c r="I892" i="8"/>
  <c r="J898" i="8"/>
  <c r="G901" i="8"/>
  <c r="C898" i="8"/>
  <c r="H892" i="8"/>
  <c r="L592" i="8"/>
  <c r="D592" i="8"/>
  <c r="G589" i="8"/>
  <c r="J586" i="8"/>
  <c r="G595" i="8"/>
  <c r="J592" i="8"/>
  <c r="E589" i="8"/>
  <c r="H586" i="8"/>
  <c r="F595" i="8"/>
  <c r="I592" i="8"/>
  <c r="L589" i="8"/>
  <c r="D589" i="8"/>
  <c r="G586" i="8"/>
  <c r="E595" i="8"/>
  <c r="H592" i="8"/>
  <c r="K589" i="8"/>
  <c r="C589" i="8"/>
  <c r="F586" i="8"/>
  <c r="C595" i="8"/>
  <c r="F592" i="8"/>
  <c r="I589" i="8"/>
  <c r="L586" i="8"/>
  <c r="D586" i="8"/>
  <c r="K592" i="8"/>
  <c r="K586" i="8"/>
  <c r="G592" i="8"/>
  <c r="I586" i="8"/>
  <c r="E592" i="8"/>
  <c r="E586" i="8"/>
  <c r="C592" i="8"/>
  <c r="C586" i="8"/>
  <c r="H589" i="8"/>
  <c r="J589" i="8"/>
  <c r="D595" i="8"/>
  <c r="F589" i="8"/>
  <c r="K779" i="8"/>
  <c r="C779" i="8"/>
  <c r="F776" i="8"/>
  <c r="I773" i="8"/>
  <c r="G782" i="8"/>
  <c r="J779" i="8"/>
  <c r="E776" i="8"/>
  <c r="H773" i="8"/>
  <c r="F782" i="8"/>
  <c r="I779" i="8"/>
  <c r="L776" i="8"/>
  <c r="D776" i="8"/>
  <c r="G773" i="8"/>
  <c r="E782" i="8"/>
  <c r="H779" i="8"/>
  <c r="K776" i="8"/>
  <c r="C776" i="8"/>
  <c r="F773" i="8"/>
  <c r="E779" i="8"/>
  <c r="H776" i="8"/>
  <c r="K773" i="8"/>
  <c r="C773" i="8"/>
  <c r="D779" i="8"/>
  <c r="D773" i="8"/>
  <c r="J776" i="8"/>
  <c r="I776" i="8"/>
  <c r="D782" i="8"/>
  <c r="G776" i="8"/>
  <c r="C782" i="8"/>
  <c r="G779" i="8"/>
  <c r="J773" i="8"/>
  <c r="E773" i="8"/>
  <c r="L779" i="8"/>
  <c r="L773" i="8"/>
  <c r="F779" i="8"/>
  <c r="E609" i="8"/>
  <c r="H606" i="8"/>
  <c r="K603" i="8"/>
  <c r="C603" i="8"/>
  <c r="L609" i="8"/>
  <c r="D609" i="8"/>
  <c r="G606" i="8"/>
  <c r="J603" i="8"/>
  <c r="K609" i="8"/>
  <c r="C609" i="8"/>
  <c r="F606" i="8"/>
  <c r="I603" i="8"/>
  <c r="G612" i="8"/>
  <c r="J609" i="8"/>
  <c r="E606" i="8"/>
  <c r="H603" i="8"/>
  <c r="F612" i="8"/>
  <c r="I609" i="8"/>
  <c r="L606" i="8"/>
  <c r="D606" i="8"/>
  <c r="G603" i="8"/>
  <c r="D612" i="8"/>
  <c r="G609" i="8"/>
  <c r="J606" i="8"/>
  <c r="E603" i="8"/>
  <c r="H609" i="8"/>
  <c r="F609" i="8"/>
  <c r="C612" i="8"/>
  <c r="K606" i="8"/>
  <c r="D603" i="8"/>
  <c r="I606" i="8"/>
  <c r="C606" i="8"/>
  <c r="L603" i="8"/>
  <c r="E612" i="8"/>
  <c r="F603" i="8"/>
  <c r="G561" i="8"/>
  <c r="D561" i="8"/>
  <c r="G558" i="8"/>
  <c r="J555" i="8"/>
  <c r="E552" i="8"/>
  <c r="C561" i="8"/>
  <c r="F558" i="8"/>
  <c r="I555" i="8"/>
  <c r="L552" i="8"/>
  <c r="D552" i="8"/>
  <c r="H558" i="8"/>
  <c r="F552" i="8"/>
  <c r="E558" i="8"/>
  <c r="H555" i="8"/>
  <c r="K552" i="8"/>
  <c r="C552" i="8"/>
  <c r="J558" i="8"/>
  <c r="L558" i="8"/>
  <c r="D558" i="8"/>
  <c r="G555" i="8"/>
  <c r="J552" i="8"/>
  <c r="E555" i="8"/>
  <c r="H552" i="8"/>
  <c r="E561" i="8"/>
  <c r="C555" i="8"/>
  <c r="K558" i="8"/>
  <c r="C558" i="8"/>
  <c r="F555" i="8"/>
  <c r="I552" i="8"/>
  <c r="K555" i="8"/>
  <c r="F561" i="8"/>
  <c r="I558" i="8"/>
  <c r="L555" i="8"/>
  <c r="D555" i="8"/>
  <c r="G552" i="8"/>
  <c r="L949" i="8"/>
  <c r="D949" i="8"/>
  <c r="G946" i="8"/>
  <c r="J943" i="8"/>
  <c r="K949" i="8"/>
  <c r="C949" i="8"/>
  <c r="F946" i="8"/>
  <c r="I943" i="8"/>
  <c r="G952" i="8"/>
  <c r="J949" i="8"/>
  <c r="E946" i="8"/>
  <c r="H943" i="8"/>
  <c r="F952" i="8"/>
  <c r="I949" i="8"/>
  <c r="L946" i="8"/>
  <c r="D946" i="8"/>
  <c r="G943" i="8"/>
  <c r="E952" i="8"/>
  <c r="H949" i="8"/>
  <c r="K946" i="8"/>
  <c r="C946" i="8"/>
  <c r="F943" i="8"/>
  <c r="D952" i="8"/>
  <c r="G949" i="8"/>
  <c r="J946" i="8"/>
  <c r="E943" i="8"/>
  <c r="C952" i="8"/>
  <c r="F949" i="8"/>
  <c r="I946" i="8"/>
  <c r="L943" i="8"/>
  <c r="D943" i="8"/>
  <c r="H946" i="8"/>
  <c r="K943" i="8"/>
  <c r="C943" i="8"/>
  <c r="E949" i="8"/>
  <c r="E697" i="8"/>
  <c r="J694" i="8"/>
  <c r="E691" i="8"/>
  <c r="H688" i="8"/>
  <c r="G697" i="8"/>
  <c r="I694" i="8"/>
  <c r="L691" i="8"/>
  <c r="D691" i="8"/>
  <c r="G688" i="8"/>
  <c r="F697" i="8"/>
  <c r="H694" i="8"/>
  <c r="K691" i="8"/>
  <c r="C691" i="8"/>
  <c r="F688" i="8"/>
  <c r="D697" i="8"/>
  <c r="G694" i="8"/>
  <c r="J691" i="8"/>
  <c r="E688" i="8"/>
  <c r="C697" i="8"/>
  <c r="F694" i="8"/>
  <c r="I691" i="8"/>
  <c r="L688" i="8"/>
  <c r="D688" i="8"/>
  <c r="L694" i="8"/>
  <c r="D694" i="8"/>
  <c r="G691" i="8"/>
  <c r="J688" i="8"/>
  <c r="K688" i="8"/>
  <c r="I688" i="8"/>
  <c r="C688" i="8"/>
  <c r="C694" i="8"/>
  <c r="K694" i="8"/>
  <c r="E694" i="8"/>
  <c r="H691" i="8"/>
  <c r="F691" i="8"/>
  <c r="E966" i="8"/>
  <c r="H963" i="8"/>
  <c r="K960" i="8"/>
  <c r="C960" i="8"/>
  <c r="L966" i="8"/>
  <c r="D966" i="8"/>
  <c r="G963" i="8"/>
  <c r="J960" i="8"/>
  <c r="K966" i="8"/>
  <c r="C966" i="8"/>
  <c r="F963" i="8"/>
  <c r="I960" i="8"/>
  <c r="G969" i="8"/>
  <c r="J966" i="8"/>
  <c r="E963" i="8"/>
  <c r="H960" i="8"/>
  <c r="F969" i="8"/>
  <c r="I966" i="8"/>
  <c r="L963" i="8"/>
  <c r="D963" i="8"/>
  <c r="G960" i="8"/>
  <c r="E969" i="8"/>
  <c r="H966" i="8"/>
  <c r="K963" i="8"/>
  <c r="C963" i="8"/>
  <c r="F960" i="8"/>
  <c r="D969" i="8"/>
  <c r="G966" i="8"/>
  <c r="J963" i="8"/>
  <c r="E960" i="8"/>
  <c r="F966" i="8"/>
  <c r="I963" i="8"/>
  <c r="L960" i="8"/>
  <c r="D960" i="8"/>
  <c r="C969" i="8"/>
  <c r="E1020" i="8"/>
  <c r="H1017" i="8"/>
  <c r="K1014" i="8"/>
  <c r="C1014" i="8"/>
  <c r="F1011" i="8"/>
  <c r="D1020" i="8"/>
  <c r="G1017" i="8"/>
  <c r="J1014" i="8"/>
  <c r="E1011" i="8"/>
  <c r="C1020" i="8"/>
  <c r="F1017" i="8"/>
  <c r="I1014" i="8"/>
  <c r="L1011" i="8"/>
  <c r="D1011" i="8"/>
  <c r="E1017" i="8"/>
  <c r="H1014" i="8"/>
  <c r="K1011" i="8"/>
  <c r="C1011" i="8"/>
  <c r="L1017" i="8"/>
  <c r="D1017" i="8"/>
  <c r="G1014" i="8"/>
  <c r="J1011" i="8"/>
  <c r="K1017" i="8"/>
  <c r="C1017" i="8"/>
  <c r="F1014" i="8"/>
  <c r="I1011" i="8"/>
  <c r="G1020" i="8"/>
  <c r="J1017" i="8"/>
  <c r="E1014" i="8"/>
  <c r="H1011" i="8"/>
  <c r="I1017" i="8"/>
  <c r="L1014" i="8"/>
  <c r="D1014" i="8"/>
  <c r="G1011" i="8"/>
  <c r="F1020" i="8"/>
  <c r="K1068" i="8"/>
  <c r="C1068" i="8"/>
  <c r="F1065" i="8"/>
  <c r="I1062" i="8"/>
  <c r="G1071" i="8"/>
  <c r="J1068" i="8"/>
  <c r="E1065" i="8"/>
  <c r="H1062" i="8"/>
  <c r="F1071" i="8"/>
  <c r="I1068" i="8"/>
  <c r="L1065" i="8"/>
  <c r="D1065" i="8"/>
  <c r="G1062" i="8"/>
  <c r="E1071" i="8"/>
  <c r="H1068" i="8"/>
  <c r="K1065" i="8"/>
  <c r="C1065" i="8"/>
  <c r="F1062" i="8"/>
  <c r="D1071" i="8"/>
  <c r="G1068" i="8"/>
  <c r="J1065" i="8"/>
  <c r="E1062" i="8"/>
  <c r="C1071" i="8"/>
  <c r="F1068" i="8"/>
  <c r="I1065" i="8"/>
  <c r="L1062" i="8"/>
  <c r="D1062" i="8"/>
  <c r="E1068" i="8"/>
  <c r="H1065" i="8"/>
  <c r="K1062" i="8"/>
  <c r="C1062" i="8"/>
  <c r="L1068" i="8"/>
  <c r="D1068" i="8"/>
  <c r="G1065" i="8"/>
  <c r="J1062" i="8"/>
  <c r="L1085" i="8"/>
  <c r="D1085" i="8"/>
  <c r="G1082" i="8"/>
  <c r="J1079" i="8"/>
  <c r="K1085" i="8"/>
  <c r="C1085" i="8"/>
  <c r="F1082" i="8"/>
  <c r="I1079" i="8"/>
  <c r="G1088" i="8"/>
  <c r="J1085" i="8"/>
  <c r="E1082" i="8"/>
  <c r="H1079" i="8"/>
  <c r="F1088" i="8"/>
  <c r="I1085" i="8"/>
  <c r="L1082" i="8"/>
  <c r="D1082" i="8"/>
  <c r="G1079" i="8"/>
  <c r="E1088" i="8"/>
  <c r="H1085" i="8"/>
  <c r="K1082" i="8"/>
  <c r="C1082" i="8"/>
  <c r="F1079" i="8"/>
  <c r="D1088" i="8"/>
  <c r="G1085" i="8"/>
  <c r="J1082" i="8"/>
  <c r="E1079" i="8"/>
  <c r="C1088" i="8"/>
  <c r="F1085" i="8"/>
  <c r="I1082" i="8"/>
  <c r="L1079" i="8"/>
  <c r="D1079" i="8"/>
  <c r="E1085" i="8"/>
  <c r="H1082" i="8"/>
  <c r="K1079" i="8"/>
  <c r="C1079" i="8"/>
  <c r="E813" i="8"/>
  <c r="H810" i="8"/>
  <c r="K807" i="8"/>
  <c r="C807" i="8"/>
  <c r="L813" i="8"/>
  <c r="D813" i="8"/>
  <c r="G810" i="8"/>
  <c r="J807" i="8"/>
  <c r="K813" i="8"/>
  <c r="C813" i="8"/>
  <c r="F810" i="8"/>
  <c r="I807" i="8"/>
  <c r="G816" i="8"/>
  <c r="J813" i="8"/>
  <c r="E810" i="8"/>
  <c r="H807" i="8"/>
  <c r="D816" i="8"/>
  <c r="G813" i="8"/>
  <c r="J810" i="8"/>
  <c r="E807" i="8"/>
  <c r="F816" i="8"/>
  <c r="I810" i="8"/>
  <c r="E816" i="8"/>
  <c r="D810" i="8"/>
  <c r="C816" i="8"/>
  <c r="C810" i="8"/>
  <c r="I813" i="8"/>
  <c r="L807" i="8"/>
  <c r="H813" i="8"/>
  <c r="G807" i="8"/>
  <c r="L810" i="8"/>
  <c r="D807" i="8"/>
  <c r="F813" i="8"/>
  <c r="F807" i="8"/>
  <c r="K810" i="8"/>
  <c r="D850" i="8"/>
  <c r="G847" i="8"/>
  <c r="J844" i="8"/>
  <c r="E841" i="8"/>
  <c r="C850" i="8"/>
  <c r="F847" i="8"/>
  <c r="I844" i="8"/>
  <c r="L841" i="8"/>
  <c r="D841" i="8"/>
  <c r="E847" i="8"/>
  <c r="H844" i="8"/>
  <c r="K841" i="8"/>
  <c r="C841" i="8"/>
  <c r="L847" i="8"/>
  <c r="D847" i="8"/>
  <c r="G844" i="8"/>
  <c r="J841" i="8"/>
  <c r="F850" i="8"/>
  <c r="I847" i="8"/>
  <c r="L844" i="8"/>
  <c r="D844" i="8"/>
  <c r="G841" i="8"/>
  <c r="J847" i="8"/>
  <c r="I841" i="8"/>
  <c r="H847" i="8"/>
  <c r="H841" i="8"/>
  <c r="C847" i="8"/>
  <c r="F841" i="8"/>
  <c r="K844" i="8"/>
  <c r="E850" i="8"/>
  <c r="E844" i="8"/>
  <c r="K847" i="8"/>
  <c r="C844" i="8"/>
  <c r="G850" i="8"/>
  <c r="F844" i="8"/>
  <c r="F680" i="8"/>
  <c r="I677" i="8"/>
  <c r="L674" i="8"/>
  <c r="D674" i="8"/>
  <c r="G671" i="8"/>
  <c r="E680" i="8"/>
  <c r="H677" i="8"/>
  <c r="K674" i="8"/>
  <c r="C674" i="8"/>
  <c r="F671" i="8"/>
  <c r="D680" i="8"/>
  <c r="G677" i="8"/>
  <c r="J674" i="8"/>
  <c r="E671" i="8"/>
  <c r="C680" i="8"/>
  <c r="F677" i="8"/>
  <c r="I674" i="8"/>
  <c r="L671" i="8"/>
  <c r="D671" i="8"/>
  <c r="E677" i="8"/>
  <c r="H674" i="8"/>
  <c r="K671" i="8"/>
  <c r="C671" i="8"/>
  <c r="K677" i="8"/>
  <c r="C677" i="8"/>
  <c r="F674" i="8"/>
  <c r="I671" i="8"/>
  <c r="E674" i="8"/>
  <c r="J671" i="8"/>
  <c r="G680" i="8"/>
  <c r="H671" i="8"/>
  <c r="D677" i="8"/>
  <c r="G674" i="8"/>
  <c r="L677" i="8"/>
  <c r="J677" i="8"/>
  <c r="D646" i="8"/>
  <c r="G643" i="8"/>
  <c r="J640" i="8"/>
  <c r="E637" i="8"/>
  <c r="C646" i="8"/>
  <c r="F643" i="8"/>
  <c r="I640" i="8"/>
  <c r="L637" i="8"/>
  <c r="D637" i="8"/>
  <c r="E643" i="8"/>
  <c r="H640" i="8"/>
  <c r="K637" i="8"/>
  <c r="C637" i="8"/>
  <c r="L643" i="8"/>
  <c r="D643" i="8"/>
  <c r="G640" i="8"/>
  <c r="J637" i="8"/>
  <c r="K643" i="8"/>
  <c r="C643" i="8"/>
  <c r="F640" i="8"/>
  <c r="I637" i="8"/>
  <c r="F646" i="8"/>
  <c r="I643" i="8"/>
  <c r="L640" i="8"/>
  <c r="D640" i="8"/>
  <c r="G637" i="8"/>
  <c r="G646" i="8"/>
  <c r="H637" i="8"/>
  <c r="E646" i="8"/>
  <c r="F637" i="8"/>
  <c r="J643" i="8"/>
  <c r="K640" i="8"/>
  <c r="C640" i="8"/>
  <c r="H643" i="8"/>
  <c r="E640" i="8"/>
  <c r="F1037" i="8"/>
  <c r="I1034" i="8"/>
  <c r="L1031" i="8"/>
  <c r="D1031" i="8"/>
  <c r="G1028" i="8"/>
  <c r="E1037" i="8"/>
  <c r="H1034" i="8"/>
  <c r="K1031" i="8"/>
  <c r="C1031" i="8"/>
  <c r="F1028" i="8"/>
  <c r="D1037" i="8"/>
  <c r="G1034" i="8"/>
  <c r="J1031" i="8"/>
  <c r="E1028" i="8"/>
  <c r="C1037" i="8"/>
  <c r="F1034" i="8"/>
  <c r="I1031" i="8"/>
  <c r="L1028" i="8"/>
  <c r="D1028" i="8"/>
  <c r="E1034" i="8"/>
  <c r="H1031" i="8"/>
  <c r="K1028" i="8"/>
  <c r="C1028" i="8"/>
  <c r="L1034" i="8"/>
  <c r="D1034" i="8"/>
  <c r="G1031" i="8"/>
  <c r="J1028" i="8"/>
  <c r="K1034" i="8"/>
  <c r="C1034" i="8"/>
  <c r="F1031" i="8"/>
  <c r="I1028" i="8"/>
  <c r="J1034" i="8"/>
  <c r="E1031" i="8"/>
  <c r="H1028" i="8"/>
  <c r="G1037" i="8"/>
  <c r="L796" i="8"/>
  <c r="D796" i="8"/>
  <c r="G793" i="8"/>
  <c r="J790" i="8"/>
  <c r="K796" i="8"/>
  <c r="C796" i="8"/>
  <c r="F793" i="8"/>
  <c r="I790" i="8"/>
  <c r="G799" i="8"/>
  <c r="J796" i="8"/>
  <c r="E793" i="8"/>
  <c r="H790" i="8"/>
  <c r="F799" i="8"/>
  <c r="I796" i="8"/>
  <c r="L793" i="8"/>
  <c r="D793" i="8"/>
  <c r="G790" i="8"/>
  <c r="C799" i="8"/>
  <c r="F796" i="8"/>
  <c r="I793" i="8"/>
  <c r="L790" i="8"/>
  <c r="D790" i="8"/>
  <c r="H796" i="8"/>
  <c r="K790" i="8"/>
  <c r="G796" i="8"/>
  <c r="F790" i="8"/>
  <c r="E796" i="8"/>
  <c r="E790" i="8"/>
  <c r="K793" i="8"/>
  <c r="C790" i="8"/>
  <c r="J793" i="8"/>
  <c r="D799" i="8"/>
  <c r="C793" i="8"/>
  <c r="E799" i="8"/>
  <c r="H793" i="8"/>
  <c r="C986" i="8"/>
  <c r="F983" i="8"/>
  <c r="I980" i="8"/>
  <c r="L977" i="8"/>
  <c r="D977" i="8"/>
  <c r="E983" i="8"/>
  <c r="H980" i="8"/>
  <c r="K977" i="8"/>
  <c r="C977" i="8"/>
  <c r="L983" i="8"/>
  <c r="D983" i="8"/>
  <c r="G980" i="8"/>
  <c r="J977" i="8"/>
  <c r="K983" i="8"/>
  <c r="C983" i="8"/>
  <c r="F980" i="8"/>
  <c r="I977" i="8"/>
  <c r="G986" i="8"/>
  <c r="J983" i="8"/>
  <c r="E980" i="8"/>
  <c r="H977" i="8"/>
  <c r="F986" i="8"/>
  <c r="I983" i="8"/>
  <c r="L980" i="8"/>
  <c r="D980" i="8"/>
  <c r="G977" i="8"/>
  <c r="E986" i="8"/>
  <c r="H983" i="8"/>
  <c r="K980" i="8"/>
  <c r="C980" i="8"/>
  <c r="F977" i="8"/>
  <c r="G983" i="8"/>
  <c r="J980" i="8"/>
  <c r="E977" i="8"/>
  <c r="D986" i="8"/>
  <c r="F748" i="8"/>
  <c r="I745" i="8"/>
  <c r="L742" i="8"/>
  <c r="D742" i="8"/>
  <c r="G739" i="8"/>
  <c r="E748" i="8"/>
  <c r="H745" i="8"/>
  <c r="K742" i="8"/>
  <c r="C742" i="8"/>
  <c r="F739" i="8"/>
  <c r="D748" i="8"/>
  <c r="G745" i="8"/>
  <c r="J742" i="8"/>
  <c r="E739" i="8"/>
  <c r="C748" i="8"/>
  <c r="F745" i="8"/>
  <c r="I742" i="8"/>
  <c r="L739" i="8"/>
  <c r="D739" i="8"/>
  <c r="K745" i="8"/>
  <c r="C745" i="8"/>
  <c r="F742" i="8"/>
  <c r="I739" i="8"/>
  <c r="E745" i="8"/>
  <c r="H739" i="8"/>
  <c r="D745" i="8"/>
  <c r="C739" i="8"/>
  <c r="H742" i="8"/>
  <c r="G748" i="8"/>
  <c r="G742" i="8"/>
  <c r="L745" i="8"/>
  <c r="K739" i="8"/>
  <c r="J745" i="8"/>
  <c r="E742" i="8"/>
  <c r="J739" i="8"/>
  <c r="E884" i="8"/>
  <c r="H881" i="8"/>
  <c r="K878" i="8"/>
  <c r="D884" i="8"/>
  <c r="G881" i="8"/>
  <c r="J878" i="8"/>
  <c r="C884" i="8"/>
  <c r="F881" i="8"/>
  <c r="I878" i="8"/>
  <c r="G884" i="8"/>
  <c r="D881" i="8"/>
  <c r="D878" i="8"/>
  <c r="G875" i="8"/>
  <c r="F884" i="8"/>
  <c r="C881" i="8"/>
  <c r="C878" i="8"/>
  <c r="F875" i="8"/>
  <c r="E875" i="8"/>
  <c r="L881" i="8"/>
  <c r="L878" i="8"/>
  <c r="L875" i="8"/>
  <c r="D875" i="8"/>
  <c r="I881" i="8"/>
  <c r="F878" i="8"/>
  <c r="I875" i="8"/>
  <c r="E881" i="8"/>
  <c r="H878" i="8"/>
  <c r="G878" i="8"/>
  <c r="E878" i="8"/>
  <c r="K875" i="8"/>
  <c r="K881" i="8"/>
  <c r="H875" i="8"/>
  <c r="J881" i="8"/>
  <c r="J875" i="8"/>
  <c r="C875" i="8"/>
  <c r="K388" i="8"/>
  <c r="C388" i="8"/>
  <c r="F385" i="8"/>
  <c r="I382" i="8"/>
  <c r="G391" i="8"/>
  <c r="J388" i="8"/>
  <c r="E385" i="8"/>
  <c r="H382" i="8"/>
  <c r="F391" i="8"/>
  <c r="I388" i="8"/>
  <c r="L385" i="8"/>
  <c r="D385" i="8"/>
  <c r="G382" i="8"/>
  <c r="E391" i="8"/>
  <c r="H388" i="8"/>
  <c r="K385" i="8"/>
  <c r="C385" i="8"/>
  <c r="F382" i="8"/>
  <c r="D391" i="8"/>
  <c r="G388" i="8"/>
  <c r="J385" i="8"/>
  <c r="E382" i="8"/>
  <c r="C391" i="8"/>
  <c r="F388" i="8"/>
  <c r="I385" i="8"/>
  <c r="L382" i="8"/>
  <c r="D382" i="8"/>
  <c r="E388" i="8"/>
  <c r="H385" i="8"/>
  <c r="K382" i="8"/>
  <c r="C382" i="8"/>
  <c r="G385" i="8"/>
  <c r="J382" i="8"/>
  <c r="L388" i="8"/>
  <c r="D388" i="8"/>
  <c r="K524" i="8"/>
  <c r="C524" i="8"/>
  <c r="F521" i="8"/>
  <c r="I518" i="8"/>
  <c r="G527" i="8"/>
  <c r="J524" i="8"/>
  <c r="E521" i="8"/>
  <c r="H518" i="8"/>
  <c r="F527" i="8"/>
  <c r="I524" i="8"/>
  <c r="L521" i="8"/>
  <c r="D521" i="8"/>
  <c r="G518" i="8"/>
  <c r="E527" i="8"/>
  <c r="H524" i="8"/>
  <c r="K521" i="8"/>
  <c r="C521" i="8"/>
  <c r="F518" i="8"/>
  <c r="D527" i="8"/>
  <c r="G524" i="8"/>
  <c r="J521" i="8"/>
  <c r="E518" i="8"/>
  <c r="C527" i="8"/>
  <c r="F524" i="8"/>
  <c r="I521" i="8"/>
  <c r="L518" i="8"/>
  <c r="D518" i="8"/>
  <c r="E524" i="8"/>
  <c r="H521" i="8"/>
  <c r="K518" i="8"/>
  <c r="C518" i="8"/>
  <c r="L524" i="8"/>
  <c r="D524" i="8"/>
  <c r="G521" i="8"/>
  <c r="J518" i="8"/>
  <c r="L405" i="8"/>
  <c r="D405" i="8"/>
  <c r="G402" i="8"/>
  <c r="J399" i="8"/>
  <c r="K405" i="8"/>
  <c r="C405" i="8"/>
  <c r="F402" i="8"/>
  <c r="I399" i="8"/>
  <c r="G408" i="8"/>
  <c r="J405" i="8"/>
  <c r="E402" i="8"/>
  <c r="H399" i="8"/>
  <c r="F408" i="8"/>
  <c r="I405" i="8"/>
  <c r="L402" i="8"/>
  <c r="D402" i="8"/>
  <c r="G399" i="8"/>
  <c r="E408" i="8"/>
  <c r="H405" i="8"/>
  <c r="K402" i="8"/>
  <c r="C402" i="8"/>
  <c r="F399" i="8"/>
  <c r="D408" i="8"/>
  <c r="G405" i="8"/>
  <c r="J402" i="8"/>
  <c r="E399" i="8"/>
  <c r="C408" i="8"/>
  <c r="F405" i="8"/>
  <c r="I402" i="8"/>
  <c r="L399" i="8"/>
  <c r="D399" i="8"/>
  <c r="H402" i="8"/>
  <c r="K399" i="8"/>
  <c r="C399" i="8"/>
  <c r="E405" i="8"/>
  <c r="C442" i="8"/>
  <c r="F439" i="8"/>
  <c r="I436" i="8"/>
  <c r="L433" i="8"/>
  <c r="D433" i="8"/>
  <c r="E439" i="8"/>
  <c r="H436" i="8"/>
  <c r="K433" i="8"/>
  <c r="C433" i="8"/>
  <c r="L439" i="8"/>
  <c r="D439" i="8"/>
  <c r="G436" i="8"/>
  <c r="J433" i="8"/>
  <c r="K439" i="8"/>
  <c r="C439" i="8"/>
  <c r="F436" i="8"/>
  <c r="I433" i="8"/>
  <c r="G442" i="8"/>
  <c r="J439" i="8"/>
  <c r="E436" i="8"/>
  <c r="H433" i="8"/>
  <c r="F442" i="8"/>
  <c r="I439" i="8"/>
  <c r="L436" i="8"/>
  <c r="D436" i="8"/>
  <c r="G433" i="8"/>
  <c r="E442" i="8"/>
  <c r="H439" i="8"/>
  <c r="K436" i="8"/>
  <c r="C436" i="8"/>
  <c r="F433" i="8"/>
  <c r="G439" i="8"/>
  <c r="J436" i="8"/>
  <c r="E433" i="8"/>
  <c r="D442" i="8"/>
  <c r="D459" i="8"/>
  <c r="G456" i="8"/>
  <c r="J453" i="8"/>
  <c r="E450" i="8"/>
  <c r="C459" i="8"/>
  <c r="F456" i="8"/>
  <c r="I453" i="8"/>
  <c r="L450" i="8"/>
  <c r="D450" i="8"/>
  <c r="E456" i="8"/>
  <c r="H453" i="8"/>
  <c r="K450" i="8"/>
  <c r="C450" i="8"/>
  <c r="L456" i="8"/>
  <c r="D456" i="8"/>
  <c r="G453" i="8"/>
  <c r="J450" i="8"/>
  <c r="K456" i="8"/>
  <c r="C456" i="8"/>
  <c r="F453" i="8"/>
  <c r="I450" i="8"/>
  <c r="G459" i="8"/>
  <c r="J456" i="8"/>
  <c r="E453" i="8"/>
  <c r="H450" i="8"/>
  <c r="F459" i="8"/>
  <c r="I456" i="8"/>
  <c r="L453" i="8"/>
  <c r="D453" i="8"/>
  <c r="G450" i="8"/>
  <c r="H456" i="8"/>
  <c r="K453" i="8"/>
  <c r="C453" i="8"/>
  <c r="F450" i="8"/>
  <c r="E459" i="8"/>
  <c r="D323" i="8"/>
  <c r="G320" i="8"/>
  <c r="J317" i="8"/>
  <c r="E314" i="8"/>
  <c r="G323" i="8"/>
  <c r="H314" i="8"/>
  <c r="C323" i="8"/>
  <c r="F320" i="8"/>
  <c r="I317" i="8"/>
  <c r="L314" i="8"/>
  <c r="D314" i="8"/>
  <c r="E320" i="8"/>
  <c r="H317" i="8"/>
  <c r="K314" i="8"/>
  <c r="C314" i="8"/>
  <c r="J320" i="8"/>
  <c r="L320" i="8"/>
  <c r="D320" i="8"/>
  <c r="G317" i="8"/>
  <c r="J314" i="8"/>
  <c r="K320" i="8"/>
  <c r="C320" i="8"/>
  <c r="F317" i="8"/>
  <c r="I314" i="8"/>
  <c r="E317" i="8"/>
  <c r="F323" i="8"/>
  <c r="I320" i="8"/>
  <c r="L317" i="8"/>
  <c r="D317" i="8"/>
  <c r="G314" i="8"/>
  <c r="E323" i="8"/>
  <c r="H320" i="8"/>
  <c r="K317" i="8"/>
  <c r="C317" i="8"/>
  <c r="F314" i="8"/>
  <c r="C306" i="8"/>
  <c r="F303" i="8"/>
  <c r="I300" i="8"/>
  <c r="L297" i="8"/>
  <c r="D297" i="8"/>
  <c r="I303" i="8"/>
  <c r="E303" i="8"/>
  <c r="H300" i="8"/>
  <c r="K297" i="8"/>
  <c r="C297" i="8"/>
  <c r="L300" i="8"/>
  <c r="L303" i="8"/>
  <c r="D303" i="8"/>
  <c r="G300" i="8"/>
  <c r="J297" i="8"/>
  <c r="D300" i="8"/>
  <c r="K303" i="8"/>
  <c r="C303" i="8"/>
  <c r="F300" i="8"/>
  <c r="I297" i="8"/>
  <c r="G306" i="8"/>
  <c r="J303" i="8"/>
  <c r="E300" i="8"/>
  <c r="H297" i="8"/>
  <c r="F306" i="8"/>
  <c r="G297" i="8"/>
  <c r="E306" i="8"/>
  <c r="H303" i="8"/>
  <c r="K300" i="8"/>
  <c r="C300" i="8"/>
  <c r="F297" i="8"/>
  <c r="D306" i="8"/>
  <c r="G303" i="8"/>
  <c r="J300" i="8"/>
  <c r="E297" i="8"/>
  <c r="G510" i="8"/>
  <c r="J507" i="8"/>
  <c r="E504" i="8"/>
  <c r="H501" i="8"/>
  <c r="F510" i="8"/>
  <c r="I507" i="8"/>
  <c r="L504" i="8"/>
  <c r="D504" i="8"/>
  <c r="G501" i="8"/>
  <c r="E510" i="8"/>
  <c r="H507" i="8"/>
  <c r="K504" i="8"/>
  <c r="C504" i="8"/>
  <c r="F501" i="8"/>
  <c r="D510" i="8"/>
  <c r="G507" i="8"/>
  <c r="J504" i="8"/>
  <c r="E501" i="8"/>
  <c r="C510" i="8"/>
  <c r="F507" i="8"/>
  <c r="I504" i="8"/>
  <c r="L501" i="8"/>
  <c r="D501" i="8"/>
  <c r="E507" i="8"/>
  <c r="H504" i="8"/>
  <c r="K501" i="8"/>
  <c r="C501" i="8"/>
  <c r="L507" i="8"/>
  <c r="D507" i="8"/>
  <c r="G504" i="8"/>
  <c r="J501" i="8"/>
  <c r="K507" i="8"/>
  <c r="C507" i="8"/>
  <c r="F504" i="8"/>
  <c r="I501" i="8"/>
  <c r="E286" i="8"/>
  <c r="H283" i="8"/>
  <c r="K280" i="8"/>
  <c r="C280" i="8"/>
  <c r="L286" i="8"/>
  <c r="D286" i="8"/>
  <c r="G283" i="8"/>
  <c r="J280" i="8"/>
  <c r="K286" i="8"/>
  <c r="C286" i="8"/>
  <c r="F283" i="8"/>
  <c r="I280" i="8"/>
  <c r="E289" i="8"/>
  <c r="K283" i="8"/>
  <c r="F280" i="8"/>
  <c r="G289" i="8"/>
  <c r="J286" i="8"/>
  <c r="E283" i="8"/>
  <c r="H280" i="8"/>
  <c r="F289" i="8"/>
  <c r="I286" i="8"/>
  <c r="L283" i="8"/>
  <c r="D283" i="8"/>
  <c r="G280" i="8"/>
  <c r="H286" i="8"/>
  <c r="C283" i="8"/>
  <c r="D289" i="8"/>
  <c r="G286" i="8"/>
  <c r="J283" i="8"/>
  <c r="E280" i="8"/>
  <c r="C289" i="8"/>
  <c r="F286" i="8"/>
  <c r="I283" i="8"/>
  <c r="L280" i="8"/>
  <c r="D280" i="8"/>
  <c r="D340" i="8"/>
  <c r="G337" i="8"/>
  <c r="J334" i="8"/>
  <c r="C340" i="8"/>
  <c r="F337" i="8"/>
  <c r="I334" i="8"/>
  <c r="L337" i="8"/>
  <c r="D337" i="8"/>
  <c r="G334" i="8"/>
  <c r="K337" i="8"/>
  <c r="C337" i="8"/>
  <c r="F334" i="8"/>
  <c r="G340" i="8"/>
  <c r="J337" i="8"/>
  <c r="E334" i="8"/>
  <c r="C334" i="8"/>
  <c r="F331" i="8"/>
  <c r="I331" i="8"/>
  <c r="I337" i="8"/>
  <c r="E331" i="8"/>
  <c r="K334" i="8"/>
  <c r="H337" i="8"/>
  <c r="L331" i="8"/>
  <c r="D331" i="8"/>
  <c r="E337" i="8"/>
  <c r="K331" i="8"/>
  <c r="C331" i="8"/>
  <c r="L334" i="8"/>
  <c r="J331" i="8"/>
  <c r="F340" i="8"/>
  <c r="H334" i="8"/>
  <c r="H331" i="8"/>
  <c r="E340" i="8"/>
  <c r="D334" i="8"/>
  <c r="G331" i="8"/>
  <c r="E476" i="8"/>
  <c r="H473" i="8"/>
  <c r="K470" i="8"/>
  <c r="C470" i="8"/>
  <c r="F467" i="8"/>
  <c r="D476" i="8"/>
  <c r="G473" i="8"/>
  <c r="J470" i="8"/>
  <c r="E467" i="8"/>
  <c r="C476" i="8"/>
  <c r="F473" i="8"/>
  <c r="I470" i="8"/>
  <c r="L467" i="8"/>
  <c r="D467" i="8"/>
  <c r="E473" i="8"/>
  <c r="H470" i="8"/>
  <c r="K467" i="8"/>
  <c r="C467" i="8"/>
  <c r="L473" i="8"/>
  <c r="D473" i="8"/>
  <c r="G470" i="8"/>
  <c r="J467" i="8"/>
  <c r="K473" i="8"/>
  <c r="C473" i="8"/>
  <c r="F470" i="8"/>
  <c r="I467" i="8"/>
  <c r="G476" i="8"/>
  <c r="J473" i="8"/>
  <c r="E470" i="8"/>
  <c r="H467" i="8"/>
  <c r="I473" i="8"/>
  <c r="L470" i="8"/>
  <c r="D470" i="8"/>
  <c r="G467" i="8"/>
  <c r="F476" i="8"/>
  <c r="G374" i="8"/>
  <c r="J371" i="8"/>
  <c r="E368" i="8"/>
  <c r="H365" i="8"/>
  <c r="F374" i="8"/>
  <c r="I371" i="8"/>
  <c r="L368" i="8"/>
  <c r="D368" i="8"/>
  <c r="G365" i="8"/>
  <c r="E374" i="8"/>
  <c r="H371" i="8"/>
  <c r="K368" i="8"/>
  <c r="C368" i="8"/>
  <c r="F365" i="8"/>
  <c r="D374" i="8"/>
  <c r="G371" i="8"/>
  <c r="J368" i="8"/>
  <c r="E365" i="8"/>
  <c r="C374" i="8"/>
  <c r="F371" i="8"/>
  <c r="I368" i="8"/>
  <c r="L365" i="8"/>
  <c r="D365" i="8"/>
  <c r="E371" i="8"/>
  <c r="H368" i="8"/>
  <c r="K365" i="8"/>
  <c r="C365" i="8"/>
  <c r="L371" i="8"/>
  <c r="D371" i="8"/>
  <c r="G368" i="8"/>
  <c r="J365" i="8"/>
  <c r="F368" i="8"/>
  <c r="I365" i="8"/>
  <c r="K371" i="8"/>
  <c r="C371" i="8"/>
  <c r="L541" i="8"/>
  <c r="D541" i="8"/>
  <c r="G538" i="8"/>
  <c r="J535" i="8"/>
  <c r="K541" i="8"/>
  <c r="C541" i="8"/>
  <c r="F538" i="8"/>
  <c r="I535" i="8"/>
  <c r="G544" i="8"/>
  <c r="J541" i="8"/>
  <c r="E538" i="8"/>
  <c r="H535" i="8"/>
  <c r="F544" i="8"/>
  <c r="I541" i="8"/>
  <c r="L538" i="8"/>
  <c r="D538" i="8"/>
  <c r="G535" i="8"/>
  <c r="E544" i="8"/>
  <c r="H541" i="8"/>
  <c r="K538" i="8"/>
  <c r="C538" i="8"/>
  <c r="F535" i="8"/>
  <c r="D544" i="8"/>
  <c r="G541" i="8"/>
  <c r="J538" i="8"/>
  <c r="E535" i="8"/>
  <c r="C544" i="8"/>
  <c r="F541" i="8"/>
  <c r="I538" i="8"/>
  <c r="L535" i="8"/>
  <c r="D535" i="8"/>
  <c r="E541" i="8"/>
  <c r="H538" i="8"/>
  <c r="K535" i="8"/>
  <c r="C535" i="8"/>
  <c r="F357" i="8"/>
  <c r="I354" i="8"/>
  <c r="L351" i="8"/>
  <c r="D351" i="8"/>
  <c r="G348" i="8"/>
  <c r="E357" i="8"/>
  <c r="H354" i="8"/>
  <c r="K351" i="8"/>
  <c r="C351" i="8"/>
  <c r="F348" i="8"/>
  <c r="D357" i="8"/>
  <c r="G354" i="8"/>
  <c r="J351" i="8"/>
  <c r="E348" i="8"/>
  <c r="C357" i="8"/>
  <c r="F354" i="8"/>
  <c r="I351" i="8"/>
  <c r="L348" i="8"/>
  <c r="D348" i="8"/>
  <c r="E354" i="8"/>
  <c r="H351" i="8"/>
  <c r="K348" i="8"/>
  <c r="C348" i="8"/>
  <c r="L354" i="8"/>
  <c r="D354" i="8"/>
  <c r="G351" i="8"/>
  <c r="J348" i="8"/>
  <c r="K354" i="8"/>
  <c r="C354" i="8"/>
  <c r="F351" i="8"/>
  <c r="I348" i="8"/>
  <c r="E351" i="8"/>
  <c r="G357" i="8"/>
  <c r="H348" i="8"/>
  <c r="J354" i="8"/>
  <c r="F493" i="8"/>
  <c r="I490" i="8"/>
  <c r="L487" i="8"/>
  <c r="D487" i="8"/>
  <c r="G484" i="8"/>
  <c r="E493" i="8"/>
  <c r="H490" i="8"/>
  <c r="K487" i="8"/>
  <c r="C487" i="8"/>
  <c r="F484" i="8"/>
  <c r="D493" i="8"/>
  <c r="G490" i="8"/>
  <c r="J487" i="8"/>
  <c r="E484" i="8"/>
  <c r="C493" i="8"/>
  <c r="F490" i="8"/>
  <c r="I487" i="8"/>
  <c r="L484" i="8"/>
  <c r="D484" i="8"/>
  <c r="E490" i="8"/>
  <c r="H487" i="8"/>
  <c r="K484" i="8"/>
  <c r="C484" i="8"/>
  <c r="L490" i="8"/>
  <c r="D490" i="8"/>
  <c r="G487" i="8"/>
  <c r="J484" i="8"/>
  <c r="K490" i="8"/>
  <c r="C490" i="8"/>
  <c r="F487" i="8"/>
  <c r="I484" i="8"/>
  <c r="J490" i="8"/>
  <c r="E487" i="8"/>
  <c r="H484" i="8"/>
  <c r="G493" i="8"/>
  <c r="E422" i="8"/>
  <c r="H419" i="8"/>
  <c r="K416" i="8"/>
  <c r="C416" i="8"/>
  <c r="L422" i="8"/>
  <c r="D422" i="8"/>
  <c r="G419" i="8"/>
  <c r="J416" i="8"/>
  <c r="K422" i="8"/>
  <c r="C422" i="8"/>
  <c r="F419" i="8"/>
  <c r="I416" i="8"/>
  <c r="G425" i="8"/>
  <c r="J422" i="8"/>
  <c r="E419" i="8"/>
  <c r="H416" i="8"/>
  <c r="F425" i="8"/>
  <c r="I422" i="8"/>
  <c r="L419" i="8"/>
  <c r="D419" i="8"/>
  <c r="G416" i="8"/>
  <c r="E425" i="8"/>
  <c r="H422" i="8"/>
  <c r="K419" i="8"/>
  <c r="C419" i="8"/>
  <c r="F416" i="8"/>
  <c r="D425" i="8"/>
  <c r="G422" i="8"/>
  <c r="J419" i="8"/>
  <c r="E416" i="8"/>
  <c r="F422" i="8"/>
  <c r="I419" i="8"/>
  <c r="L416" i="8"/>
  <c r="D416" i="8"/>
  <c r="C425" i="8"/>
  <c r="G238" i="8"/>
  <c r="J235" i="8"/>
  <c r="E232" i="8"/>
  <c r="H229" i="8"/>
  <c r="D235" i="8"/>
  <c r="F238" i="8"/>
  <c r="I235" i="8"/>
  <c r="L232" i="8"/>
  <c r="D232" i="8"/>
  <c r="G229" i="8"/>
  <c r="E238" i="8"/>
  <c r="H235" i="8"/>
  <c r="K232" i="8"/>
  <c r="C232" i="8"/>
  <c r="F229" i="8"/>
  <c r="G232" i="8"/>
  <c r="D238" i="8"/>
  <c r="G235" i="8"/>
  <c r="J232" i="8"/>
  <c r="E229" i="8"/>
  <c r="C238" i="8"/>
  <c r="F235" i="8"/>
  <c r="I232" i="8"/>
  <c r="L229" i="8"/>
  <c r="D229" i="8"/>
  <c r="L235" i="8"/>
  <c r="J229" i="8"/>
  <c r="K235" i="8"/>
  <c r="F232" i="8"/>
  <c r="E235" i="8"/>
  <c r="H232" i="8"/>
  <c r="K229" i="8"/>
  <c r="C229" i="8"/>
  <c r="C235" i="8"/>
  <c r="I229" i="8"/>
  <c r="E150" i="8"/>
  <c r="H147" i="8"/>
  <c r="K144" i="8"/>
  <c r="C144" i="8"/>
  <c r="D153" i="8"/>
  <c r="L150" i="8"/>
  <c r="D150" i="8"/>
  <c r="G147" i="8"/>
  <c r="J144" i="8"/>
  <c r="J147" i="8"/>
  <c r="K150" i="8"/>
  <c r="C150" i="8"/>
  <c r="F147" i="8"/>
  <c r="I144" i="8"/>
  <c r="G153" i="8"/>
  <c r="J150" i="8"/>
  <c r="E147" i="8"/>
  <c r="H144" i="8"/>
  <c r="E144" i="8"/>
  <c r="F153" i="8"/>
  <c r="I150" i="8"/>
  <c r="L147" i="8"/>
  <c r="D147" i="8"/>
  <c r="G144" i="8"/>
  <c r="G150" i="8"/>
  <c r="E153" i="8"/>
  <c r="H150" i="8"/>
  <c r="K147" i="8"/>
  <c r="C147" i="8"/>
  <c r="F144" i="8"/>
  <c r="C153" i="8"/>
  <c r="F150" i="8"/>
  <c r="I147" i="8"/>
  <c r="L144" i="8"/>
  <c r="D144" i="8"/>
  <c r="F221" i="8"/>
  <c r="I218" i="8"/>
  <c r="L215" i="8"/>
  <c r="D215" i="8"/>
  <c r="G212" i="8"/>
  <c r="K218" i="8"/>
  <c r="I212" i="8"/>
  <c r="G221" i="8"/>
  <c r="E221" i="8"/>
  <c r="H218" i="8"/>
  <c r="K215" i="8"/>
  <c r="C215" i="8"/>
  <c r="F212" i="8"/>
  <c r="J218" i="8"/>
  <c r="D221" i="8"/>
  <c r="G218" i="8"/>
  <c r="J215" i="8"/>
  <c r="E212" i="8"/>
  <c r="F215" i="8"/>
  <c r="C221" i="8"/>
  <c r="F218" i="8"/>
  <c r="I215" i="8"/>
  <c r="L212" i="8"/>
  <c r="D212" i="8"/>
  <c r="H212" i="8"/>
  <c r="E218" i="8"/>
  <c r="H215" i="8"/>
  <c r="K212" i="8"/>
  <c r="C212" i="8"/>
  <c r="C218" i="8"/>
  <c r="E215" i="8"/>
  <c r="L218" i="8"/>
  <c r="D218" i="8"/>
  <c r="G215" i="8"/>
  <c r="J212" i="8"/>
  <c r="D187" i="8"/>
  <c r="G184" i="8"/>
  <c r="J181" i="8"/>
  <c r="E178" i="8"/>
  <c r="F187" i="8"/>
  <c r="C187" i="8"/>
  <c r="F184" i="8"/>
  <c r="I181" i="8"/>
  <c r="L178" i="8"/>
  <c r="D178" i="8"/>
  <c r="G178" i="8"/>
  <c r="E184" i="8"/>
  <c r="H181" i="8"/>
  <c r="K178" i="8"/>
  <c r="C178" i="8"/>
  <c r="L181" i="8"/>
  <c r="L184" i="8"/>
  <c r="D184" i="8"/>
  <c r="G181" i="8"/>
  <c r="J178" i="8"/>
  <c r="K184" i="8"/>
  <c r="C184" i="8"/>
  <c r="F181" i="8"/>
  <c r="I178" i="8"/>
  <c r="D181" i="8"/>
  <c r="G187" i="8"/>
  <c r="J184" i="8"/>
  <c r="E181" i="8"/>
  <c r="H178" i="8"/>
  <c r="I184" i="8"/>
  <c r="E187" i="8"/>
  <c r="C181" i="8"/>
  <c r="H184" i="8"/>
  <c r="K181" i="8"/>
  <c r="F178" i="8"/>
  <c r="C170" i="8"/>
  <c r="F167" i="8"/>
  <c r="I164" i="8"/>
  <c r="L161" i="8"/>
  <c r="D161" i="8"/>
  <c r="K164" i="8"/>
  <c r="E167" i="8"/>
  <c r="H164" i="8"/>
  <c r="K161" i="8"/>
  <c r="C161" i="8"/>
  <c r="F161" i="8"/>
  <c r="L167" i="8"/>
  <c r="D167" i="8"/>
  <c r="G164" i="8"/>
  <c r="J161" i="8"/>
  <c r="E170" i="8"/>
  <c r="K167" i="8"/>
  <c r="C167" i="8"/>
  <c r="F164" i="8"/>
  <c r="I161" i="8"/>
  <c r="C164" i="8"/>
  <c r="G170" i="8"/>
  <c r="J167" i="8"/>
  <c r="E164" i="8"/>
  <c r="H161" i="8"/>
  <c r="H167" i="8"/>
  <c r="F170" i="8"/>
  <c r="I167" i="8"/>
  <c r="L164" i="8"/>
  <c r="D164" i="8"/>
  <c r="G161" i="8"/>
  <c r="D170" i="8"/>
  <c r="G167" i="8"/>
  <c r="J164" i="8"/>
  <c r="E161" i="8"/>
  <c r="E204" i="8"/>
  <c r="H201" i="8"/>
  <c r="K198" i="8"/>
  <c r="C198" i="8"/>
  <c r="F195" i="8"/>
  <c r="L198" i="8"/>
  <c r="D204" i="8"/>
  <c r="G201" i="8"/>
  <c r="J198" i="8"/>
  <c r="E195" i="8"/>
  <c r="J201" i="8"/>
  <c r="I201" i="8"/>
  <c r="C204" i="8"/>
  <c r="F201" i="8"/>
  <c r="I198" i="8"/>
  <c r="L195" i="8"/>
  <c r="D195" i="8"/>
  <c r="H195" i="8"/>
  <c r="E201" i="8"/>
  <c r="H198" i="8"/>
  <c r="K195" i="8"/>
  <c r="C195" i="8"/>
  <c r="L201" i="8"/>
  <c r="D201" i="8"/>
  <c r="G198" i="8"/>
  <c r="J195" i="8"/>
  <c r="G204" i="8"/>
  <c r="E198" i="8"/>
  <c r="F204" i="8"/>
  <c r="K201" i="8"/>
  <c r="C201" i="8"/>
  <c r="F198" i="8"/>
  <c r="I195" i="8"/>
  <c r="D198" i="8"/>
  <c r="G195" i="8"/>
  <c r="K252" i="8"/>
  <c r="C252" i="8"/>
  <c r="F249" i="8"/>
  <c r="I246" i="8"/>
  <c r="G255" i="8"/>
  <c r="J252" i="8"/>
  <c r="E249" i="8"/>
  <c r="H246" i="8"/>
  <c r="F255" i="8"/>
  <c r="I252" i="8"/>
  <c r="L249" i="8"/>
  <c r="D249" i="8"/>
  <c r="G246" i="8"/>
  <c r="E255" i="8"/>
  <c r="H252" i="8"/>
  <c r="K249" i="8"/>
  <c r="C249" i="8"/>
  <c r="F246" i="8"/>
  <c r="D255" i="8"/>
  <c r="G252" i="8"/>
  <c r="J249" i="8"/>
  <c r="E246" i="8"/>
  <c r="E252" i="8"/>
  <c r="H249" i="8"/>
  <c r="K246" i="8"/>
  <c r="C246" i="8"/>
  <c r="L252" i="8"/>
  <c r="G249" i="8"/>
  <c r="C255" i="8"/>
  <c r="F252" i="8"/>
  <c r="I249" i="8"/>
  <c r="L246" i="8"/>
  <c r="D246" i="8"/>
  <c r="D252" i="8"/>
  <c r="J246" i="8"/>
  <c r="L269" i="8"/>
  <c r="D269" i="8"/>
  <c r="G266" i="8"/>
  <c r="J263" i="8"/>
  <c r="L263" i="8"/>
  <c r="K263" i="8"/>
  <c r="K269" i="8"/>
  <c r="C269" i="8"/>
  <c r="F266" i="8"/>
  <c r="I263" i="8"/>
  <c r="C263" i="8"/>
  <c r="G272" i="8"/>
  <c r="J269" i="8"/>
  <c r="E266" i="8"/>
  <c r="H263" i="8"/>
  <c r="I266" i="8"/>
  <c r="F272" i="8"/>
  <c r="I269" i="8"/>
  <c r="L266" i="8"/>
  <c r="D266" i="8"/>
  <c r="G263" i="8"/>
  <c r="D263" i="8"/>
  <c r="H266" i="8"/>
  <c r="E272" i="8"/>
  <c r="H269" i="8"/>
  <c r="K266" i="8"/>
  <c r="C266" i="8"/>
  <c r="F263" i="8"/>
  <c r="C272" i="8"/>
  <c r="E269" i="8"/>
  <c r="D272" i="8"/>
  <c r="G269" i="8"/>
  <c r="J266" i="8"/>
  <c r="E263" i="8"/>
  <c r="F269" i="8"/>
  <c r="L133" i="8"/>
  <c r="D133" i="8"/>
  <c r="G130" i="8"/>
  <c r="J127" i="8"/>
  <c r="H130" i="8"/>
  <c r="K133" i="8"/>
  <c r="C133" i="8"/>
  <c r="F130" i="8"/>
  <c r="I127" i="8"/>
  <c r="G136" i="8"/>
  <c r="J133" i="8"/>
  <c r="E130" i="8"/>
  <c r="H127" i="8"/>
  <c r="F136" i="8"/>
  <c r="I133" i="8"/>
  <c r="L130" i="8"/>
  <c r="D130" i="8"/>
  <c r="G127" i="8"/>
  <c r="K127" i="8"/>
  <c r="E136" i="8"/>
  <c r="H133" i="8"/>
  <c r="K130" i="8"/>
  <c r="C130" i="8"/>
  <c r="F127" i="8"/>
  <c r="E133" i="8"/>
  <c r="D136" i="8"/>
  <c r="G133" i="8"/>
  <c r="J130" i="8"/>
  <c r="E127" i="8"/>
  <c r="C127" i="8"/>
  <c r="C136" i="8"/>
  <c r="F133" i="8"/>
  <c r="I130" i="8"/>
  <c r="L127" i="8"/>
  <c r="D127" i="8"/>
  <c r="K116" i="8"/>
  <c r="C116" i="8"/>
  <c r="F113" i="8"/>
  <c r="I110" i="8"/>
  <c r="J110" i="8"/>
  <c r="G119" i="8"/>
  <c r="J116" i="8"/>
  <c r="E113" i="8"/>
  <c r="H110" i="8"/>
  <c r="G113" i="8"/>
  <c r="F119" i="8"/>
  <c r="I116" i="8"/>
  <c r="L113" i="8"/>
  <c r="D113" i="8"/>
  <c r="G110" i="8"/>
  <c r="E119" i="8"/>
  <c r="H116" i="8"/>
  <c r="K113" i="8"/>
  <c r="C113" i="8"/>
  <c r="F110" i="8"/>
  <c r="D116" i="8"/>
  <c r="D119" i="8"/>
  <c r="G116" i="8"/>
  <c r="J113" i="8"/>
  <c r="E110" i="8"/>
  <c r="C119" i="8"/>
  <c r="F116" i="8"/>
  <c r="I113" i="8"/>
  <c r="L110" i="8"/>
  <c r="D110" i="8"/>
  <c r="E116" i="8"/>
  <c r="H113" i="8"/>
  <c r="K110" i="8"/>
  <c r="C110" i="8"/>
  <c r="L116" i="8"/>
  <c r="G102" i="8"/>
  <c r="J99" i="8"/>
  <c r="E96" i="8"/>
  <c r="H93" i="8"/>
  <c r="F96" i="8"/>
  <c r="F102" i="8"/>
  <c r="I99" i="8"/>
  <c r="L96" i="8"/>
  <c r="D96" i="8"/>
  <c r="G93" i="8"/>
  <c r="E102" i="8"/>
  <c r="H99" i="8"/>
  <c r="K96" i="8"/>
  <c r="C96" i="8"/>
  <c r="F93" i="8"/>
  <c r="D102" i="8"/>
  <c r="G99" i="8"/>
  <c r="J96" i="8"/>
  <c r="E93" i="8"/>
  <c r="C99" i="8"/>
  <c r="C102" i="8"/>
  <c r="F99" i="8"/>
  <c r="I96" i="8"/>
  <c r="L93" i="8"/>
  <c r="D93" i="8"/>
  <c r="I93" i="8"/>
  <c r="E99" i="8"/>
  <c r="H96" i="8"/>
  <c r="K93" i="8"/>
  <c r="C93" i="8"/>
  <c r="L99" i="8"/>
  <c r="D99" i="8"/>
  <c r="G96" i="8"/>
  <c r="J93" i="8"/>
  <c r="K99" i="8"/>
  <c r="F85" i="8"/>
  <c r="I82" i="8"/>
  <c r="L79" i="8"/>
  <c r="D79" i="8"/>
  <c r="G76" i="8"/>
  <c r="H76" i="8"/>
  <c r="E85" i="8"/>
  <c r="H82" i="8"/>
  <c r="K79" i="8"/>
  <c r="C79" i="8"/>
  <c r="F76" i="8"/>
  <c r="J82" i="8"/>
  <c r="D85" i="8"/>
  <c r="G82" i="8"/>
  <c r="J79" i="8"/>
  <c r="E76" i="8"/>
  <c r="C85" i="8"/>
  <c r="F82" i="8"/>
  <c r="I79" i="8"/>
  <c r="L76" i="8"/>
  <c r="D76" i="8"/>
  <c r="G85" i="8"/>
  <c r="E82" i="8"/>
  <c r="H79" i="8"/>
  <c r="K76" i="8"/>
  <c r="C76" i="8"/>
  <c r="L82" i="8"/>
  <c r="D82" i="8"/>
  <c r="G79" i="8"/>
  <c r="J76" i="8"/>
  <c r="E79" i="8"/>
  <c r="K82" i="8"/>
  <c r="C82" i="8"/>
  <c r="F79" i="8"/>
  <c r="I76" i="8"/>
  <c r="K48" i="8"/>
  <c r="C48" i="8"/>
  <c r="F45" i="8"/>
  <c r="I42" i="8"/>
  <c r="G45" i="8"/>
  <c r="G51" i="8"/>
  <c r="J48" i="8"/>
  <c r="E45" i="8"/>
  <c r="H42" i="8"/>
  <c r="D48" i="8"/>
  <c r="F51" i="8"/>
  <c r="I48" i="8"/>
  <c r="L45" i="8"/>
  <c r="D45" i="8"/>
  <c r="G42" i="8"/>
  <c r="F48" i="8"/>
  <c r="D42" i="8"/>
  <c r="J42" i="8"/>
  <c r="E51" i="8"/>
  <c r="H48" i="8"/>
  <c r="K45" i="8"/>
  <c r="C45" i="8"/>
  <c r="F42" i="8"/>
  <c r="D51" i="8"/>
  <c r="G48" i="8"/>
  <c r="J45" i="8"/>
  <c r="E42" i="8"/>
  <c r="C51" i="8"/>
  <c r="I45" i="8"/>
  <c r="L42" i="8"/>
  <c r="L48" i="8"/>
  <c r="E48" i="8"/>
  <c r="H45" i="8"/>
  <c r="K42" i="8"/>
  <c r="C42" i="8"/>
  <c r="L31" i="8"/>
  <c r="D31" i="8"/>
  <c r="G28" i="8"/>
  <c r="J25" i="8"/>
  <c r="K31" i="8"/>
  <c r="C31" i="8"/>
  <c r="F28" i="8"/>
  <c r="I25" i="8"/>
  <c r="G34" i="8"/>
  <c r="J31" i="8"/>
  <c r="E28" i="8"/>
  <c r="H25" i="8"/>
  <c r="F34" i="8"/>
  <c r="I31" i="8"/>
  <c r="L28" i="8"/>
  <c r="D28" i="8"/>
  <c r="G25" i="8"/>
  <c r="E34" i="8"/>
  <c r="H31" i="8"/>
  <c r="K28" i="8"/>
  <c r="C28" i="8"/>
  <c r="F25" i="8"/>
  <c r="D34" i="8"/>
  <c r="G31" i="8"/>
  <c r="J28" i="8"/>
  <c r="E25" i="8"/>
  <c r="C34" i="8"/>
  <c r="F31" i="8"/>
  <c r="I28" i="8"/>
  <c r="L25" i="8"/>
  <c r="D25" i="8"/>
  <c r="E31" i="8"/>
  <c r="H28" i="8"/>
  <c r="K25" i="8"/>
  <c r="C25" i="8"/>
  <c r="I24" i="13"/>
  <c r="H5" i="8"/>
  <c r="I3" i="13"/>
  <c r="I7" i="13"/>
  <c r="N40" i="9"/>
  <c r="N44" i="3"/>
  <c r="N33" i="3"/>
  <c r="N42" i="3"/>
  <c r="N48" i="9"/>
  <c r="N49" i="9"/>
  <c r="N38" i="9"/>
  <c r="I12" i="13"/>
  <c r="I17" i="13"/>
  <c r="I23" i="13"/>
  <c r="N49" i="3"/>
  <c r="I19" i="13"/>
  <c r="N28" i="10"/>
  <c r="N39" i="3"/>
  <c r="I5" i="13"/>
  <c r="O5" i="15"/>
  <c r="N48" i="3"/>
  <c r="I16" i="13"/>
  <c r="I10" i="13"/>
  <c r="I2" i="13"/>
  <c r="I18" i="13"/>
  <c r="N51" i="10"/>
  <c r="N47" i="3"/>
  <c r="N46" i="9"/>
  <c r="N29" i="9"/>
  <c r="I30" i="13"/>
  <c r="N29" i="10"/>
  <c r="N52" i="3"/>
  <c r="I27" i="13"/>
  <c r="N47" i="10"/>
  <c r="N46" i="10"/>
  <c r="N31" i="10"/>
  <c r="I8" i="13"/>
  <c r="I26" i="13"/>
  <c r="N45" i="10"/>
  <c r="N38" i="10"/>
  <c r="N41" i="3"/>
  <c r="N35" i="3"/>
  <c r="N29" i="3"/>
  <c r="N28" i="3"/>
  <c r="N47" i="9"/>
  <c r="I20" i="13"/>
  <c r="I14" i="13"/>
  <c r="N37" i="10"/>
  <c r="N49" i="10"/>
  <c r="N53" i="10"/>
  <c r="N41" i="10"/>
  <c r="N46" i="3"/>
  <c r="N38" i="3"/>
  <c r="N45" i="9"/>
  <c r="N52" i="10"/>
  <c r="N26" i="10"/>
  <c r="M8" i="8" s="1"/>
  <c r="N53" i="3"/>
  <c r="N43" i="3"/>
  <c r="N31" i="3"/>
  <c r="N26" i="3"/>
  <c r="M11" i="8" s="1"/>
  <c r="N34" i="9"/>
  <c r="N35" i="9"/>
  <c r="I21" i="13"/>
  <c r="I25" i="13"/>
  <c r="I15" i="13"/>
  <c r="I22" i="13"/>
  <c r="N54" i="9"/>
  <c r="I28" i="13"/>
  <c r="O23" i="15"/>
  <c r="N48" i="10"/>
  <c r="N35" i="10"/>
  <c r="N40" i="10"/>
  <c r="N51" i="3"/>
  <c r="N30" i="3"/>
  <c r="N34" i="3"/>
  <c r="N52" i="9"/>
  <c r="N43" i="9"/>
  <c r="N39" i="9"/>
  <c r="N33" i="9"/>
  <c r="I9" i="13"/>
  <c r="N36" i="10"/>
  <c r="N33" i="10"/>
  <c r="N30" i="10"/>
  <c r="N27" i="3"/>
  <c r="M28" i="8" s="1"/>
  <c r="N51" i="9"/>
  <c r="N26" i="9"/>
  <c r="D2" i="7" s="1"/>
  <c r="N44" i="9"/>
  <c r="I13" i="13"/>
  <c r="N34" i="10"/>
  <c r="N42" i="10"/>
  <c r="N54" i="3"/>
  <c r="N36" i="3"/>
  <c r="N32" i="3"/>
  <c r="N50" i="9"/>
  <c r="N36" i="9"/>
  <c r="N42" i="9"/>
  <c r="N28" i="9"/>
  <c r="N37" i="9"/>
  <c r="I6" i="13"/>
  <c r="I29" i="13"/>
  <c r="N50" i="10"/>
  <c r="N43" i="10"/>
  <c r="N32" i="10"/>
  <c r="N37" i="3"/>
  <c r="N30" i="9"/>
  <c r="N31" i="9"/>
  <c r="N27" i="9"/>
  <c r="I4" i="13"/>
  <c r="F20" i="9"/>
  <c r="F19" i="9"/>
  <c r="F18" i="9"/>
  <c r="F20" i="3"/>
  <c r="F19" i="3"/>
  <c r="F18" i="3"/>
  <c r="F20" i="10"/>
  <c r="F19" i="10"/>
  <c r="F18" i="10"/>
  <c r="F12" i="9"/>
  <c r="F13" i="9"/>
  <c r="F14" i="9"/>
  <c r="I15" i="9"/>
  <c r="I17" i="9"/>
  <c r="I16" i="9"/>
  <c r="J5" i="9"/>
  <c r="I5" i="9"/>
  <c r="H5" i="9"/>
  <c r="L11" i="9"/>
  <c r="L10" i="9"/>
  <c r="L9" i="9"/>
  <c r="N32" i="9"/>
  <c r="C17" i="9"/>
  <c r="C16" i="9"/>
  <c r="C15" i="9"/>
  <c r="I18" i="9"/>
  <c r="J18" i="9"/>
  <c r="J20" i="9"/>
  <c r="J19" i="9"/>
  <c r="I20" i="9"/>
  <c r="I19" i="9"/>
  <c r="F10" i="9"/>
  <c r="F9" i="9"/>
  <c r="F11" i="9"/>
  <c r="N53" i="9"/>
  <c r="I14" i="9"/>
  <c r="I13" i="9"/>
  <c r="I12" i="9"/>
  <c r="G5" i="9"/>
  <c r="F5" i="9"/>
  <c r="E5" i="9"/>
  <c r="L8" i="9"/>
  <c r="L7" i="9"/>
  <c r="L6" i="9"/>
  <c r="C8" i="9"/>
  <c r="C7" i="9"/>
  <c r="C6" i="9"/>
  <c r="N41" i="9"/>
  <c r="C14" i="9"/>
  <c r="C13" i="9"/>
  <c r="C12" i="9"/>
  <c r="G18" i="9"/>
  <c r="G19" i="9"/>
  <c r="G20" i="9"/>
  <c r="F6" i="9"/>
  <c r="F8" i="9"/>
  <c r="F7" i="9"/>
  <c r="C20" i="9"/>
  <c r="C19" i="9"/>
  <c r="C18" i="9"/>
  <c r="I11" i="9"/>
  <c r="I10" i="9"/>
  <c r="I9" i="9"/>
  <c r="M17" i="9"/>
  <c r="M16" i="9"/>
  <c r="M15" i="9"/>
  <c r="L17" i="9"/>
  <c r="L16" i="9"/>
  <c r="L15" i="9"/>
  <c r="D5" i="9"/>
  <c r="C5" i="9"/>
  <c r="B5" i="9"/>
  <c r="C11" i="9"/>
  <c r="C10" i="9"/>
  <c r="C9" i="9"/>
  <c r="F15" i="9"/>
  <c r="F17" i="9"/>
  <c r="F16" i="9"/>
  <c r="M5" i="9"/>
  <c r="L5" i="9"/>
  <c r="K5" i="9"/>
  <c r="I8" i="9"/>
  <c r="I7" i="9"/>
  <c r="I6" i="9"/>
  <c r="M14" i="9"/>
  <c r="M13" i="9"/>
  <c r="M12" i="9"/>
  <c r="L14" i="9"/>
  <c r="L13" i="9"/>
  <c r="L12" i="9"/>
  <c r="M20" i="9"/>
  <c r="M19" i="9"/>
  <c r="M18" i="9"/>
  <c r="L20" i="9"/>
  <c r="L19" i="9"/>
  <c r="L18" i="9"/>
  <c r="C12" i="3"/>
  <c r="C14" i="3"/>
  <c r="C13" i="3"/>
  <c r="M17" i="3"/>
  <c r="M16" i="3"/>
  <c r="M15" i="3"/>
  <c r="L17" i="3"/>
  <c r="L16" i="3"/>
  <c r="L15" i="3"/>
  <c r="B5" i="3"/>
  <c r="C5" i="3"/>
  <c r="D5" i="3"/>
  <c r="I11" i="3"/>
  <c r="I10" i="3"/>
  <c r="I9" i="3"/>
  <c r="G20" i="3"/>
  <c r="G19" i="3"/>
  <c r="G18" i="3"/>
  <c r="N40" i="3"/>
  <c r="F17" i="3"/>
  <c r="F16" i="3"/>
  <c r="F15" i="3"/>
  <c r="L19" i="3"/>
  <c r="L18" i="3"/>
  <c r="L20" i="3"/>
  <c r="M20" i="3"/>
  <c r="M19" i="3"/>
  <c r="M18" i="3"/>
  <c r="C9" i="3"/>
  <c r="C11" i="3"/>
  <c r="C10" i="3"/>
  <c r="F8" i="3"/>
  <c r="F7" i="3"/>
  <c r="F6" i="3"/>
  <c r="N50" i="3"/>
  <c r="M14" i="3"/>
  <c r="M13" i="3"/>
  <c r="M12" i="3"/>
  <c r="L14" i="3"/>
  <c r="L13" i="3"/>
  <c r="L12" i="3"/>
  <c r="K5" i="3"/>
  <c r="M5" i="3"/>
  <c r="L5" i="3"/>
  <c r="I8" i="3"/>
  <c r="I7" i="3"/>
  <c r="I6" i="3"/>
  <c r="N45" i="3"/>
  <c r="F14" i="3"/>
  <c r="F13" i="3"/>
  <c r="F12" i="3"/>
  <c r="C18" i="3"/>
  <c r="C20" i="3"/>
  <c r="C19" i="3"/>
  <c r="C6" i="3"/>
  <c r="C8" i="3"/>
  <c r="C7" i="3"/>
  <c r="L11" i="3"/>
  <c r="L10" i="3"/>
  <c r="L9" i="3"/>
  <c r="I17" i="3"/>
  <c r="I16" i="3"/>
  <c r="I15" i="3"/>
  <c r="J5" i="3"/>
  <c r="I5" i="3"/>
  <c r="H5" i="3"/>
  <c r="F11" i="3"/>
  <c r="F10" i="3"/>
  <c r="F9" i="3"/>
  <c r="C15" i="3"/>
  <c r="C17" i="3"/>
  <c r="C16" i="3"/>
  <c r="J20" i="3"/>
  <c r="J19" i="3"/>
  <c r="I20" i="3"/>
  <c r="I19" i="3"/>
  <c r="J18" i="3"/>
  <c r="I18" i="3"/>
  <c r="L8" i="3"/>
  <c r="L7" i="3"/>
  <c r="L6" i="3"/>
  <c r="I14" i="3"/>
  <c r="I13" i="3"/>
  <c r="I12" i="3"/>
  <c r="G5" i="3"/>
  <c r="F5" i="3"/>
  <c r="E5" i="3"/>
  <c r="L12" i="10"/>
  <c r="L13" i="10"/>
  <c r="L14" i="10"/>
  <c r="L8" i="10"/>
  <c r="L7" i="10"/>
  <c r="L6" i="10"/>
  <c r="L17" i="10"/>
  <c r="L16" i="10"/>
  <c r="L15" i="10"/>
  <c r="L11" i="10"/>
  <c r="L10" i="10"/>
  <c r="L9" i="10"/>
  <c r="L20" i="10"/>
  <c r="L19" i="10"/>
  <c r="L18" i="10"/>
  <c r="M12" i="10"/>
  <c r="M13" i="10"/>
  <c r="M14" i="10"/>
  <c r="M17" i="10"/>
  <c r="M16" i="10"/>
  <c r="M15" i="10"/>
  <c r="M20" i="10"/>
  <c r="M19" i="10"/>
  <c r="M18" i="10"/>
  <c r="J20" i="10"/>
  <c r="J19" i="10"/>
  <c r="J18" i="10"/>
  <c r="G20" i="10"/>
  <c r="G19" i="10"/>
  <c r="G18" i="10"/>
  <c r="F12" i="10"/>
  <c r="F14" i="10"/>
  <c r="F13" i="10"/>
  <c r="F15" i="10"/>
  <c r="F17" i="10"/>
  <c r="F16" i="10"/>
  <c r="N44" i="10"/>
  <c r="D5" i="10"/>
  <c r="C5" i="10"/>
  <c r="B5" i="10"/>
  <c r="I7" i="10"/>
  <c r="I8" i="10"/>
  <c r="I6" i="10"/>
  <c r="F6" i="10"/>
  <c r="F8" i="10"/>
  <c r="F7" i="10"/>
  <c r="C11" i="10"/>
  <c r="C10" i="10"/>
  <c r="C9" i="10"/>
  <c r="C19" i="10"/>
  <c r="C20" i="10"/>
  <c r="C18" i="10"/>
  <c r="C8" i="10"/>
  <c r="C7" i="10"/>
  <c r="C6" i="10"/>
  <c r="G5" i="10"/>
  <c r="E5" i="10"/>
  <c r="F5" i="10"/>
  <c r="I16" i="10"/>
  <c r="I17" i="10"/>
  <c r="I15" i="10"/>
  <c r="I5" i="10"/>
  <c r="H5" i="10"/>
  <c r="J5" i="10"/>
  <c r="C17" i="10"/>
  <c r="C16" i="10"/>
  <c r="C15" i="10"/>
  <c r="I18" i="10"/>
  <c r="I20" i="10"/>
  <c r="I19" i="10"/>
  <c r="N54" i="10"/>
  <c r="N39" i="10"/>
  <c r="I14" i="10"/>
  <c r="I13" i="10"/>
  <c r="I12" i="10"/>
  <c r="N27" i="10"/>
  <c r="F3" i="7" s="1"/>
  <c r="C14" i="10"/>
  <c r="C13" i="10"/>
  <c r="C12" i="10"/>
  <c r="I9" i="10"/>
  <c r="I10" i="10"/>
  <c r="I11" i="10"/>
  <c r="F9" i="10"/>
  <c r="F11" i="10"/>
  <c r="F10" i="10"/>
  <c r="M5" i="10"/>
  <c r="L5" i="10"/>
  <c r="K5" i="10"/>
  <c r="O7" i="15"/>
  <c r="O21" i="15"/>
  <c r="O28" i="15"/>
  <c r="N21" i="15"/>
  <c r="O4" i="15"/>
  <c r="N6" i="15"/>
  <c r="O31" i="15"/>
  <c r="N31" i="15"/>
  <c r="N22" i="15"/>
  <c r="N27" i="15"/>
  <c r="O19" i="15"/>
  <c r="N11" i="15"/>
  <c r="O6" i="15"/>
  <c r="O15" i="15"/>
  <c r="O12" i="15"/>
  <c r="O17" i="15"/>
  <c r="O24" i="15"/>
  <c r="N28" i="15"/>
  <c r="N20" i="15"/>
  <c r="N15" i="15"/>
  <c r="N23" i="15"/>
  <c r="O14" i="15"/>
  <c r="O22" i="15"/>
  <c r="N5" i="15"/>
  <c r="N13" i="15"/>
  <c r="N30" i="15"/>
  <c r="O27" i="15"/>
  <c r="O9" i="15"/>
  <c r="O8" i="15"/>
  <c r="O25" i="15"/>
  <c r="E20" i="15"/>
  <c r="O3" i="15"/>
  <c r="M5" i="8" s="1"/>
  <c r="E29" i="15"/>
  <c r="N29" i="15"/>
  <c r="N7" i="15"/>
  <c r="N25" i="15"/>
  <c r="N19" i="15"/>
  <c r="E30" i="15"/>
  <c r="C464" i="8" s="1"/>
  <c r="O18" i="15"/>
  <c r="N18" i="15"/>
  <c r="N26" i="15"/>
  <c r="N12" i="15"/>
  <c r="N8" i="15"/>
  <c r="L90" i="8" s="1"/>
  <c r="O10" i="15"/>
  <c r="O26" i="15"/>
  <c r="N14" i="15"/>
  <c r="N16" i="15"/>
  <c r="N9" i="15"/>
  <c r="N24" i="15"/>
  <c r="N4" i="15"/>
  <c r="L22" i="8" s="1"/>
  <c r="N17" i="15"/>
  <c r="P28" i="15"/>
  <c r="N10" i="15"/>
  <c r="D4" i="17"/>
  <c r="D5" i="17"/>
  <c r="D7" i="17"/>
  <c r="D9" i="17"/>
  <c r="D11" i="17"/>
  <c r="D14" i="17"/>
  <c r="D15" i="17"/>
  <c r="D17" i="17"/>
  <c r="D26" i="17"/>
  <c r="D29" i="17"/>
  <c r="D2" i="17"/>
  <c r="C6" i="14"/>
  <c r="C8" i="14"/>
  <c r="C7" i="14"/>
  <c r="J15" i="9"/>
  <c r="J14" i="9"/>
  <c r="J13" i="9"/>
  <c r="J14" i="10"/>
  <c r="J17" i="10"/>
  <c r="J17" i="9"/>
  <c r="J15" i="3"/>
  <c r="J12" i="3"/>
  <c r="J13" i="10"/>
  <c r="J16" i="10"/>
  <c r="J16" i="9"/>
  <c r="J12" i="9"/>
  <c r="J16" i="3"/>
  <c r="J13" i="3"/>
  <c r="J17" i="3"/>
  <c r="J14" i="3"/>
  <c r="J15" i="10"/>
  <c r="J12" i="10"/>
  <c r="D20" i="9"/>
  <c r="D19" i="9"/>
  <c r="D19" i="10"/>
  <c r="D19" i="3"/>
  <c r="D20" i="3"/>
  <c r="D18" i="9"/>
  <c r="D18" i="10"/>
  <c r="D18" i="3"/>
  <c r="D20" i="10"/>
  <c r="D17" i="9"/>
  <c r="D16" i="3"/>
  <c r="D17" i="10"/>
  <c r="G15" i="3"/>
  <c r="G17" i="9"/>
  <c r="G17" i="10"/>
  <c r="G15" i="9"/>
  <c r="D16" i="10"/>
  <c r="D17" i="3"/>
  <c r="G17" i="3"/>
  <c r="G16" i="9"/>
  <c r="G16" i="3"/>
  <c r="G15" i="10"/>
  <c r="D15" i="9"/>
  <c r="G16" i="10"/>
  <c r="D16" i="9"/>
  <c r="D15" i="10"/>
  <c r="D15" i="3"/>
  <c r="M6" i="9"/>
  <c r="J9" i="10"/>
  <c r="J10" i="10"/>
  <c r="D7" i="10"/>
  <c r="G8" i="10"/>
  <c r="D6" i="10"/>
  <c r="G11" i="10"/>
  <c r="G9" i="9"/>
  <c r="J7" i="10"/>
  <c r="G7" i="10"/>
  <c r="G7" i="9"/>
  <c r="D11" i="3"/>
  <c r="G13" i="9"/>
  <c r="G12" i="9"/>
  <c r="G11" i="3"/>
  <c r="M9" i="3"/>
  <c r="M11" i="3"/>
  <c r="M8" i="10"/>
  <c r="J8" i="9"/>
  <c r="J6" i="10"/>
  <c r="J7" i="9"/>
  <c r="G6" i="3"/>
  <c r="G11" i="9"/>
  <c r="J7" i="3"/>
  <c r="D7" i="9"/>
  <c r="G8" i="3"/>
  <c r="M10" i="10"/>
  <c r="G14" i="9"/>
  <c r="M8" i="3"/>
  <c r="J9" i="9"/>
  <c r="M7" i="10"/>
  <c r="D10" i="10"/>
  <c r="D14" i="3"/>
  <c r="D9" i="10"/>
  <c r="G13" i="3"/>
  <c r="D11" i="9"/>
  <c r="D11" i="10"/>
  <c r="D13" i="10"/>
  <c r="M7" i="3"/>
  <c r="M6" i="3"/>
  <c r="M10" i="3"/>
  <c r="G14" i="3"/>
  <c r="G7" i="3"/>
  <c r="J6" i="9"/>
  <c r="D7" i="3"/>
  <c r="D12" i="10"/>
  <c r="D8" i="3"/>
  <c r="D12" i="3"/>
  <c r="J8" i="3"/>
  <c r="G12" i="10"/>
  <c r="M11" i="10"/>
  <c r="G10" i="9"/>
  <c r="M10" i="9"/>
  <c r="M9" i="9"/>
  <c r="M8" i="9"/>
  <c r="G14" i="10"/>
  <c r="D9" i="3"/>
  <c r="D13" i="9"/>
  <c r="D13" i="3"/>
  <c r="D14" i="9"/>
  <c r="G6" i="10"/>
  <c r="D6" i="3"/>
  <c r="D14" i="10"/>
  <c r="J6" i="3"/>
  <c r="M11" i="9"/>
  <c r="M6" i="10"/>
  <c r="J11" i="3"/>
  <c r="J11" i="9"/>
  <c r="G9" i="10"/>
  <c r="D8" i="9"/>
  <c r="D10" i="3"/>
  <c r="G8" i="9"/>
  <c r="G10" i="3"/>
  <c r="D10" i="9"/>
  <c r="G13" i="10"/>
  <c r="J11" i="10"/>
  <c r="G9" i="3"/>
  <c r="J10" i="3"/>
  <c r="J10" i="9"/>
  <c r="M9" i="10"/>
  <c r="J9" i="3"/>
  <c r="D9" i="9"/>
  <c r="J8" i="10"/>
  <c r="G6" i="9"/>
  <c r="G12" i="3"/>
  <c r="D6" i="9"/>
  <c r="D12" i="9"/>
  <c r="M7" i="9"/>
  <c r="G10" i="10"/>
  <c r="E6" i="7" l="1"/>
  <c r="E16" i="7"/>
  <c r="E84" i="7"/>
  <c r="D97" i="7"/>
  <c r="E70" i="7"/>
  <c r="F88" i="7"/>
  <c r="E61" i="7"/>
  <c r="E82" i="7"/>
  <c r="M249" i="8"/>
  <c r="E10" i="7"/>
  <c r="E44" i="7"/>
  <c r="E25" i="7"/>
  <c r="E55" i="7"/>
  <c r="E90" i="7"/>
  <c r="E96" i="7"/>
  <c r="E53" i="7"/>
  <c r="E41" i="7"/>
  <c r="E14" i="7"/>
  <c r="E36" i="7"/>
  <c r="E63" i="7"/>
  <c r="E59" i="7"/>
  <c r="E9" i="7"/>
  <c r="E35" i="7"/>
  <c r="E39" i="7"/>
  <c r="E15" i="7"/>
  <c r="E94" i="7"/>
  <c r="E62" i="7"/>
  <c r="E83" i="7"/>
  <c r="E32" i="7"/>
  <c r="E40" i="7"/>
  <c r="E8" i="7"/>
  <c r="E98" i="7"/>
  <c r="E88" i="7"/>
  <c r="E79" i="7"/>
  <c r="E69" i="7"/>
  <c r="M181" i="8"/>
  <c r="E7" i="7"/>
  <c r="F46" i="7"/>
  <c r="D4" i="7"/>
  <c r="D60" i="7"/>
  <c r="F60" i="7"/>
  <c r="F94" i="7"/>
  <c r="F50" i="7"/>
  <c r="F87" i="7"/>
  <c r="F17" i="7"/>
  <c r="F26" i="7"/>
  <c r="F34" i="7"/>
  <c r="D36" i="7"/>
  <c r="D71" i="7"/>
  <c r="D79" i="7"/>
  <c r="D61" i="7"/>
  <c r="D94" i="7"/>
  <c r="I94" i="7" s="1"/>
  <c r="D23" i="7"/>
  <c r="D24" i="7"/>
  <c r="D92" i="7"/>
  <c r="I92" i="7" s="1"/>
  <c r="D52" i="7"/>
  <c r="D26" i="7"/>
  <c r="D67" i="7"/>
  <c r="D65" i="7"/>
  <c r="D34" i="7"/>
  <c r="D16" i="7"/>
  <c r="D41" i="7"/>
  <c r="D98" i="7"/>
  <c r="D14" i="7"/>
  <c r="D20" i="7"/>
  <c r="D10" i="7"/>
  <c r="D40" i="7"/>
  <c r="D29" i="7"/>
  <c r="D9" i="7"/>
  <c r="D70" i="7"/>
  <c r="D31" i="7"/>
  <c r="L243" i="8"/>
  <c r="D50" i="7"/>
  <c r="D39" i="7"/>
  <c r="D83" i="7"/>
  <c r="L362" i="8"/>
  <c r="D69" i="7"/>
  <c r="L260" i="8"/>
  <c r="L277" i="8"/>
  <c r="I277" i="8"/>
  <c r="I668" i="8"/>
  <c r="E95" i="7"/>
  <c r="G991" i="8"/>
  <c r="L124" i="8"/>
  <c r="L175" i="8"/>
  <c r="L39" i="8"/>
  <c r="I515" i="8"/>
  <c r="L73" i="8"/>
  <c r="L158" i="8"/>
  <c r="L192" i="8"/>
  <c r="I736" i="8"/>
  <c r="I685" i="8"/>
  <c r="I481" i="8"/>
  <c r="I1280" i="8"/>
  <c r="I566" i="8"/>
  <c r="I855" i="8"/>
  <c r="I1144" i="8"/>
  <c r="I1654" i="8"/>
  <c r="G1076" i="8"/>
  <c r="G515" i="8"/>
  <c r="G974" i="8"/>
  <c r="G447" i="8"/>
  <c r="G583" i="8"/>
  <c r="G1263" i="8"/>
  <c r="G1059" i="8"/>
  <c r="G498" i="8"/>
  <c r="I906" i="8"/>
  <c r="G566" i="8"/>
  <c r="G1416" i="8"/>
  <c r="G481" i="8"/>
  <c r="G770" i="8"/>
  <c r="G379" i="8"/>
  <c r="G430" i="8"/>
  <c r="G685" i="8"/>
  <c r="I923" i="8"/>
  <c r="G634" i="8"/>
  <c r="G957" i="8"/>
  <c r="M147" i="8"/>
  <c r="G668" i="8"/>
  <c r="I1212" i="8"/>
  <c r="I600" i="8"/>
  <c r="I1042" i="8"/>
  <c r="G549" i="8"/>
  <c r="G804" i="8"/>
  <c r="G1127" i="8"/>
  <c r="G396" i="8"/>
  <c r="M79" i="8"/>
  <c r="G940" i="8"/>
  <c r="G328" i="8"/>
  <c r="I1433" i="8"/>
  <c r="I583" i="8"/>
  <c r="G600" i="8"/>
  <c r="G532" i="8"/>
  <c r="D6" i="7"/>
  <c r="M48" i="8"/>
  <c r="G1603" i="8"/>
  <c r="I1025" i="8"/>
  <c r="I1314" i="8"/>
  <c r="G787" i="8"/>
  <c r="I651" i="8"/>
  <c r="G1450" i="8"/>
  <c r="G1552" i="8"/>
  <c r="I974" i="8"/>
  <c r="I1637" i="8"/>
  <c r="G1246" i="8"/>
  <c r="G1161" i="8"/>
  <c r="E50" i="7"/>
  <c r="E58" i="7"/>
  <c r="D49" i="7"/>
  <c r="D43" i="7"/>
  <c r="D64" i="7"/>
  <c r="D74" i="7"/>
  <c r="I74" i="7" s="1"/>
  <c r="D86" i="7"/>
  <c r="I86" i="7" s="1"/>
  <c r="F4" i="7"/>
  <c r="D76" i="7"/>
  <c r="I76" i="7" s="1"/>
  <c r="D7" i="7"/>
  <c r="D13" i="7"/>
  <c r="E77" i="7"/>
  <c r="D87" i="7"/>
  <c r="D88" i="7"/>
  <c r="E92" i="7"/>
  <c r="E86" i="7"/>
  <c r="E37" i="7"/>
  <c r="D84" i="7"/>
  <c r="M25" i="8"/>
  <c r="E26" i="7"/>
  <c r="M59" i="8"/>
  <c r="I821" i="8"/>
  <c r="I991" i="8"/>
  <c r="I804" i="8"/>
  <c r="I1076" i="8"/>
  <c r="I1620" i="8"/>
  <c r="I872" i="8"/>
  <c r="I617" i="8"/>
  <c r="G889" i="8"/>
  <c r="G1467" i="8"/>
  <c r="G1229" i="8"/>
  <c r="G1348" i="8"/>
  <c r="G1382" i="8"/>
  <c r="G753" i="8"/>
  <c r="G1025" i="8"/>
  <c r="G413" i="8"/>
  <c r="E45" i="7"/>
  <c r="E57" i="7"/>
  <c r="D53" i="7"/>
  <c r="D46" i="7"/>
  <c r="E67" i="7"/>
  <c r="D68" i="7"/>
  <c r="D59" i="7"/>
  <c r="D48" i="7"/>
  <c r="D85" i="7"/>
  <c r="I85" i="7" s="1"/>
  <c r="E73" i="7"/>
  <c r="E78" i="7"/>
  <c r="D91" i="7"/>
  <c r="I91" i="7" s="1"/>
  <c r="E87" i="7"/>
  <c r="E71" i="7"/>
  <c r="D99" i="7"/>
  <c r="E80" i="7"/>
  <c r="D75" i="7"/>
  <c r="D37" i="7"/>
  <c r="E74" i="7"/>
  <c r="E20" i="7"/>
  <c r="D32" i="7"/>
  <c r="E64" i="7"/>
  <c r="I1348" i="8"/>
  <c r="I719" i="8"/>
  <c r="I1586" i="8"/>
  <c r="I889" i="8"/>
  <c r="I1552" i="8"/>
  <c r="I1484" i="8"/>
  <c r="I1127" i="8"/>
  <c r="I447" i="8"/>
  <c r="I294" i="8"/>
  <c r="G1586" i="8"/>
  <c r="G702" i="8"/>
  <c r="G736" i="8"/>
  <c r="G1212" i="8"/>
  <c r="G1433" i="8"/>
  <c r="G1518" i="8"/>
  <c r="G464" i="8"/>
  <c r="E60" i="7"/>
  <c r="E65" i="7"/>
  <c r="E56" i="7"/>
  <c r="D57" i="7"/>
  <c r="D56" i="7"/>
  <c r="D47" i="7"/>
  <c r="D55" i="7"/>
  <c r="E42" i="7"/>
  <c r="E43" i="7"/>
  <c r="E33" i="7"/>
  <c r="D95" i="7"/>
  <c r="I95" i="7" s="1"/>
  <c r="F5" i="7"/>
  <c r="E93" i="7"/>
  <c r="E99" i="7"/>
  <c r="D78" i="7"/>
  <c r="D38" i="7"/>
  <c r="D30" i="7"/>
  <c r="D80" i="7"/>
  <c r="D19" i="7"/>
  <c r="D77" i="7"/>
  <c r="E81" i="7"/>
  <c r="E76" i="7"/>
  <c r="M334" i="8"/>
  <c r="I1178" i="8"/>
  <c r="I634" i="8"/>
  <c r="I1365" i="8"/>
  <c r="I702" i="8"/>
  <c r="I1110" i="8"/>
  <c r="I1450" i="8"/>
  <c r="I1382" i="8"/>
  <c r="G1399" i="8"/>
  <c r="G821" i="8"/>
  <c r="G617" i="8"/>
  <c r="G1314" i="8"/>
  <c r="G1501" i="8"/>
  <c r="G1535" i="8"/>
  <c r="E51" i="7"/>
  <c r="E46" i="7"/>
  <c r="E54" i="7"/>
  <c r="E68" i="7"/>
  <c r="E66" i="7"/>
  <c r="D63" i="7"/>
  <c r="D5" i="7"/>
  <c r="E31" i="7"/>
  <c r="E89" i="7"/>
  <c r="E23" i="7"/>
  <c r="D33" i="7"/>
  <c r="E75" i="7"/>
  <c r="D93" i="7"/>
  <c r="F11" i="7"/>
  <c r="D82" i="7"/>
  <c r="E19" i="7"/>
  <c r="E85" i="7"/>
  <c r="D73" i="7"/>
  <c r="D96" i="7"/>
  <c r="F15" i="7"/>
  <c r="M31" i="8"/>
  <c r="M487" i="8"/>
  <c r="M76" i="8"/>
  <c r="G3" i="7"/>
  <c r="I1603" i="8"/>
  <c r="I532" i="8"/>
  <c r="I549" i="8"/>
  <c r="I1093" i="8"/>
  <c r="I787" i="8"/>
  <c r="I1263" i="8"/>
  <c r="I1229" i="8"/>
  <c r="I1467" i="8"/>
  <c r="I1008" i="8"/>
  <c r="G906" i="8"/>
  <c r="G872" i="8"/>
  <c r="G719" i="8"/>
  <c r="G1280" i="8"/>
  <c r="G1331" i="8"/>
  <c r="G1178" i="8"/>
  <c r="G923" i="8"/>
  <c r="G362" i="8"/>
  <c r="G1008" i="8"/>
  <c r="G311" i="8"/>
  <c r="E47" i="7"/>
  <c r="E49" i="7"/>
  <c r="E48" i="7"/>
  <c r="E52" i="7"/>
  <c r="D66" i="7"/>
  <c r="D81" i="7"/>
  <c r="I81" i="7" s="1"/>
  <c r="E38" i="7"/>
  <c r="E34" i="7"/>
  <c r="E30" i="7"/>
  <c r="E72" i="7"/>
  <c r="D72" i="7"/>
  <c r="D35" i="7"/>
  <c r="E97" i="7"/>
  <c r="D27" i="7"/>
  <c r="D25" i="7"/>
  <c r="E24" i="7"/>
  <c r="D90" i="7"/>
  <c r="D8" i="7"/>
  <c r="I1501" i="8"/>
  <c r="I498" i="8"/>
  <c r="I1518" i="8"/>
  <c r="I1399" i="8"/>
  <c r="I1535" i="8"/>
  <c r="I1569" i="8"/>
  <c r="I1297" i="8"/>
  <c r="G855" i="8"/>
  <c r="G1365" i="8"/>
  <c r="G1620" i="8"/>
  <c r="G1144" i="8"/>
  <c r="G1484" i="8"/>
  <c r="G1297" i="8"/>
  <c r="G345" i="8"/>
  <c r="G294" i="8"/>
  <c r="I1195" i="8"/>
  <c r="I1059" i="8"/>
  <c r="I1671" i="8"/>
  <c r="I940" i="8"/>
  <c r="I1416" i="8"/>
  <c r="I1331" i="8"/>
  <c r="I1161" i="8"/>
  <c r="G1569" i="8"/>
  <c r="G1654" i="8"/>
  <c r="G1671" i="8"/>
  <c r="G1637" i="8"/>
  <c r="G1110" i="8"/>
  <c r="G1093" i="8"/>
  <c r="G838" i="8"/>
  <c r="G1042" i="8"/>
  <c r="I243" i="8"/>
  <c r="E27" i="7"/>
  <c r="E29" i="7"/>
  <c r="I175" i="8"/>
  <c r="I226" i="8"/>
  <c r="E13" i="7"/>
  <c r="I328" i="8"/>
  <c r="I396" i="8"/>
  <c r="I770" i="8"/>
  <c r="I158" i="8"/>
  <c r="I192" i="8"/>
  <c r="I957" i="8"/>
  <c r="I209" i="8"/>
  <c r="I362" i="8"/>
  <c r="I1246" i="8"/>
  <c r="I838" i="8"/>
  <c r="I413" i="8"/>
  <c r="I753" i="8"/>
  <c r="I464" i="8"/>
  <c r="I430" i="8"/>
  <c r="H6" i="7"/>
  <c r="M45" i="8"/>
  <c r="H4" i="7"/>
  <c r="I311" i="8"/>
  <c r="M263" i="8"/>
  <c r="M348" i="8"/>
  <c r="I379" i="8"/>
  <c r="I345" i="8"/>
  <c r="I260" i="8"/>
  <c r="F48" i="7"/>
  <c r="F62" i="7"/>
  <c r="F61" i="7"/>
  <c r="F70" i="7"/>
  <c r="F85" i="7"/>
  <c r="F86" i="7"/>
  <c r="F79" i="7"/>
  <c r="F37" i="7"/>
  <c r="F69" i="7"/>
  <c r="M484" i="8"/>
  <c r="M116" i="8"/>
  <c r="M99" i="8"/>
  <c r="M280" i="8"/>
  <c r="M127" i="8"/>
  <c r="M467" i="8"/>
  <c r="M365" i="8"/>
  <c r="F57" i="7"/>
  <c r="F65" i="7"/>
  <c r="F43" i="7"/>
  <c r="F51" i="7"/>
  <c r="F96" i="7"/>
  <c r="F90" i="7"/>
  <c r="F25" i="7"/>
  <c r="F95" i="7"/>
  <c r="F9" i="7"/>
  <c r="F36" i="7"/>
  <c r="F39" i="7"/>
  <c r="F99" i="7"/>
  <c r="F23" i="7"/>
  <c r="F10" i="7"/>
  <c r="F12" i="7"/>
  <c r="M399" i="8"/>
  <c r="M1266" i="8"/>
  <c r="F64" i="7"/>
  <c r="F55" i="7"/>
  <c r="F42" i="7"/>
  <c r="F52" i="7"/>
  <c r="F68" i="7"/>
  <c r="F32" i="7"/>
  <c r="F24" i="7"/>
  <c r="F80" i="7"/>
  <c r="F93" i="7"/>
  <c r="F71" i="7"/>
  <c r="F41" i="7"/>
  <c r="F40" i="7"/>
  <c r="M314" i="8"/>
  <c r="M286" i="8"/>
  <c r="F16" i="7"/>
  <c r="M195" i="8"/>
  <c r="M212" i="8"/>
  <c r="F58" i="7"/>
  <c r="F53" i="7"/>
  <c r="F59" i="7"/>
  <c r="F67" i="7"/>
  <c r="F20" i="7"/>
  <c r="F91" i="7"/>
  <c r="F18" i="7"/>
  <c r="F38" i="7"/>
  <c r="F21" i="7"/>
  <c r="F75" i="7"/>
  <c r="F97" i="7"/>
  <c r="M473" i="8"/>
  <c r="M110" i="8"/>
  <c r="M161" i="8"/>
  <c r="M450" i="8"/>
  <c r="M331" i="8"/>
  <c r="F56" i="7"/>
  <c r="F63" i="7"/>
  <c r="F84" i="7"/>
  <c r="F74" i="7"/>
  <c r="F92" i="7"/>
  <c r="F77" i="7"/>
  <c r="F73" i="7"/>
  <c r="F54" i="7"/>
  <c r="F47" i="7"/>
  <c r="F66" i="7"/>
  <c r="F49" i="7"/>
  <c r="F22" i="7"/>
  <c r="F76" i="7"/>
  <c r="F83" i="7"/>
  <c r="F78" i="7"/>
  <c r="F29" i="7"/>
  <c r="F89" i="7"/>
  <c r="F45" i="7"/>
  <c r="F44" i="7"/>
  <c r="F6" i="7"/>
  <c r="F72" i="7"/>
  <c r="F81" i="7"/>
  <c r="F35" i="7"/>
  <c r="F31" i="7"/>
  <c r="F27" i="7"/>
  <c r="F33" i="7"/>
  <c r="F8" i="7"/>
  <c r="F98" i="7"/>
  <c r="F28" i="7"/>
  <c r="M269" i="8"/>
  <c r="H1275" i="8"/>
  <c r="M351" i="8"/>
  <c r="M93" i="8"/>
  <c r="M215" i="8"/>
  <c r="D28" i="7"/>
  <c r="O13" i="15"/>
  <c r="E3" i="7"/>
  <c r="P7" i="15"/>
  <c r="P5" i="15"/>
  <c r="E2" i="7"/>
  <c r="F30" i="7"/>
  <c r="O11" i="15"/>
  <c r="M940" i="8" s="1"/>
  <c r="F7" i="7"/>
  <c r="D45" i="7"/>
  <c r="D58" i="7"/>
  <c r="D42" i="7"/>
  <c r="D51" i="7"/>
  <c r="G20" i="7"/>
  <c r="G26" i="7"/>
  <c r="H493" i="8"/>
  <c r="G16" i="7"/>
  <c r="G23" i="7"/>
  <c r="M317" i="8"/>
  <c r="M980" i="8"/>
  <c r="H1037" i="8"/>
  <c r="M640" i="8"/>
  <c r="M1068" i="8"/>
  <c r="M949" i="8"/>
  <c r="M558" i="8"/>
  <c r="M555" i="8"/>
  <c r="H595" i="8"/>
  <c r="H663" i="8"/>
  <c r="M623" i="8"/>
  <c r="M932" i="8"/>
  <c r="M1371" i="8"/>
  <c r="M1334" i="8"/>
  <c r="M1510" i="8"/>
  <c r="M1663" i="8"/>
  <c r="M1575" i="8"/>
  <c r="M1221" i="8"/>
  <c r="M1388" i="8"/>
  <c r="M1093" i="8"/>
  <c r="M1025" i="8"/>
  <c r="M1365" i="8"/>
  <c r="M498" i="8"/>
  <c r="M1558" i="8"/>
  <c r="H1445" i="8"/>
  <c r="H1632" i="8"/>
  <c r="L617" i="8"/>
  <c r="L889" i="8"/>
  <c r="L1586" i="8"/>
  <c r="L1093" i="8"/>
  <c r="L1654" i="8"/>
  <c r="L600" i="8"/>
  <c r="L634" i="8"/>
  <c r="M1521" i="8"/>
  <c r="M1439" i="8"/>
  <c r="L532" i="8"/>
  <c r="M1442" i="8"/>
  <c r="D44" i="7"/>
  <c r="D54" i="7"/>
  <c r="M150" i="8"/>
  <c r="M371" i="8"/>
  <c r="G8" i="7"/>
  <c r="M65" i="8"/>
  <c r="M385" i="8"/>
  <c r="G17" i="7"/>
  <c r="M252" i="8"/>
  <c r="M745" i="8"/>
  <c r="M742" i="8"/>
  <c r="M739" i="8"/>
  <c r="M977" i="8"/>
  <c r="M983" i="8"/>
  <c r="H799" i="8"/>
  <c r="M1028" i="8"/>
  <c r="M671" i="8"/>
  <c r="H1088" i="8"/>
  <c r="H952" i="8"/>
  <c r="H901" i="8"/>
  <c r="M892" i="8"/>
  <c r="M830" i="8"/>
  <c r="M626" i="8"/>
  <c r="H765" i="8"/>
  <c r="M861" i="8"/>
  <c r="M864" i="8"/>
  <c r="M1170" i="8"/>
  <c r="M1374" i="8"/>
  <c r="H1343" i="8"/>
  <c r="M1419" i="8"/>
  <c r="H1666" i="8"/>
  <c r="M1150" i="8"/>
  <c r="H1462" i="8"/>
  <c r="M1680" i="8"/>
  <c r="M1487" i="8"/>
  <c r="H1139" i="8"/>
  <c r="H1224" i="8"/>
  <c r="M1606" i="8"/>
  <c r="M1238" i="8"/>
  <c r="H1309" i="8"/>
  <c r="H1207" i="8"/>
  <c r="M1195" i="8"/>
  <c r="M1501" i="8"/>
  <c r="M1144" i="8"/>
  <c r="M906" i="8"/>
  <c r="M1561" i="8"/>
  <c r="L821" i="8"/>
  <c r="L1433" i="8"/>
  <c r="L872" i="8"/>
  <c r="L1484" i="8"/>
  <c r="L1467" i="8"/>
  <c r="L1535" i="8"/>
  <c r="L566" i="8"/>
  <c r="M722" i="8"/>
  <c r="E91" i="7"/>
  <c r="M1629" i="8"/>
  <c r="L991" i="8"/>
  <c r="L736" i="8"/>
  <c r="G4" i="7"/>
  <c r="G80" i="7"/>
  <c r="G99" i="7"/>
  <c r="G93" i="7"/>
  <c r="G76" i="7"/>
  <c r="G84" i="7"/>
  <c r="G39" i="7"/>
  <c r="G85" i="7"/>
  <c r="G81" i="7"/>
  <c r="G79" i="7"/>
  <c r="G32" i="7"/>
  <c r="G74" i="7"/>
  <c r="G88" i="7"/>
  <c r="G94" i="7"/>
  <c r="G98" i="7"/>
  <c r="G92" i="7"/>
  <c r="G82" i="7"/>
  <c r="G77" i="7"/>
  <c r="G33" i="7"/>
  <c r="G97" i="7"/>
  <c r="G73" i="7"/>
  <c r="G38" i="7"/>
  <c r="G95" i="7"/>
  <c r="G91" i="7"/>
  <c r="G40" i="7"/>
  <c r="G83" i="7"/>
  <c r="G87" i="7"/>
  <c r="G37" i="7"/>
  <c r="G41" i="7"/>
  <c r="G36" i="7"/>
  <c r="G71" i="7"/>
  <c r="G86" i="7"/>
  <c r="G90" i="7"/>
  <c r="G35" i="7"/>
  <c r="G96" i="7"/>
  <c r="G31" i="7"/>
  <c r="G78" i="7"/>
  <c r="G89" i="7"/>
  <c r="G72" i="7"/>
  <c r="G34" i="7"/>
  <c r="G75" i="7"/>
  <c r="D22" i="7"/>
  <c r="M501" i="8"/>
  <c r="M504" i="8"/>
  <c r="H884" i="8"/>
  <c r="H748" i="8"/>
  <c r="M790" i="8"/>
  <c r="M793" i="8"/>
  <c r="M1031" i="8"/>
  <c r="M1034" i="8"/>
  <c r="H646" i="8"/>
  <c r="M677" i="8"/>
  <c r="M1079" i="8"/>
  <c r="M1082" i="8"/>
  <c r="M943" i="8"/>
  <c r="M946" i="8"/>
  <c r="M552" i="8"/>
  <c r="M603" i="8"/>
  <c r="M779" i="8"/>
  <c r="M592" i="8"/>
  <c r="M898" i="8"/>
  <c r="H1003" i="8"/>
  <c r="M708" i="8"/>
  <c r="M1167" i="8"/>
  <c r="M1337" i="8"/>
  <c r="M1425" i="8"/>
  <c r="M1323" i="8"/>
  <c r="M1657" i="8"/>
  <c r="M1660" i="8"/>
  <c r="M1153" i="8"/>
  <c r="M1490" i="8"/>
  <c r="M1493" i="8"/>
  <c r="M1184" i="8"/>
  <c r="H1190" i="8"/>
  <c r="M1136" i="8"/>
  <c r="M1133" i="8"/>
  <c r="M1538" i="8"/>
  <c r="M1541" i="8"/>
  <c r="H1615" i="8"/>
  <c r="M1612" i="8"/>
  <c r="M1306" i="8"/>
  <c r="M1303" i="8"/>
  <c r="M1351" i="8"/>
  <c r="M1289" i="8"/>
  <c r="H1394" i="8"/>
  <c r="M753" i="8"/>
  <c r="M600" i="8"/>
  <c r="M1416" i="8"/>
  <c r="M1348" i="8"/>
  <c r="M1229" i="8"/>
  <c r="M1297" i="8"/>
  <c r="M515" i="8"/>
  <c r="M1433" i="8"/>
  <c r="M651" i="8"/>
  <c r="H1530" i="8"/>
  <c r="L1416" i="8"/>
  <c r="L1501" i="8"/>
  <c r="L1450" i="8"/>
  <c r="L957" i="8"/>
  <c r="L1620" i="8"/>
  <c r="L1399" i="8"/>
  <c r="L1348" i="8"/>
  <c r="M1623" i="8"/>
  <c r="L498" i="8"/>
  <c r="L719" i="8"/>
  <c r="M1476" i="8"/>
  <c r="L974" i="8"/>
  <c r="L753" i="8"/>
  <c r="L141" i="8"/>
  <c r="M96" i="8"/>
  <c r="H544" i="8"/>
  <c r="M507" i="8"/>
  <c r="H527" i="8"/>
  <c r="M875" i="8"/>
  <c r="M637" i="8"/>
  <c r="M841" i="8"/>
  <c r="M1085" i="8"/>
  <c r="M688" i="8"/>
  <c r="M691" i="8"/>
  <c r="M586" i="8"/>
  <c r="M657" i="8"/>
  <c r="M997" i="8"/>
  <c r="M994" i="8"/>
  <c r="M705" i="8"/>
  <c r="M762" i="8"/>
  <c r="M1164" i="8"/>
  <c r="M1368" i="8"/>
  <c r="H1513" i="8"/>
  <c r="H1428" i="8"/>
  <c r="M1130" i="8"/>
  <c r="M1119" i="8"/>
  <c r="M1544" i="8"/>
  <c r="M1235" i="8"/>
  <c r="H1292" i="8"/>
  <c r="M1385" i="8"/>
  <c r="M1654" i="8"/>
  <c r="M957" i="8"/>
  <c r="M1603" i="8"/>
  <c r="M1382" i="8"/>
  <c r="M1314" i="8"/>
  <c r="M1331" i="8"/>
  <c r="M1212" i="8"/>
  <c r="H78" i="7"/>
  <c r="M770" i="8"/>
  <c r="H1564" i="8"/>
  <c r="L1059" i="8"/>
  <c r="H1258" i="8"/>
  <c r="L549" i="8"/>
  <c r="L1144" i="8"/>
  <c r="L1297" i="8"/>
  <c r="L702" i="8"/>
  <c r="L1314" i="8"/>
  <c r="L1110" i="8"/>
  <c r="L1365" i="8"/>
  <c r="M1436" i="8"/>
  <c r="L515" i="8"/>
  <c r="M1255" i="8"/>
  <c r="M804" i="8"/>
  <c r="M201" i="8"/>
  <c r="M300" i="8"/>
  <c r="E11" i="7"/>
  <c r="M433" i="8"/>
  <c r="M535" i="8"/>
  <c r="M538" i="8"/>
  <c r="M518" i="8"/>
  <c r="M521" i="8"/>
  <c r="M878" i="8"/>
  <c r="M643" i="8"/>
  <c r="M847" i="8"/>
  <c r="H816" i="8"/>
  <c r="H969" i="8"/>
  <c r="H612" i="8"/>
  <c r="M1045" i="8"/>
  <c r="M1048" i="8"/>
  <c r="M1000" i="8"/>
  <c r="M572" i="8"/>
  <c r="M575" i="8"/>
  <c r="M711" i="8"/>
  <c r="M756" i="8"/>
  <c r="M759" i="8"/>
  <c r="M909" i="8"/>
  <c r="M912" i="8"/>
  <c r="M1504" i="8"/>
  <c r="M1320" i="8"/>
  <c r="H1326" i="8"/>
  <c r="H1156" i="8"/>
  <c r="H1683" i="8"/>
  <c r="M1181" i="8"/>
  <c r="M1187" i="8"/>
  <c r="M1113" i="8"/>
  <c r="H1241" i="8"/>
  <c r="M1096" i="8"/>
  <c r="M1300" i="8"/>
  <c r="M1357" i="8"/>
  <c r="H1360" i="8"/>
  <c r="M1283" i="8"/>
  <c r="M1391" i="8"/>
  <c r="M1620" i="8"/>
  <c r="M872" i="8"/>
  <c r="M1518" i="8"/>
  <c r="M838" i="8"/>
  <c r="M1467" i="8"/>
  <c r="M1399" i="8"/>
  <c r="M1246" i="8"/>
  <c r="M1127" i="8"/>
  <c r="M1059" i="8"/>
  <c r="M725" i="8"/>
  <c r="L1637" i="8"/>
  <c r="L1025" i="8"/>
  <c r="L1212" i="8"/>
  <c r="L1603" i="8"/>
  <c r="L1178" i="8"/>
  <c r="L1161" i="8"/>
  <c r="L1127" i="8"/>
  <c r="M1269" i="8"/>
  <c r="D89" i="7"/>
  <c r="L923" i="8"/>
  <c r="E17" i="7"/>
  <c r="M42" i="8"/>
  <c r="F82" i="7"/>
  <c r="M541" i="8"/>
  <c r="H510" i="8"/>
  <c r="M524" i="8"/>
  <c r="M881" i="8"/>
  <c r="H680" i="8"/>
  <c r="M810" i="8"/>
  <c r="H1020" i="8"/>
  <c r="M960" i="8"/>
  <c r="M963" i="8"/>
  <c r="M694" i="8"/>
  <c r="H697" i="8"/>
  <c r="M606" i="8"/>
  <c r="M773" i="8"/>
  <c r="M1051" i="8"/>
  <c r="M827" i="8"/>
  <c r="H714" i="8"/>
  <c r="M915" i="8"/>
  <c r="M1646" i="8"/>
  <c r="M1317" i="8"/>
  <c r="M1459" i="8"/>
  <c r="M1674" i="8"/>
  <c r="M1677" i="8"/>
  <c r="M1572" i="8"/>
  <c r="M1592" i="8"/>
  <c r="H1598" i="8"/>
  <c r="H1411" i="8"/>
  <c r="M1201" i="8"/>
  <c r="M1354" i="8"/>
  <c r="M821" i="8"/>
  <c r="M736" i="8"/>
  <c r="M719" i="8"/>
  <c r="M549" i="8"/>
  <c r="M566" i="8"/>
  <c r="M1671" i="8"/>
  <c r="M1450" i="8"/>
  <c r="M1178" i="8"/>
  <c r="M858" i="8"/>
  <c r="M1473" i="8"/>
  <c r="H867" i="8"/>
  <c r="L1008" i="8"/>
  <c r="M617" i="8"/>
  <c r="L855" i="8"/>
  <c r="L940" i="8"/>
  <c r="L1280" i="8"/>
  <c r="L1671" i="8"/>
  <c r="L1263" i="8"/>
  <c r="L1195" i="8"/>
  <c r="L1518" i="8"/>
  <c r="M1249" i="8"/>
  <c r="M1524" i="8"/>
  <c r="H850" i="8"/>
  <c r="M813" i="8"/>
  <c r="H1071" i="8"/>
  <c r="M1014" i="8"/>
  <c r="M1011" i="8"/>
  <c r="M966" i="8"/>
  <c r="H561" i="8"/>
  <c r="M609" i="8"/>
  <c r="H782" i="8"/>
  <c r="M654" i="8"/>
  <c r="M569" i="8"/>
  <c r="H578" i="8"/>
  <c r="H935" i="8"/>
  <c r="H1649" i="8"/>
  <c r="M1147" i="8"/>
  <c r="M1578" i="8"/>
  <c r="H1122" i="8"/>
  <c r="M1215" i="8"/>
  <c r="M1609" i="8"/>
  <c r="M1232" i="8"/>
  <c r="M1589" i="8"/>
  <c r="H1105" i="8"/>
  <c r="M1102" i="8"/>
  <c r="M1402" i="8"/>
  <c r="M1198" i="8"/>
  <c r="M991" i="8"/>
  <c r="M923" i="8"/>
  <c r="M974" i="8"/>
  <c r="M532" i="8"/>
  <c r="M668" i="8"/>
  <c r="M583" i="8"/>
  <c r="M1637" i="8"/>
  <c r="M1263" i="8"/>
  <c r="L1042" i="8"/>
  <c r="M1076" i="8"/>
  <c r="L583" i="8"/>
  <c r="L906" i="8"/>
  <c r="L804" i="8"/>
  <c r="L1246" i="8"/>
  <c r="L685" i="8"/>
  <c r="L1382" i="8"/>
  <c r="L838" i="8"/>
  <c r="M1626" i="8"/>
  <c r="M1272" i="8"/>
  <c r="L787" i="8"/>
  <c r="H731" i="8"/>
  <c r="H986" i="8"/>
  <c r="M796" i="8"/>
  <c r="M674" i="8"/>
  <c r="M844" i="8"/>
  <c r="M807" i="8"/>
  <c r="M1062" i="8"/>
  <c r="M1065" i="8"/>
  <c r="M1017" i="8"/>
  <c r="M776" i="8"/>
  <c r="M589" i="8"/>
  <c r="M895" i="8"/>
  <c r="H1054" i="8"/>
  <c r="M824" i="8"/>
  <c r="H833" i="8"/>
  <c r="M660" i="8"/>
  <c r="M620" i="8"/>
  <c r="H629" i="8"/>
  <c r="H918" i="8"/>
  <c r="M926" i="8"/>
  <c r="M929" i="8"/>
  <c r="H1173" i="8"/>
  <c r="H1377" i="8"/>
  <c r="M1340" i="8"/>
  <c r="M1507" i="8"/>
  <c r="M1640" i="8"/>
  <c r="M1643" i="8"/>
  <c r="M1422" i="8"/>
  <c r="M1453" i="8"/>
  <c r="M1456" i="8"/>
  <c r="H1496" i="8"/>
  <c r="H1581" i="8"/>
  <c r="M1116" i="8"/>
  <c r="M1218" i="8"/>
  <c r="H1547" i="8"/>
  <c r="M1595" i="8"/>
  <c r="M1099" i="8"/>
  <c r="M1405" i="8"/>
  <c r="M1408" i="8"/>
  <c r="M1204" i="8"/>
  <c r="M1286" i="8"/>
  <c r="M889" i="8"/>
  <c r="M1042" i="8"/>
  <c r="M787" i="8"/>
  <c r="M702" i="8"/>
  <c r="M1008" i="8"/>
  <c r="M634" i="8"/>
  <c r="M1110" i="8"/>
  <c r="M1535" i="8"/>
  <c r="M1470" i="8"/>
  <c r="M1555" i="8"/>
  <c r="H1479" i="8"/>
  <c r="M855" i="8"/>
  <c r="L770" i="8"/>
  <c r="L1076" i="8"/>
  <c r="L1569" i="8"/>
  <c r="L1331" i="8"/>
  <c r="L1552" i="8"/>
  <c r="L668" i="8"/>
  <c r="L1229" i="8"/>
  <c r="M1252" i="8"/>
  <c r="L651" i="8"/>
  <c r="M728" i="8"/>
  <c r="M1527" i="8"/>
  <c r="E21" i="7"/>
  <c r="E4" i="7"/>
  <c r="D17" i="7"/>
  <c r="E12" i="7"/>
  <c r="E22" i="7"/>
  <c r="I22" i="7" s="1"/>
  <c r="L464" i="8"/>
  <c r="L345" i="8"/>
  <c r="L209" i="8"/>
  <c r="L311" i="8"/>
  <c r="G13" i="7"/>
  <c r="G9" i="7"/>
  <c r="G25" i="7"/>
  <c r="M453" i="8"/>
  <c r="G19" i="7"/>
  <c r="M283" i="8"/>
  <c r="L107" i="8"/>
  <c r="L226" i="8"/>
  <c r="L379" i="8"/>
  <c r="L447" i="8"/>
  <c r="D12" i="7"/>
  <c r="M320" i="8"/>
  <c r="M133" i="8"/>
  <c r="G21" i="7"/>
  <c r="G14" i="7"/>
  <c r="G10" i="7"/>
  <c r="M402" i="8"/>
  <c r="M130" i="8"/>
  <c r="L294" i="8"/>
  <c r="L56" i="8"/>
  <c r="L396" i="8"/>
  <c r="L430" i="8"/>
  <c r="L328" i="8"/>
  <c r="L481" i="8"/>
  <c r="G29" i="7"/>
  <c r="M456" i="8"/>
  <c r="G28" i="7"/>
  <c r="M354" i="8"/>
  <c r="G12" i="7"/>
  <c r="G7" i="7"/>
  <c r="G6" i="7"/>
  <c r="I6" i="7" s="1"/>
  <c r="M490" i="8"/>
  <c r="M368" i="8"/>
  <c r="M218" i="8"/>
  <c r="G22" i="7"/>
  <c r="M232" i="8"/>
  <c r="M405" i="8"/>
  <c r="H170" i="8"/>
  <c r="O16" i="15"/>
  <c r="H15" i="7" s="1"/>
  <c r="L413" i="8"/>
  <c r="G15" i="7"/>
  <c r="G27" i="7"/>
  <c r="I27" i="7" s="1"/>
  <c r="G18" i="7"/>
  <c r="M388" i="8"/>
  <c r="G24" i="7"/>
  <c r="G11" i="7"/>
  <c r="D3" i="7"/>
  <c r="M184" i="8"/>
  <c r="M422" i="8"/>
  <c r="H221" i="8"/>
  <c r="M416" i="8"/>
  <c r="M419" i="8"/>
  <c r="H102" i="8"/>
  <c r="M246" i="8"/>
  <c r="H306" i="8"/>
  <c r="H442" i="8"/>
  <c r="D18" i="7"/>
  <c r="F14" i="7"/>
  <c r="M198" i="8"/>
  <c r="M178" i="8"/>
  <c r="M144" i="8"/>
  <c r="M235" i="8"/>
  <c r="H357" i="8"/>
  <c r="H374" i="8"/>
  <c r="H289" i="8"/>
  <c r="H323" i="8"/>
  <c r="M436" i="8"/>
  <c r="M439" i="8"/>
  <c r="H408" i="8"/>
  <c r="O29" i="15"/>
  <c r="H28" i="7" s="1"/>
  <c r="C447" i="8"/>
  <c r="O20" i="15"/>
  <c r="H19" i="7" s="1"/>
  <c r="C294" i="8"/>
  <c r="F13" i="7"/>
  <c r="E28" i="7"/>
  <c r="H34" i="8"/>
  <c r="M113" i="8"/>
  <c r="H119" i="8"/>
  <c r="M266" i="8"/>
  <c r="H272" i="8"/>
  <c r="M337" i="8"/>
  <c r="H340" i="8"/>
  <c r="E18" i="7"/>
  <c r="H85" i="8"/>
  <c r="H238" i="8"/>
  <c r="M303" i="8"/>
  <c r="H136" i="8"/>
  <c r="M164" i="8"/>
  <c r="M229" i="8"/>
  <c r="H476" i="8"/>
  <c r="M297" i="8"/>
  <c r="H459" i="8"/>
  <c r="H391" i="8"/>
  <c r="E5" i="7"/>
  <c r="M62" i="8"/>
  <c r="G5" i="7"/>
  <c r="H68" i="8"/>
  <c r="H51" i="8"/>
  <c r="M82" i="8"/>
  <c r="M470" i="8"/>
  <c r="M382" i="8"/>
  <c r="H204" i="8"/>
  <c r="H187" i="8"/>
  <c r="H255" i="8"/>
  <c r="M167" i="8"/>
  <c r="H153" i="8"/>
  <c r="H425" i="8"/>
  <c r="H52" i="7"/>
  <c r="M311" i="8"/>
  <c r="H24" i="7"/>
  <c r="I24" i="7" s="1"/>
  <c r="M379" i="8"/>
  <c r="H48" i="7"/>
  <c r="M362" i="8"/>
  <c r="H66" i="7"/>
  <c r="M73" i="8"/>
  <c r="H68" i="7"/>
  <c r="M39" i="8"/>
  <c r="H5" i="7"/>
  <c r="M56" i="8"/>
  <c r="H7" i="7"/>
  <c r="M90" i="8"/>
  <c r="H21" i="7"/>
  <c r="M328" i="8"/>
  <c r="H12" i="7"/>
  <c r="M175" i="8"/>
  <c r="H17" i="7"/>
  <c r="M260" i="8"/>
  <c r="H26" i="7"/>
  <c r="I26" i="7" s="1"/>
  <c r="M413" i="8"/>
  <c r="H8" i="7"/>
  <c r="I8" i="7" s="1"/>
  <c r="M107" i="8"/>
  <c r="M226" i="8"/>
  <c r="H13" i="7"/>
  <c r="M192" i="8"/>
  <c r="H57" i="7"/>
  <c r="M243" i="8"/>
  <c r="H20" i="7"/>
  <c r="I20" i="7" s="1"/>
  <c r="H55" i="7"/>
  <c r="M277" i="8"/>
  <c r="H54" i="7"/>
  <c r="H3" i="7"/>
  <c r="M22" i="8"/>
  <c r="H44" i="7"/>
  <c r="M430" i="8"/>
  <c r="H9" i="7"/>
  <c r="M124" i="8"/>
  <c r="P23" i="15"/>
  <c r="M345" i="8"/>
  <c r="H11" i="7"/>
  <c r="M158" i="8"/>
  <c r="H25" i="7"/>
  <c r="M396" i="8"/>
  <c r="H14" i="7"/>
  <c r="M209" i="8"/>
  <c r="H69" i="7"/>
  <c r="M481" i="8"/>
  <c r="H53" i="7"/>
  <c r="M141" i="8"/>
  <c r="F2" i="7"/>
  <c r="D15" i="7"/>
  <c r="P4" i="15"/>
  <c r="D21" i="7"/>
  <c r="F19" i="7"/>
  <c r="D11" i="7"/>
  <c r="H10" i="7"/>
  <c r="H16" i="7"/>
  <c r="I16" i="7" s="1"/>
  <c r="H50" i="7"/>
  <c r="G2" i="7"/>
  <c r="H17" i="8"/>
  <c r="H2" i="7"/>
  <c r="D62" i="7"/>
  <c r="M14" i="8"/>
  <c r="G69" i="7"/>
  <c r="G30" i="7"/>
  <c r="I30" i="7" s="1"/>
  <c r="H18" i="7"/>
  <c r="H23" i="7"/>
  <c r="I23" i="7" s="1"/>
  <c r="I71" i="7"/>
  <c r="I77" i="7"/>
  <c r="I83" i="7"/>
  <c r="I79" i="7"/>
  <c r="I72" i="7"/>
  <c r="I82" i="7"/>
  <c r="I98" i="7"/>
  <c r="I75" i="7"/>
  <c r="I73" i="7"/>
  <c r="I89" i="7"/>
  <c r="I93" i="7"/>
  <c r="I97" i="7"/>
  <c r="I96" i="7"/>
  <c r="I84" i="7"/>
  <c r="I90" i="7"/>
  <c r="I78" i="7"/>
  <c r="I99" i="7"/>
  <c r="I87" i="7"/>
  <c r="I88" i="7"/>
  <c r="I80" i="7"/>
  <c r="P19" i="15"/>
  <c r="I69" i="7"/>
  <c r="P24" i="15"/>
  <c r="P21" i="15"/>
  <c r="P11" i="15"/>
  <c r="P17" i="15"/>
  <c r="P8" i="15"/>
  <c r="H65" i="7"/>
  <c r="P3" i="15"/>
  <c r="H62" i="7"/>
  <c r="P9" i="15"/>
  <c r="H64" i="7"/>
  <c r="P27" i="15"/>
  <c r="H45" i="7"/>
  <c r="P6" i="15"/>
  <c r="H67" i="7"/>
  <c r="P22" i="15"/>
  <c r="H51" i="7"/>
  <c r="P13" i="15"/>
  <c r="H61" i="7"/>
  <c r="P29" i="15"/>
  <c r="H43" i="7"/>
  <c r="P16" i="15"/>
  <c r="H58" i="7"/>
  <c r="P14" i="15"/>
  <c r="H60" i="7"/>
  <c r="P12" i="15"/>
  <c r="H42" i="7"/>
  <c r="P15" i="15"/>
  <c r="H59" i="7"/>
  <c r="P26" i="15"/>
  <c r="H46" i="7"/>
  <c r="P18" i="15"/>
  <c r="H56" i="7"/>
  <c r="P31" i="15"/>
  <c r="P10" i="15"/>
  <c r="H63" i="7"/>
  <c r="P25" i="15"/>
  <c r="H47" i="7"/>
  <c r="O30" i="15"/>
  <c r="D6" i="17"/>
  <c r="D10" i="17"/>
  <c r="D25" i="17"/>
  <c r="D8" i="17"/>
  <c r="D24" i="17"/>
  <c r="D16" i="17"/>
  <c r="D18" i="17"/>
  <c r="D22" i="17"/>
  <c r="D27" i="17"/>
  <c r="D23" i="17"/>
  <c r="D21" i="17"/>
  <c r="D13" i="17"/>
  <c r="D19" i="17"/>
  <c r="D28" i="17"/>
  <c r="D20" i="17"/>
  <c r="D3" i="17"/>
  <c r="D12" i="17"/>
  <c r="C5" i="14"/>
  <c r="C4" i="14"/>
  <c r="I17" i="7" l="1"/>
  <c r="I11" i="7"/>
  <c r="I9" i="7"/>
  <c r="M1161" i="8"/>
  <c r="M1586" i="8"/>
  <c r="M685" i="8"/>
  <c r="M1569" i="8"/>
  <c r="M1552" i="8"/>
  <c r="M1280" i="8"/>
  <c r="M1484" i="8"/>
  <c r="H86" i="7"/>
  <c r="H41" i="7"/>
  <c r="H94" i="7"/>
  <c r="H34" i="7"/>
  <c r="H96" i="7"/>
  <c r="H79" i="7"/>
  <c r="H81" i="7"/>
  <c r="H74" i="7"/>
  <c r="H73" i="7"/>
  <c r="H30" i="7"/>
  <c r="H27" i="7"/>
  <c r="H98" i="7"/>
  <c r="H89" i="7"/>
  <c r="H37" i="7"/>
  <c r="H93" i="7"/>
  <c r="H83" i="7"/>
  <c r="H91" i="7"/>
  <c r="H97" i="7"/>
  <c r="H77" i="7"/>
  <c r="H39" i="7"/>
  <c r="H75" i="7"/>
  <c r="H33" i="7"/>
  <c r="H40" i="7"/>
  <c r="H95" i="7"/>
  <c r="H80" i="7"/>
  <c r="H71" i="7"/>
  <c r="H90" i="7"/>
  <c r="H72" i="7"/>
  <c r="H31" i="7"/>
  <c r="H38" i="7"/>
  <c r="H32" i="7"/>
  <c r="H99" i="7"/>
  <c r="H22" i="7"/>
  <c r="H85" i="7"/>
  <c r="H92" i="7"/>
  <c r="H84" i="7"/>
  <c r="H82" i="7"/>
  <c r="H87" i="7"/>
  <c r="H76" i="7"/>
  <c r="H35" i="7"/>
  <c r="H88" i="7"/>
  <c r="H49" i="7"/>
  <c r="H36" i="7"/>
  <c r="I5" i="7"/>
  <c r="I4" i="7"/>
  <c r="I25" i="7"/>
  <c r="I10" i="7"/>
  <c r="I12" i="7"/>
  <c r="I7" i="7"/>
  <c r="I18" i="7"/>
  <c r="I28" i="7"/>
  <c r="I3" i="7"/>
  <c r="I13" i="7"/>
  <c r="P20" i="15"/>
  <c r="M294" i="8"/>
  <c r="M447" i="8"/>
  <c r="I14" i="7"/>
  <c r="I21" i="7"/>
  <c r="I15" i="7"/>
  <c r="H29" i="7"/>
  <c r="I29" i="7" s="1"/>
  <c r="M464" i="8"/>
  <c r="I2" i="7"/>
  <c r="M17" i="8" s="1"/>
  <c r="I19" i="7"/>
  <c r="P30" i="15"/>
  <c r="H70" i="7"/>
  <c r="G65" i="7"/>
  <c r="I65" i="7" s="1"/>
  <c r="G48" i="7"/>
  <c r="I48" i="7" s="1"/>
  <c r="G57" i="7"/>
  <c r="I57" i="7" s="1"/>
  <c r="G63" i="7"/>
  <c r="I63" i="7" s="1"/>
  <c r="G46" i="7"/>
  <c r="I46" i="7" s="1"/>
  <c r="G45" i="7"/>
  <c r="I45" i="7" s="1"/>
  <c r="G64" i="7"/>
  <c r="I64" i="7" s="1"/>
  <c r="G62" i="7"/>
  <c r="I62" i="7" s="1"/>
  <c r="G54" i="7"/>
  <c r="I54" i="7" s="1"/>
  <c r="G47" i="7"/>
  <c r="I47" i="7" s="1"/>
  <c r="G55" i="7"/>
  <c r="I55" i="7" s="1"/>
  <c r="G50" i="7"/>
  <c r="I50" i="7" s="1"/>
  <c r="G42" i="7"/>
  <c r="I42" i="7" s="1"/>
  <c r="G44" i="7"/>
  <c r="I44" i="7" s="1"/>
  <c r="G68" i="7"/>
  <c r="I68" i="7" s="1"/>
  <c r="G61" i="7"/>
  <c r="I61" i="7" s="1"/>
  <c r="G52" i="7"/>
  <c r="I52" i="7" s="1"/>
  <c r="G43" i="7"/>
  <c r="I43" i="7" s="1"/>
  <c r="G58" i="7"/>
  <c r="I58" i="7" s="1"/>
  <c r="G56" i="7"/>
  <c r="I56" i="7" s="1"/>
  <c r="G51" i="7"/>
  <c r="I51" i="7" s="1"/>
  <c r="G53" i="7"/>
  <c r="I53" i="7" s="1"/>
  <c r="G67" i="7"/>
  <c r="I67" i="7" s="1"/>
  <c r="G60" i="7"/>
  <c r="I60" i="7" s="1"/>
  <c r="G70" i="7"/>
  <c r="G66" i="7"/>
  <c r="I66" i="7" s="1"/>
  <c r="G59" i="7"/>
  <c r="I59" i="7" s="1"/>
  <c r="G49" i="7"/>
  <c r="I49" i="7" s="1"/>
  <c r="M340" i="8" l="1"/>
  <c r="M289" i="8"/>
  <c r="M306" i="8"/>
  <c r="M476" i="8"/>
  <c r="M493" i="8"/>
  <c r="M612" i="8"/>
  <c r="M544" i="8"/>
  <c r="M748" i="8"/>
  <c r="M884" i="8"/>
  <c r="M1071" i="8"/>
  <c r="M170" i="8"/>
  <c r="M1309" i="8"/>
  <c r="M1139" i="8"/>
  <c r="M204" i="8"/>
  <c r="M153" i="8"/>
  <c r="M952" i="8"/>
  <c r="M119" i="8"/>
  <c r="M238" i="8"/>
  <c r="M459" i="8"/>
  <c r="M1054" i="8"/>
  <c r="M1598" i="8"/>
  <c r="M1003" i="8"/>
  <c r="M578" i="8"/>
  <c r="M1564" i="8"/>
  <c r="M1275" i="8"/>
  <c r="M323" i="8"/>
  <c r="M221" i="8"/>
  <c r="M102" i="8"/>
  <c r="M816" i="8"/>
  <c r="M986" i="8"/>
  <c r="M731" i="8"/>
  <c r="M136" i="8"/>
  <c r="M187" i="8"/>
  <c r="M561" i="8"/>
  <c r="M1496" i="8"/>
  <c r="M85" i="8"/>
  <c r="M1683" i="8"/>
  <c r="M799" i="8"/>
  <c r="M391" i="8"/>
  <c r="M969" i="8"/>
  <c r="M1547" i="8"/>
  <c r="M1122" i="8"/>
  <c r="M527" i="8"/>
  <c r="M1581" i="8"/>
  <c r="M1088" i="8"/>
  <c r="M697" i="8"/>
  <c r="M1530" i="8"/>
  <c r="M408" i="8"/>
  <c r="M1360" i="8"/>
  <c r="M1105" i="8"/>
  <c r="M833" i="8"/>
  <c r="M1037" i="8"/>
  <c r="M595" i="8"/>
  <c r="M1666" i="8"/>
  <c r="M1258" i="8"/>
  <c r="M272" i="8"/>
  <c r="M714" i="8"/>
  <c r="M1020" i="8"/>
  <c r="M1411" i="8"/>
  <c r="M629" i="8"/>
  <c r="M901" i="8"/>
  <c r="M1241" i="8"/>
  <c r="M1190" i="8"/>
  <c r="M1445" i="8"/>
  <c r="M442" i="8"/>
  <c r="M68" i="8"/>
  <c r="M918" i="8"/>
  <c r="M1326" i="8"/>
  <c r="M782" i="8"/>
  <c r="M1207" i="8"/>
  <c r="M1173" i="8"/>
  <c r="M1513" i="8"/>
  <c r="M646" i="8"/>
  <c r="M1224" i="8"/>
  <c r="M1632" i="8"/>
  <c r="M425" i="8"/>
  <c r="M935" i="8"/>
  <c r="M1156" i="8"/>
  <c r="M663" i="8"/>
  <c r="M1292" i="8"/>
  <c r="M1377" i="8"/>
  <c r="M1615" i="8"/>
  <c r="M680" i="8"/>
  <c r="M1394" i="8"/>
  <c r="M1479" i="8"/>
  <c r="M357" i="8"/>
  <c r="M255" i="8"/>
  <c r="M1649" i="8"/>
  <c r="M1462" i="8"/>
  <c r="M765" i="8"/>
  <c r="M1428" i="8"/>
  <c r="M1343" i="8"/>
  <c r="M510" i="8"/>
  <c r="M850" i="8"/>
  <c r="M867" i="8"/>
  <c r="M51" i="8"/>
  <c r="M374" i="8"/>
  <c r="M34" i="8"/>
  <c r="I70" i="7"/>
  <c r="C29" i="17"/>
  <c r="C14" i="17"/>
  <c r="C24" i="17"/>
  <c r="C15" i="17"/>
  <c r="C23" i="17"/>
  <c r="C6" i="17"/>
  <c r="C25" i="17"/>
  <c r="C7" i="17"/>
  <c r="C22" i="17"/>
  <c r="C11" i="17"/>
  <c r="C27" i="17"/>
  <c r="C2" i="17"/>
  <c r="A2" i="17" s="1"/>
  <c r="B2" i="17" s="1"/>
  <c r="C4" i="17"/>
  <c r="C10" i="17"/>
  <c r="C19" i="17"/>
  <c r="C13" i="17"/>
  <c r="C18" i="17"/>
  <c r="C28" i="17"/>
  <c r="C21" i="17"/>
  <c r="C8" i="17"/>
  <c r="C17" i="17"/>
  <c r="C16" i="17"/>
  <c r="C20" i="17"/>
  <c r="C3" i="17"/>
  <c r="C26" i="17" l="1"/>
  <c r="C12" i="17"/>
  <c r="C5" i="17"/>
  <c r="C9" i="17"/>
  <c r="A4" i="17"/>
  <c r="B4" i="17" s="1"/>
  <c r="A3" i="17"/>
  <c r="B3" i="17" s="1"/>
  <c r="R57" i="7" l="1"/>
  <c r="R43" i="7"/>
  <c r="R46" i="7"/>
  <c r="R37" i="7"/>
  <c r="R51" i="7"/>
  <c r="R32" i="7"/>
  <c r="R39" i="7"/>
  <c r="R44" i="7"/>
  <c r="R42" i="7"/>
  <c r="R41" i="7"/>
  <c r="R38" i="7"/>
  <c r="R48" i="7"/>
  <c r="A8" i="17"/>
  <c r="B8" i="17" s="1"/>
  <c r="R53" i="7"/>
  <c r="A7" i="17"/>
  <c r="B7" i="17" s="1"/>
  <c r="A26" i="17"/>
  <c r="B26" i="17" s="1"/>
  <c r="A6" i="17"/>
  <c r="B6" i="17" s="1"/>
  <c r="R50" i="7"/>
  <c r="R54" i="7"/>
  <c r="R31" i="7"/>
  <c r="F2" i="17" s="1"/>
  <c r="G2" i="17" s="1"/>
  <c r="Q31" i="7" s="1"/>
  <c r="R45" i="7"/>
  <c r="A15" i="17"/>
  <c r="B15" i="17" s="1"/>
  <c r="R40" i="7"/>
  <c r="A23" i="17"/>
  <c r="B23" i="17" s="1"/>
  <c r="R55" i="7"/>
  <c r="R58" i="7"/>
  <c r="R56" i="7"/>
  <c r="R49" i="7"/>
  <c r="R34" i="7"/>
  <c r="R36" i="7"/>
  <c r="R33" i="7"/>
  <c r="R47" i="7"/>
  <c r="R52" i="7"/>
  <c r="A5" i="17"/>
  <c r="B5" i="17" s="1"/>
  <c r="R35" i="7"/>
  <c r="A9" i="17"/>
  <c r="B9" i="17" s="1"/>
  <c r="A18" i="17"/>
  <c r="B18" i="17" s="1"/>
  <c r="A25" i="17"/>
  <c r="B25" i="17" s="1"/>
  <c r="A17" i="17"/>
  <c r="B17" i="17" s="1"/>
  <c r="A24" i="17"/>
  <c r="B24" i="17" s="1"/>
  <c r="A11" i="17"/>
  <c r="B11" i="17" s="1"/>
  <c r="A21" i="17"/>
  <c r="B21" i="17" s="1"/>
  <c r="A22" i="17"/>
  <c r="B22" i="17" s="1"/>
  <c r="A13" i="17"/>
  <c r="B13" i="17" s="1"/>
  <c r="A10" i="17"/>
  <c r="B10" i="17" s="1"/>
  <c r="A16" i="17"/>
  <c r="B16" i="17" s="1"/>
  <c r="A14" i="17"/>
  <c r="B14" i="17" s="1"/>
  <c r="A27" i="17"/>
  <c r="B27" i="17" s="1"/>
  <c r="A29" i="17"/>
  <c r="B29" i="17" s="1"/>
  <c r="A20" i="17"/>
  <c r="B20" i="17" s="1"/>
  <c r="A12" i="17"/>
  <c r="B12" i="17" s="1"/>
  <c r="A28" i="17"/>
  <c r="B28" i="17" s="1"/>
  <c r="A19" i="17"/>
  <c r="B19" i="17" s="1"/>
  <c r="F3" i="17" l="1"/>
  <c r="G3" i="17" s="1"/>
  <c r="Q32" i="7" s="1"/>
  <c r="F14" i="17"/>
  <c r="G14" i="17" s="1"/>
  <c r="Q43" i="7" s="1"/>
  <c r="F4" i="17"/>
  <c r="G4" i="17" s="1"/>
  <c r="Q33" i="7" s="1"/>
  <c r="F5" i="17"/>
  <c r="G5" i="17" s="1"/>
  <c r="Q34" i="7" s="1"/>
  <c r="F11" i="17"/>
  <c r="G11" i="17" s="1"/>
  <c r="Q40" i="7" s="1"/>
  <c r="F27" i="17"/>
  <c r="G27" i="17" s="1"/>
  <c r="Q56" i="7" s="1"/>
  <c r="F21" i="17"/>
  <c r="G21" i="17" s="1"/>
  <c r="Q50" i="7" s="1"/>
  <c r="F29" i="17"/>
  <c r="G29" i="17" s="1"/>
  <c r="Q58" i="7" s="1"/>
  <c r="F20" i="17"/>
  <c r="G20" i="17" s="1"/>
  <c r="Q49" i="7" s="1"/>
  <c r="F12" i="17"/>
  <c r="G12" i="17" s="1"/>
  <c r="Q41" i="7" s="1"/>
  <c r="F26" i="17"/>
  <c r="G26" i="17" s="1"/>
  <c r="Q55" i="7" s="1"/>
  <c r="F22" i="17"/>
  <c r="G22" i="17" s="1"/>
  <c r="Q51" i="7" s="1"/>
  <c r="F19" i="17"/>
  <c r="G19" i="17" s="1"/>
  <c r="Q48" i="7" s="1"/>
  <c r="F10" i="17"/>
  <c r="G10" i="17" s="1"/>
  <c r="Q39" i="7" s="1"/>
  <c r="F7" i="17"/>
  <c r="G7" i="17" s="1"/>
  <c r="Q36" i="7" s="1"/>
  <c r="F25" i="17"/>
  <c r="G25" i="17" s="1"/>
  <c r="Q54" i="7" s="1"/>
  <c r="F15" i="17"/>
  <c r="G15" i="17" s="1"/>
  <c r="Q44" i="7" s="1"/>
  <c r="F24" i="17"/>
  <c r="G24" i="17" s="1"/>
  <c r="Q53" i="7" s="1"/>
  <c r="F17" i="17"/>
  <c r="G17" i="17" s="1"/>
  <c r="Q46" i="7" s="1"/>
  <c r="F13" i="17"/>
  <c r="G13" i="17" s="1"/>
  <c r="Q42" i="7" s="1"/>
  <c r="F18" i="17"/>
  <c r="G18" i="17" s="1"/>
  <c r="Q47" i="7" s="1"/>
  <c r="F6" i="17"/>
  <c r="G6" i="17" s="1"/>
  <c r="Q35" i="7" s="1"/>
  <c r="F23" i="17"/>
  <c r="G23" i="17" s="1"/>
  <c r="Q52" i="7" s="1"/>
  <c r="F28" i="17"/>
  <c r="G28" i="17" s="1"/>
  <c r="Q57" i="7" s="1"/>
  <c r="F16" i="17"/>
  <c r="G16" i="17" s="1"/>
  <c r="Q45" i="7" s="1"/>
  <c r="F9" i="17"/>
  <c r="G9" i="17" s="1"/>
  <c r="Q38" i="7" s="1"/>
  <c r="F8" i="17"/>
  <c r="G8" i="17" s="1"/>
  <c r="Q3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<sst xmlns="http://schemas.openxmlformats.org/spreadsheetml/2006/main" count="5773" uniqueCount="90">
  <si>
    <t>MÉDIA</t>
  </si>
  <si>
    <t>Ano</t>
  </si>
  <si>
    <t>Questão 01</t>
  </si>
  <si>
    <t>Questão 02</t>
  </si>
  <si>
    <t>Questão 03</t>
  </si>
  <si>
    <t>Questão 04</t>
  </si>
  <si>
    <t>Questão 05</t>
  </si>
  <si>
    <t>Questão 06</t>
  </si>
  <si>
    <t>Questão 07</t>
  </si>
  <si>
    <t>Questão 08</t>
  </si>
  <si>
    <t>Questão 09</t>
  </si>
  <si>
    <t>Questão 10</t>
  </si>
  <si>
    <t>FÍSICA</t>
  </si>
  <si>
    <t>NOTA</t>
  </si>
  <si>
    <t>QUÍMICA</t>
  </si>
  <si>
    <t>MATEMÁTICA</t>
  </si>
  <si>
    <t>REDAÇÃO</t>
  </si>
  <si>
    <t>ALUNO (NOME COMPLETO)</t>
  </si>
  <si>
    <t>MÉDIA FINAL</t>
  </si>
  <si>
    <t>2a FASE</t>
  </si>
  <si>
    <t>Peso</t>
  </si>
  <si>
    <t>Matemática</t>
  </si>
  <si>
    <t>Química</t>
  </si>
  <si>
    <t>Física</t>
  </si>
  <si>
    <t>Português</t>
  </si>
  <si>
    <t>Inglês</t>
  </si>
  <si>
    <t>Redação</t>
  </si>
  <si>
    <t>Corte</t>
  </si>
  <si>
    <t>1a FASE</t>
  </si>
  <si>
    <t>Corte (Questões)</t>
  </si>
  <si>
    <t>Corte (Nota)</t>
  </si>
  <si>
    <t>Corte (Média final)</t>
  </si>
  <si>
    <t>Nota (REDAÇÃO)</t>
  </si>
  <si>
    <t>Qtd de acertos</t>
  </si>
  <si>
    <t>QUÍMICA (15)</t>
  </si>
  <si>
    <t>FÍSICA (15)</t>
  </si>
  <si>
    <t>MATEMÁTICA (15)</t>
  </si>
  <si>
    <t>MÉDIA (PROVÃO)</t>
  </si>
  <si>
    <t>PROVÃO (RESULTADO)</t>
  </si>
  <si>
    <t>MÉDIA PROVÃO</t>
  </si>
  <si>
    <t>Provão ITA</t>
  </si>
  <si>
    <t>Tema</t>
  </si>
  <si>
    <t>Tipo de texto</t>
  </si>
  <si>
    <t>Coerência</t>
  </si>
  <si>
    <t>Coesão</t>
  </si>
  <si>
    <t>Modalidade/Conformidade</t>
  </si>
  <si>
    <t>Questão 11</t>
  </si>
  <si>
    <t>Questão 12</t>
  </si>
  <si>
    <t>Questão 13</t>
  </si>
  <si>
    <t>Questão 14</t>
  </si>
  <si>
    <t>Questão 15</t>
  </si>
  <si>
    <t>Questão 16</t>
  </si>
  <si>
    <t>Questão 17</t>
  </si>
  <si>
    <t>Questão 18</t>
  </si>
  <si>
    <t>Questão 19</t>
  </si>
  <si>
    <t>Questão 20</t>
  </si>
  <si>
    <t>Nota (FIS)</t>
  </si>
  <si>
    <t>PORTUGUÊS (15)</t>
  </si>
  <si>
    <t>Nota (PT)</t>
  </si>
  <si>
    <t>INGLÊS (10)</t>
  </si>
  <si>
    <t>Nota (ING)</t>
  </si>
  <si>
    <t>Nota (MAT)</t>
  </si>
  <si>
    <t>Nota (QUI)</t>
  </si>
  <si>
    <t>Modalidade</t>
  </si>
  <si>
    <t>CORTE?</t>
  </si>
  <si>
    <t>NOME COMPLETO</t>
  </si>
  <si>
    <t>ANO</t>
  </si>
  <si>
    <t>CORTE</t>
  </si>
  <si>
    <t>RANKING</t>
  </si>
  <si>
    <t>Matheus Pinheiro</t>
  </si>
  <si>
    <t>Daniel Paixão</t>
  </si>
  <si>
    <t>Mário Sérgio</t>
  </si>
  <si>
    <t>Ulisses Castro</t>
  </si>
  <si>
    <t>Max Paiva</t>
  </si>
  <si>
    <t>Onofre Campos</t>
  </si>
  <si>
    <t>Rafael Farias</t>
  </si>
  <si>
    <t>Felipe Custódio</t>
  </si>
  <si>
    <t>Carlos Lacerda</t>
  </si>
  <si>
    <t>Ramon Lorenzo</t>
  </si>
  <si>
    <t>Questões por professores</t>
  </si>
  <si>
    <t>ANALISE DE RENDIMENTO POR PROFESSOR E QUESTÃO</t>
  </si>
  <si>
    <t>NOTA INDIVIDUAL POR ALUNO</t>
  </si>
  <si>
    <t>PUXAR DA LEITURA DE CARTÃO</t>
  </si>
  <si>
    <t>Pedro Madeira</t>
  </si>
  <si>
    <t xml:space="preserve">    ENVIAR BOLETINS VIA WHATSAPP</t>
  </si>
  <si>
    <t>3°</t>
  </si>
  <si>
    <t>Telefone (Formato: 55dd99999999)</t>
  </si>
  <si>
    <t>LEONARDO MESQUITA</t>
  </si>
  <si>
    <t>CAIO CITÓ</t>
  </si>
  <si>
    <t>ARTHUR CITÓ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</si>
</sst>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000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2"/>
      <color theme="1"/>
      <name val="Arial Narrow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b/>
      <sz val="12"/>
      <color rgb="FF000000"/>
      <name val="Arial Narrow"/>
      <family val="2"/>
    </font>
    <font>
      <sz val="8"/>
      <name val="Calibri"/>
      <family val="2"/>
      <scheme val="minor"/>
    </font>
    <font>
      <b/>
      <sz val="20"/>
      <color theme="1"/>
      <name val="Arial Narrow"/>
      <family val="2"/>
    </font>
    <font>
      <b/>
      <sz val="22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164" fontId="3" fillId="5" borderId="1" xfId="0" applyNumberFormat="1" applyFont="1" applyFill="1" applyBorder="1" applyAlignment="1">
      <alignment horizontal="center"/>
    </xf>
    <xf numFmtId="164" fontId="4" fillId="6" borderId="1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0" fillId="3" borderId="0" xfId="0" applyFill="1"/>
    <xf numFmtId="164" fontId="4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7" borderId="0" xfId="0" applyFill="1"/>
    <xf numFmtId="164" fontId="3" fillId="3" borderId="0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0" xfId="0" applyFill="1" applyBorder="1"/>
    <xf numFmtId="0" fontId="5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5" fillId="5" borderId="1" xfId="0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/>
    </xf>
    <xf numFmtId="165" fontId="5" fillId="5" borderId="1" xfId="0" applyNumberFormat="1" applyFont="1" applyFill="1" applyBorder="1" applyAlignment="1">
      <alignment horizontal="center"/>
    </xf>
    <xf numFmtId="164" fontId="6" fillId="5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/>
    </xf>
    <xf numFmtId="166" fontId="5" fillId="5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1" fillId="3" borderId="0" xfId="0" applyFont="1" applyFill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9" fontId="1" fillId="3" borderId="9" xfId="0" applyNumberFormat="1" applyFont="1" applyFill="1" applyBorder="1" applyAlignment="1">
      <alignment horizontal="center"/>
    </xf>
    <xf numFmtId="9" fontId="1" fillId="3" borderId="10" xfId="0" applyNumberFormat="1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9" fontId="1" fillId="3" borderId="12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9" fontId="1" fillId="3" borderId="16" xfId="0" applyNumberFormat="1" applyFont="1" applyFill="1" applyBorder="1" applyAlignment="1">
      <alignment horizontal="center"/>
    </xf>
    <xf numFmtId="9" fontId="1" fillId="3" borderId="20" xfId="0" applyNumberFormat="1" applyFont="1" applyFill="1" applyBorder="1" applyAlignment="1">
      <alignment horizontal="center"/>
    </xf>
    <xf numFmtId="9" fontId="1" fillId="3" borderId="4" xfId="0" applyNumberFormat="1" applyFont="1" applyFill="1" applyBorder="1" applyAlignment="1">
      <alignment horizontal="center"/>
    </xf>
    <xf numFmtId="9" fontId="1" fillId="3" borderId="21" xfId="0" applyNumberFormat="1" applyFont="1" applyFill="1" applyBorder="1" applyAlignment="1">
      <alignment horizontal="center"/>
    </xf>
    <xf numFmtId="0" fontId="8" fillId="2" borderId="0" xfId="0" applyFont="1" applyFill="1" applyAlignment="1"/>
    <xf numFmtId="0" fontId="1" fillId="3" borderId="0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9" fillId="2" borderId="22" xfId="0" applyFont="1" applyFill="1" applyBorder="1" applyAlignment="1"/>
    <xf numFmtId="0" fontId="9" fillId="2" borderId="23" xfId="0" applyFont="1" applyFill="1" applyBorder="1" applyAlignment="1"/>
    <xf numFmtId="0" fontId="9" fillId="2" borderId="24" xfId="0" applyFont="1" applyFill="1" applyBorder="1" applyAlignment="1"/>
    <xf numFmtId="0" fontId="2" fillId="2" borderId="25" xfId="0" applyFont="1" applyFill="1" applyBorder="1" applyAlignment="1">
      <alignment horizontal="center"/>
    </xf>
    <xf numFmtId="167" fontId="1" fillId="3" borderId="0" xfId="0" applyNumberFormat="1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7" formatCode="00000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DESEMPENHO NO SIMULADO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NOTAS!$D$1</c:f>
              <c:strCache>
                <c:ptCount val="1"/>
                <c:pt idx="0">
                  <c:v>FÍSICA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NOTAS!$D$2:$D$29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A-4E8B-80D0-AAEAAF5AE486}"/>
            </c:ext>
          </c:extLst>
        </c:ser>
        <c:ser>
          <c:idx val="1"/>
          <c:order val="1"/>
          <c:tx>
            <c:strRef>
              <c:f>NOTAS!$E$1</c:f>
              <c:strCache>
                <c:ptCount val="1"/>
                <c:pt idx="0">
                  <c:v>QUÍMICA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NOTAS!$E$2:$E$29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A-4E8B-80D0-AAEAAF5AE486}"/>
            </c:ext>
          </c:extLst>
        </c:ser>
        <c:ser>
          <c:idx val="2"/>
          <c:order val="2"/>
          <c:tx>
            <c:strRef>
              <c:f>NOTAS!$F$1</c:f>
              <c:strCache>
                <c:ptCount val="1"/>
                <c:pt idx="0">
                  <c:v>MATEMÁTICA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NOTAS!$F$2:$F$29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A-4E8B-80D0-AAEAAF5AE486}"/>
            </c:ext>
          </c:extLst>
        </c:ser>
        <c:ser>
          <c:idx val="3"/>
          <c:order val="3"/>
          <c:tx>
            <c:strRef>
              <c:f>NOTAS!$G$1</c:f>
              <c:strCache>
                <c:ptCount val="1"/>
                <c:pt idx="0">
                  <c:v>REDAÇÃO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NOTAS!$G$2:$G$29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A-4E8B-80D0-AAEAAF5AE486}"/>
            </c:ext>
          </c:extLst>
        </c:ser>
        <c:ser>
          <c:idx val="4"/>
          <c:order val="4"/>
          <c:tx>
            <c:strRef>
              <c:f>NOTAS!$H$1</c:f>
              <c:strCache>
                <c:ptCount val="1"/>
                <c:pt idx="0">
                  <c:v>MÉDIA PROVÃO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NOTAS!$H$2:$H$29</c:f>
              <c:numCache>
                <c:formatCode>0.0000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7A-4E8B-80D0-AAEAAF5AE486}"/>
            </c:ext>
          </c:extLst>
        </c:ser>
        <c:ser>
          <c:idx val="5"/>
          <c:order val="5"/>
          <c:tx>
            <c:strRef>
              <c:f>NOTAS!$I$1</c:f>
              <c:strCache>
                <c:ptCount val="1"/>
                <c:pt idx="0">
                  <c:v>MÉDIA FINAL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NOTAS!$I$2:$I$29</c:f>
              <c:numCache>
                <c:formatCode>0.0000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7A-4E8B-80D0-AAEAAF5AE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216159"/>
        <c:axId val="545212831"/>
      </c:barChart>
      <c:lineChart>
        <c:grouping val="standard"/>
        <c:varyColors val="0"/>
        <c:ser>
          <c:idx val="6"/>
          <c:order val="6"/>
          <c:tx>
            <c:strRef>
              <c:f>CORTES!$I$3</c:f>
              <c:strCache>
                <c:ptCount val="1"/>
                <c:pt idx="0">
                  <c:v>CORTE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NOTAS!$C$2:$C$29</c:f>
              <c:strCache>
                <c:ptCount val="3"/>
                <c:pt idx="0">
                  <c:v>LEONARDO MESQUITA</c:v>
                </c:pt>
                <c:pt idx="1">
                  <c:v>CAIO CITÓ</c:v>
                </c:pt>
                <c:pt idx="2">
                  <c:v>ARTHUR CITÓ</c:v>
                </c:pt>
              </c:strCache>
            </c:strRef>
          </c:cat>
          <c:val>
            <c:numRef>
              <c:f>CORTES!$I$4:$I$31</c:f>
              <c:numCache>
                <c:formatCode>0.0</c:formatCode>
                <c:ptCount val="2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7A-4E8B-80D0-AAEAAF5AE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16159"/>
        <c:axId val="545212831"/>
      </c:lineChart>
      <c:catAx>
        <c:axId val="54521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pt-BR"/>
          </a:p>
        </c:txPr>
        <c:crossAx val="545212831"/>
        <c:crossesAt val="0"/>
        <c:auto val="1"/>
        <c:lblAlgn val="ctr"/>
        <c:lblOffset val="100"/>
        <c:noMultiLvlLbl val="0"/>
      </c:catAx>
      <c:valAx>
        <c:axId val="54521283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pt-BR" sz="1600" b="1">
                    <a:solidFill>
                      <a:sysClr val="windowText" lastClr="000000"/>
                    </a:solidFill>
                    <a:latin typeface="Arial Narrow" panose="020B0606020202030204" pitchFamily="34" charset="0"/>
                  </a:rPr>
                  <a:t>NOTAS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pt-BR"/>
          </a:p>
        </c:txPr>
        <c:crossAx val="545216159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349401</xdr:colOff>
      <xdr:row>7</xdr:row>
      <xdr:rowOff>202852</xdr:rowOff>
    </xdr:from>
    <xdr:to>
      <xdr:col>17</xdr:col>
      <xdr:colOff>772408</xdr:colOff>
      <xdr:row>18</xdr:row>
      <xdr:rowOff>185390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DB6A84B-D16D-423B-B59E-B61BDDD13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7258" y="1631602"/>
          <a:ext cx="4355471" cy="2227717"/>
        </a:xfrm>
        <a:prstGeom prst="rect">
          <a:avLst/>
        </a:prstGeom>
      </xdr:spPr>
    </xdr:pic>
    <xdr:clientData/>
  </xdr:twoCellAnchor>
  <xdr:twoCellAnchor editAs="oneCell">
    <xdr:from>
      <xdr:col>15</xdr:col>
      <xdr:colOff>895463</xdr:colOff>
      <xdr:row>1</xdr:row>
      <xdr:rowOff>5081</xdr:rowOff>
    </xdr:from>
    <xdr:to>
      <xdr:col>16</xdr:col>
      <xdr:colOff>1238597</xdr:colOff>
      <xdr:row>7</xdr:row>
      <xdr:rowOff>49671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5AEFE86-CA60-4142-8F32-13003BAE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63320" y="209188"/>
          <a:ext cx="1241206" cy="1269233"/>
        </a:xfrm>
        <a:prstGeom prst="rect">
          <a:avLst/>
        </a:prstGeom>
      </xdr:spPr>
    </xdr:pic>
    <xdr:clientData/>
  </xdr:twoCellAnchor>
  <xdr:twoCellAnchor editAs="oneCell">
    <xdr:from>
      <xdr:col>16</xdr:col>
      <xdr:colOff>1392068</xdr:colOff>
      <xdr:row>1</xdr:row>
      <xdr:rowOff>188727</xdr:rowOff>
    </xdr:from>
    <xdr:to>
      <xdr:col>17</xdr:col>
      <xdr:colOff>386322</xdr:colOff>
      <xdr:row>5</xdr:row>
      <xdr:rowOff>141930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A5B5BD1-414B-4315-85D8-489E80C53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57997" y="392834"/>
          <a:ext cx="2028646" cy="769632"/>
        </a:xfrm>
        <a:prstGeom prst="rect">
          <a:avLst/>
        </a:prstGeom>
      </xdr:spPr>
    </xdr:pic>
    <xdr:clientData/>
  </xdr:twoCellAnchor>
  <xdr:twoCellAnchor>
    <xdr:from>
      <xdr:col>1</xdr:col>
      <xdr:colOff>177292</xdr:colOff>
      <xdr:row>31</xdr:row>
      <xdr:rowOff>98610</xdr:rowOff>
    </xdr:from>
    <xdr:to>
      <xdr:col>11</xdr:col>
      <xdr:colOff>68836</xdr:colOff>
      <xdr:row>76</xdr:row>
      <xdr:rowOff>187938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F876A1-8B12-40B3-9938-CED7EAB1D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533400</xdr:colOff>
      <xdr:row>5</xdr:row>
      <xdr:rowOff>66675</xdr:rowOff>
    </xdr:from>
    <xdr:to>
      <xdr:col>19</xdr:col>
      <xdr:colOff>114300</xdr:colOff>
      <xdr:row>12</xdr:row>
      <xdr:rowOff>63243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B5BA71-2C6C-4182-AE71-66A188435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5" y="904875"/>
          <a:ext cx="1409700" cy="1463418"/>
        </a:xfrm>
        <a:prstGeom prst="rect">
          <a:avLst/>
        </a:prstGeom>
      </xdr:spPr>
    </xdr:pic>
    <xdr:clientData/>
  </xdr:twoCellAnchor>
  <xdr:twoCellAnchor editAs="oneCell">
    <xdr:from>
      <xdr:col>16</xdr:col>
      <xdr:colOff>284920</xdr:colOff>
      <xdr:row>14</xdr:row>
      <xdr:rowOff>110160</xdr:rowOff>
    </xdr:from>
    <xdr:to>
      <xdr:col>19</xdr:col>
      <xdr:colOff>487132</xdr:colOff>
      <xdr:row>18</xdr:row>
      <xdr:rowOff>53424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C3BE6B-6F33-4B68-B1A4-4E4473FD0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045" y="2834310"/>
          <a:ext cx="2031012" cy="7814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34</xdr:row>
      <xdr:rowOff>85725</xdr:rowOff>
    </xdr:from>
    <xdr:to>
      <xdr:col>6</xdr:col>
      <xdr:colOff>837006</xdr:colOff>
      <xdr:row>53</xdr:row>
      <xdr:rowOff>26188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3ED1E0-8AB0-4D92-B42F-72317829F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7124700"/>
          <a:ext cx="9552381" cy="38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31</xdr:row>
      <xdr:rowOff>28575</xdr:rowOff>
    </xdr:from>
    <xdr:to>
      <xdr:col>6</xdr:col>
      <xdr:colOff>789389</xdr:colOff>
      <xdr:row>34</xdr:row>
      <xdr:rowOff>102784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1116939-E338-4F0E-91E4-180DEAB3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6486525"/>
          <a:ext cx="9485714" cy="6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465</xdr:row>
      <xdr:rowOff>1120</xdr:rowOff>
    </xdr:from>
    <xdr:to>
      <xdr:col>0</xdr:col>
      <xdr:colOff>834958</xdr:colOff>
      <xdr:row>469</xdr:row>
      <xdr:rowOff>40340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E149A0E-60C1-48F6-AEF7-F5274BE9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259520"/>
          <a:ext cx="834958" cy="7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1787337</xdr:colOff>
      <xdr:row>473</xdr:row>
      <xdr:rowOff>143607</xdr:rowOff>
    </xdr:from>
    <xdr:to>
      <xdr:col>0</xdr:col>
      <xdr:colOff>3225612</xdr:colOff>
      <xdr:row>476</xdr:row>
      <xdr:rowOff>90207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62CC668-C896-4EF3-87EC-7E8C85E7F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337" y="87926007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448</xdr:row>
      <xdr:rowOff>45384</xdr:rowOff>
    </xdr:from>
    <xdr:to>
      <xdr:col>0</xdr:col>
      <xdr:colOff>834958</xdr:colOff>
      <xdr:row>452</xdr:row>
      <xdr:rowOff>84604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D77FD95-7960-4808-9943-77FA68D6E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085455"/>
          <a:ext cx="834958" cy="792255"/>
        </a:xfrm>
        <a:prstGeom prst="rect">
          <a:avLst/>
        </a:prstGeom>
      </xdr:spPr>
    </xdr:pic>
    <xdr:clientData/>
  </xdr:twoCellAnchor>
  <xdr:twoCellAnchor editAs="oneCell">
    <xdr:from>
      <xdr:col>0</xdr:col>
      <xdr:colOff>1732429</xdr:colOff>
      <xdr:row>456</xdr:row>
      <xdr:rowOff>170501</xdr:rowOff>
    </xdr:from>
    <xdr:to>
      <xdr:col>0</xdr:col>
      <xdr:colOff>3170704</xdr:colOff>
      <xdr:row>459</xdr:row>
      <xdr:rowOff>126066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72B6E98-83B9-417C-8C9D-A424FDB2A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2429" y="84734572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432</xdr:row>
      <xdr:rowOff>9525</xdr:rowOff>
    </xdr:from>
    <xdr:to>
      <xdr:col>0</xdr:col>
      <xdr:colOff>834958</xdr:colOff>
      <xdr:row>436</xdr:row>
      <xdr:rowOff>67796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7ECF994-8F6C-441D-B0DB-BE601BB68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2963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1777252</xdr:colOff>
      <xdr:row>440</xdr:row>
      <xdr:rowOff>9697</xdr:rowOff>
    </xdr:from>
    <xdr:to>
      <xdr:col>0</xdr:col>
      <xdr:colOff>3215527</xdr:colOff>
      <xdr:row>442</xdr:row>
      <xdr:rowOff>153521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8CD98E7-4F2E-44FC-83F8-F9C642FF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7252" y="81543697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414</xdr:row>
      <xdr:rowOff>19051</xdr:rowOff>
    </xdr:from>
    <xdr:to>
      <xdr:col>0</xdr:col>
      <xdr:colOff>834958</xdr:colOff>
      <xdr:row>418</xdr:row>
      <xdr:rowOff>58271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9B9A7F-E052-44E5-8FDA-EFABFEE39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613498"/>
          <a:ext cx="834958" cy="7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1831041</xdr:colOff>
      <xdr:row>422</xdr:row>
      <xdr:rowOff>179465</xdr:rowOff>
    </xdr:from>
    <xdr:to>
      <xdr:col>0</xdr:col>
      <xdr:colOff>3269316</xdr:colOff>
      <xdr:row>425</xdr:row>
      <xdr:rowOff>126065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832D097-0C51-48D8-BE0E-B348D2F63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041" y="78297912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397</xdr:row>
      <xdr:rowOff>19050</xdr:rowOff>
    </xdr:from>
    <xdr:to>
      <xdr:col>0</xdr:col>
      <xdr:colOff>834958</xdr:colOff>
      <xdr:row>401</xdr:row>
      <xdr:rowOff>85725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28E9FD9-FD3C-4399-B2C2-FBBD60BB9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955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406</xdr:row>
      <xdr:rowOff>27626</xdr:rowOff>
    </xdr:from>
    <xdr:to>
      <xdr:col>0</xdr:col>
      <xdr:colOff>3152774</xdr:colOff>
      <xdr:row>408</xdr:row>
      <xdr:rowOff>171450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7B738154-DE37-4274-A895-6FD34689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803138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380</xdr:row>
      <xdr:rowOff>9525</xdr:rowOff>
    </xdr:from>
    <xdr:to>
      <xdr:col>0</xdr:col>
      <xdr:colOff>854008</xdr:colOff>
      <xdr:row>384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8076503-BA5A-453A-9BC8-469020380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750760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389</xdr:row>
      <xdr:rowOff>8576</xdr:rowOff>
    </xdr:from>
    <xdr:to>
      <xdr:col>0</xdr:col>
      <xdr:colOff>3171824</xdr:colOff>
      <xdr:row>391</xdr:row>
      <xdr:rowOff>152400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B449209C-F905-4442-8FF4-2C0E736F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77754988"/>
          <a:ext cx="1438275" cy="558441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363</xdr:row>
      <xdr:rowOff>19050</xdr:rowOff>
    </xdr:from>
    <xdr:to>
      <xdr:col>0</xdr:col>
      <xdr:colOff>873058</xdr:colOff>
      <xdr:row>367</xdr:row>
      <xdr:rowOff>76201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74DE7BB-0308-4D4F-AF35-CC831135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718661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372</xdr:row>
      <xdr:rowOff>8576</xdr:rowOff>
    </xdr:from>
    <xdr:to>
      <xdr:col>0</xdr:col>
      <xdr:colOff>3181349</xdr:colOff>
      <xdr:row>374</xdr:row>
      <xdr:rowOff>152400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E3875F56-9AE1-4115-8D21-0D3DCF43D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736749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346</xdr:row>
      <xdr:rowOff>19050</xdr:rowOff>
    </xdr:from>
    <xdr:to>
      <xdr:col>0</xdr:col>
      <xdr:colOff>863533</xdr:colOff>
      <xdr:row>350</xdr:row>
      <xdr:rowOff>76200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CCD7838-73BA-4F73-81B5-438430E6E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4657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355</xdr:row>
      <xdr:rowOff>27626</xdr:rowOff>
    </xdr:from>
    <xdr:to>
      <xdr:col>0</xdr:col>
      <xdr:colOff>3181349</xdr:colOff>
      <xdr:row>357</xdr:row>
      <xdr:rowOff>171450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69E0E8CB-F393-4398-9DE5-461A5743B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702840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329</xdr:row>
      <xdr:rowOff>9525</xdr:rowOff>
    </xdr:from>
    <xdr:to>
      <xdr:col>0</xdr:col>
      <xdr:colOff>863533</xdr:colOff>
      <xdr:row>333</xdr:row>
      <xdr:rowOff>85725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76E26FFE-540A-45C3-9740-6FB148DB8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652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338</xdr:row>
      <xdr:rowOff>27626</xdr:rowOff>
    </xdr:from>
    <xdr:to>
      <xdr:col>0</xdr:col>
      <xdr:colOff>3181349</xdr:colOff>
      <xdr:row>340</xdr:row>
      <xdr:rowOff>171450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83B5CF7-02AE-4DAD-BABB-83716D16B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668836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312</xdr:row>
      <xdr:rowOff>19050</xdr:rowOff>
    </xdr:from>
    <xdr:to>
      <xdr:col>0</xdr:col>
      <xdr:colOff>854008</xdr:colOff>
      <xdr:row>316</xdr:row>
      <xdr:rowOff>76200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F27CFBE1-8BBB-496D-BEE3-1BB2CEEAF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616648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321</xdr:row>
      <xdr:rowOff>18101</xdr:rowOff>
    </xdr:from>
    <xdr:to>
      <xdr:col>0</xdr:col>
      <xdr:colOff>3171824</xdr:colOff>
      <xdr:row>323</xdr:row>
      <xdr:rowOff>161925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3CD8CD66-8B62-4FC6-B67E-7CCA631CE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634831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295</xdr:row>
      <xdr:rowOff>19050</xdr:rowOff>
    </xdr:from>
    <xdr:to>
      <xdr:col>0</xdr:col>
      <xdr:colOff>873058</xdr:colOff>
      <xdr:row>299</xdr:row>
      <xdr:rowOff>76200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6DAA4E2C-40A0-4109-9B9B-93DF00839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82644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1752599</xdr:colOff>
      <xdr:row>304</xdr:row>
      <xdr:rowOff>27626</xdr:rowOff>
    </xdr:from>
    <xdr:to>
      <xdr:col>0</xdr:col>
      <xdr:colOff>3190874</xdr:colOff>
      <xdr:row>306</xdr:row>
      <xdr:rowOff>171451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166BDF6E-A441-401E-A1FC-D5DF1247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599" y="600827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278</xdr:row>
      <xdr:rowOff>9525</xdr:rowOff>
    </xdr:from>
    <xdr:to>
      <xdr:col>0</xdr:col>
      <xdr:colOff>854008</xdr:colOff>
      <xdr:row>282</xdr:row>
      <xdr:rowOff>85724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3BEE125-B701-4BE5-9A3C-E15C3687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48640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287</xdr:row>
      <xdr:rowOff>27626</xdr:rowOff>
    </xdr:from>
    <xdr:to>
      <xdr:col>0</xdr:col>
      <xdr:colOff>3171824</xdr:colOff>
      <xdr:row>289</xdr:row>
      <xdr:rowOff>171450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E22296EA-8E60-4AF3-B658-83F9C60F1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566823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261</xdr:row>
      <xdr:rowOff>9525</xdr:rowOff>
    </xdr:from>
    <xdr:to>
      <xdr:col>0</xdr:col>
      <xdr:colOff>854008</xdr:colOff>
      <xdr:row>265</xdr:row>
      <xdr:rowOff>66675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8B5370A0-5312-45B1-A348-5D18F1ED0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14731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270</xdr:row>
      <xdr:rowOff>27626</xdr:rowOff>
    </xdr:from>
    <xdr:to>
      <xdr:col>0</xdr:col>
      <xdr:colOff>3171824</xdr:colOff>
      <xdr:row>272</xdr:row>
      <xdr:rowOff>171450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ABD4106A-F378-43ED-8CD6-DF5363F21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532914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244</xdr:row>
      <xdr:rowOff>9525</xdr:rowOff>
    </xdr:from>
    <xdr:to>
      <xdr:col>0</xdr:col>
      <xdr:colOff>854008</xdr:colOff>
      <xdr:row>248</xdr:row>
      <xdr:rowOff>76200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D83766A8-3516-4B67-9985-7A00D191A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80726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253</xdr:row>
      <xdr:rowOff>18101</xdr:rowOff>
    </xdr:from>
    <xdr:to>
      <xdr:col>0</xdr:col>
      <xdr:colOff>3171824</xdr:colOff>
      <xdr:row>255</xdr:row>
      <xdr:rowOff>161925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3F334301-018E-474A-901E-7572B989E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498910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227</xdr:row>
      <xdr:rowOff>19050</xdr:rowOff>
    </xdr:from>
    <xdr:to>
      <xdr:col>0</xdr:col>
      <xdr:colOff>854008</xdr:colOff>
      <xdr:row>231</xdr:row>
      <xdr:rowOff>76200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E58E8BAC-B7F7-40AF-B65B-B3BC0061E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46722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236</xdr:row>
      <xdr:rowOff>18101</xdr:rowOff>
    </xdr:from>
    <xdr:to>
      <xdr:col>0</xdr:col>
      <xdr:colOff>3171824</xdr:colOff>
      <xdr:row>238</xdr:row>
      <xdr:rowOff>161925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A4CC1299-C5D0-44D7-9CFF-677BC2BCC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464905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210</xdr:row>
      <xdr:rowOff>9525</xdr:rowOff>
    </xdr:from>
    <xdr:to>
      <xdr:col>0</xdr:col>
      <xdr:colOff>844483</xdr:colOff>
      <xdr:row>214</xdr:row>
      <xdr:rowOff>76201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DCE48A52-D651-4597-80FE-ABF87F8F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412623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219</xdr:row>
      <xdr:rowOff>18101</xdr:rowOff>
    </xdr:from>
    <xdr:to>
      <xdr:col>0</xdr:col>
      <xdr:colOff>3162299</xdr:colOff>
      <xdr:row>221</xdr:row>
      <xdr:rowOff>161926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879A0179-7F03-4EF6-9365-25BAD0667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430806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193</xdr:row>
      <xdr:rowOff>9525</xdr:rowOff>
    </xdr:from>
    <xdr:to>
      <xdr:col>0</xdr:col>
      <xdr:colOff>873058</xdr:colOff>
      <xdr:row>197</xdr:row>
      <xdr:rowOff>85724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3066594-AE01-461F-963B-DDED166C5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78714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1752599</xdr:colOff>
      <xdr:row>202</xdr:row>
      <xdr:rowOff>27626</xdr:rowOff>
    </xdr:from>
    <xdr:to>
      <xdr:col>0</xdr:col>
      <xdr:colOff>3190874</xdr:colOff>
      <xdr:row>204</xdr:row>
      <xdr:rowOff>171450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E114AF7-3CF9-46F7-AE95-C7D55138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599" y="396897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19050</xdr:rowOff>
    </xdr:from>
    <xdr:to>
      <xdr:col>0</xdr:col>
      <xdr:colOff>863533</xdr:colOff>
      <xdr:row>180</xdr:row>
      <xdr:rowOff>76200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AFDE08-BF20-4BFE-86D4-40B32399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709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185</xdr:row>
      <xdr:rowOff>18101</xdr:rowOff>
    </xdr:from>
    <xdr:to>
      <xdr:col>0</xdr:col>
      <xdr:colOff>3181349</xdr:colOff>
      <xdr:row>187</xdr:row>
      <xdr:rowOff>161925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59DEA5F8-9C5D-41EE-9467-AC7EAD30A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362893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9525</xdr:rowOff>
    </xdr:from>
    <xdr:to>
      <xdr:col>0</xdr:col>
      <xdr:colOff>863533</xdr:colOff>
      <xdr:row>163</xdr:row>
      <xdr:rowOff>76200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17562ECC-624E-4AFC-91DC-6FDF9799F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610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168</xdr:row>
      <xdr:rowOff>18101</xdr:rowOff>
    </xdr:from>
    <xdr:to>
      <xdr:col>0</xdr:col>
      <xdr:colOff>3181349</xdr:colOff>
      <xdr:row>170</xdr:row>
      <xdr:rowOff>161925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2C6E9A0D-3388-487F-B572-BF89E7CA0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328793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142</xdr:row>
      <xdr:rowOff>9525</xdr:rowOff>
    </xdr:from>
    <xdr:to>
      <xdr:col>0</xdr:col>
      <xdr:colOff>834958</xdr:colOff>
      <xdr:row>146</xdr:row>
      <xdr:rowOff>85726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60F0C387-97F4-49E8-A40F-1BFF60856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6701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151</xdr:row>
      <xdr:rowOff>27626</xdr:rowOff>
    </xdr:from>
    <xdr:to>
      <xdr:col>0</xdr:col>
      <xdr:colOff>3152774</xdr:colOff>
      <xdr:row>153</xdr:row>
      <xdr:rowOff>171450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29E01F6D-E88E-492E-AE3F-30CCB4864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294884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125</xdr:row>
      <xdr:rowOff>19050</xdr:rowOff>
    </xdr:from>
    <xdr:to>
      <xdr:col>0</xdr:col>
      <xdr:colOff>854008</xdr:colOff>
      <xdr:row>129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F86CB7E3-C7B5-4F04-8293-028BEE05B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44697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134</xdr:row>
      <xdr:rowOff>27626</xdr:rowOff>
    </xdr:from>
    <xdr:to>
      <xdr:col>0</xdr:col>
      <xdr:colOff>3171824</xdr:colOff>
      <xdr:row>136</xdr:row>
      <xdr:rowOff>171450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7B0449DF-657A-43E9-A13E-BFD20F9FE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262880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108</xdr:row>
      <xdr:rowOff>9525</xdr:rowOff>
    </xdr:from>
    <xdr:to>
      <xdr:col>0</xdr:col>
      <xdr:colOff>854008</xdr:colOff>
      <xdr:row>112</xdr:row>
      <xdr:rowOff>85725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FD9FC4F-E949-4149-B4B1-490AE0928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10693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117</xdr:row>
      <xdr:rowOff>27626</xdr:rowOff>
    </xdr:from>
    <xdr:to>
      <xdr:col>0</xdr:col>
      <xdr:colOff>3171824</xdr:colOff>
      <xdr:row>119</xdr:row>
      <xdr:rowOff>171450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842A2F6E-CF40-4FAD-BFD3-C20E8EE34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228876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91</xdr:row>
      <xdr:rowOff>9525</xdr:rowOff>
    </xdr:from>
    <xdr:to>
      <xdr:col>0</xdr:col>
      <xdr:colOff>844483</xdr:colOff>
      <xdr:row>95</xdr:row>
      <xdr:rowOff>66675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99519204-130E-4185-88A2-1B88495F3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76593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100</xdr:row>
      <xdr:rowOff>8576</xdr:rowOff>
    </xdr:from>
    <xdr:to>
      <xdr:col>0</xdr:col>
      <xdr:colOff>3162299</xdr:colOff>
      <xdr:row>102</xdr:row>
      <xdr:rowOff>152400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71960250-A993-4FAE-AF75-525CE3ED3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194776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74</xdr:row>
      <xdr:rowOff>9525</xdr:rowOff>
    </xdr:from>
    <xdr:to>
      <xdr:col>0</xdr:col>
      <xdr:colOff>844483</xdr:colOff>
      <xdr:row>78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3A30C145-4E92-44C7-941A-0B8AB8D77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42589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83</xdr:row>
      <xdr:rowOff>18101</xdr:rowOff>
    </xdr:from>
    <xdr:to>
      <xdr:col>0</xdr:col>
      <xdr:colOff>3162299</xdr:colOff>
      <xdr:row>85</xdr:row>
      <xdr:rowOff>161925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BA3E93CA-F4A4-4A91-91E7-2375D5F46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160772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9525</xdr:rowOff>
    </xdr:from>
    <xdr:to>
      <xdr:col>0</xdr:col>
      <xdr:colOff>834958</xdr:colOff>
      <xdr:row>61</xdr:row>
      <xdr:rowOff>66675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73F22DA4-AEAF-4C67-9992-A674328B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489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66</xdr:row>
      <xdr:rowOff>8576</xdr:rowOff>
    </xdr:from>
    <xdr:to>
      <xdr:col>0</xdr:col>
      <xdr:colOff>3152774</xdr:colOff>
      <xdr:row>68</xdr:row>
      <xdr:rowOff>152400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7C152283-2FA8-4122-9084-413BCEDF6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126673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40</xdr:row>
      <xdr:rowOff>9525</xdr:rowOff>
    </xdr:from>
    <xdr:to>
      <xdr:col>0</xdr:col>
      <xdr:colOff>854008</xdr:colOff>
      <xdr:row>44</xdr:row>
      <xdr:rowOff>66675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46AD6478-6192-49FD-BB55-F81B77AE8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74390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49</xdr:row>
      <xdr:rowOff>8576</xdr:rowOff>
    </xdr:from>
    <xdr:to>
      <xdr:col>0</xdr:col>
      <xdr:colOff>3171824</xdr:colOff>
      <xdr:row>51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F41EDD34-BC6B-4DB5-9EF1-53D316DD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92573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0</xdr:col>
      <xdr:colOff>834958</xdr:colOff>
      <xdr:row>27</xdr:row>
      <xdr:rowOff>66675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A5FA288-76EF-471F-837D-518AF40C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290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32</xdr:row>
      <xdr:rowOff>8576</xdr:rowOff>
    </xdr:from>
    <xdr:to>
      <xdr:col>0</xdr:col>
      <xdr:colOff>3152774</xdr:colOff>
      <xdr:row>34</xdr:row>
      <xdr:rowOff>152401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8F2834D0-353C-42CB-B657-E318EFDD4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58474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9525</xdr:rowOff>
    </xdr:from>
    <xdr:to>
      <xdr:col>0</xdr:col>
      <xdr:colOff>834958</xdr:colOff>
      <xdr:row>10</xdr:row>
      <xdr:rowOff>66676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B5DD00D3-2B9B-46F3-BDB4-D9DA9F42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14</xdr:row>
      <xdr:rowOff>208601</xdr:rowOff>
    </xdr:from>
    <xdr:to>
      <xdr:col>0</xdr:col>
      <xdr:colOff>3152774</xdr:colOff>
      <xdr:row>17</xdr:row>
      <xdr:rowOff>142875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B3964AB3-FAB7-4F5D-BDA1-216049D12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2427926"/>
          <a:ext cx="1438275" cy="5533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CEDEA2-2C0F-442B-9969-B40E30B8BFCC}" name="ListaDeAlunos1oAno" displayName="ListaDeAlunos1oAno" ref="A1:C4" totalsRowShown="0" headerRowDxfId="6" headerRowBorderDxfId="5" tableBorderDxfId="4" totalsRowBorderDxfId="3">
  <autoFilter ref="A1:C4" xr:uid="{5DCEDEA2-2C0F-442B-9969-B40E30B8BFCC}"/>
  <tableColumns count="3">
    <tableColumn id="1" xr3:uid="{221D88C7-7BCC-44C2-B27B-173D3761A0A4}" name="ANO" dataDxfId="2"/>
    <tableColumn id="2" xr3:uid="{BAF0C8E9-8B1D-4A40-A900-91EC5D8F71D8}" name="NOME COMPLETO" dataDxfId="1"/>
    <tableColumn id="3" xr3:uid="{5EF07EBC-7A9A-4C02-B013-D2CE115900FD}" name="Telefone (Formato: 55dd99999999)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5AF4-0DD3-4BCA-9E56-89E8E7895A4D}">
  <sheetPr codeName="Planilha1"/>
  <dimension ref="A1:R99"/>
  <sheetViews>
    <sheetView topLeftCell="B1" zoomScale="70" zoomScaleNormal="70" workbookViewId="0">
      <selection activeCell="E3" sqref="E3"/>
    </sheetView>
  </sheetViews>
  <sheetFormatPr defaultColWidth="9.109375" defaultRowHeight="14.4" x14ac:dyDescent="0.3"/>
  <cols>
    <col min="1" max="1" width="0" style="7" hidden="1" customWidth="1"/>
    <col min="2" max="2" width="9.6640625" style="7" customWidth="1"/>
    <col min="3" max="3" width="43.77734375" style="7" customWidth="1"/>
    <col min="4" max="4" width="19.44140625" style="7" customWidth="1"/>
    <col min="5" max="5" width="16.44140625" style="7" customWidth="1"/>
    <col min="6" max="6" width="16.6640625" style="7" customWidth="1"/>
    <col min="7" max="7" width="17.33203125" style="7" customWidth="1"/>
    <col min="8" max="8" width="18.44140625" style="7" customWidth="1"/>
    <col min="9" max="9" width="17.6640625" style="7" customWidth="1"/>
    <col min="10" max="10" width="9.109375" style="7"/>
    <col min="11" max="11" width="18.33203125" style="7" customWidth="1"/>
    <col min="12" max="14" width="9.109375" style="7"/>
    <col min="15" max="15" width="9.109375" style="7" customWidth="1"/>
    <col min="16" max="16" width="13.44140625" style="7" customWidth="1"/>
    <col min="17" max="17" width="45.44140625" style="7" customWidth="1"/>
    <col min="18" max="18" width="22.77734375" style="7" customWidth="1"/>
    <col min="19" max="16384" width="9.109375" style="7"/>
  </cols>
  <sheetData>
    <row r="1" spans="1:9" x14ac:dyDescent="0.3">
      <c r="B1" s="1" t="s">
        <v>1</v>
      </c>
      <c r="C1" s="1" t="s">
        <v>17</v>
      </c>
      <c r="D1" s="1" t="s">
        <v>12</v>
      </c>
      <c r="E1" s="1" t="s">
        <v>14</v>
      </c>
      <c r="F1" s="1" t="s">
        <v>15</v>
      </c>
      <c r="G1" s="1" t="s">
        <v>16</v>
      </c>
      <c r="H1" s="1" t="s">
        <v>39</v>
      </c>
      <c r="I1" s="1" t="s">
        <v>18</v>
      </c>
    </row>
    <row r="2" spans="1:9" ht="15.6" x14ac:dyDescent="0.3">
      <c r="A2" s="7">
        <v>1</v>
      </c>
      <c r="B2" s="2" t="str" cm="1">
        <f t="array" ref="B2">IF(ISERROR(INDEX(ListaDeAlunos,$A2,COLUMN()-1)),"",INDEX(ListaDeAlunos,$A2,COLUMN()-1))</f>
        <v>3°</v>
      </c>
      <c r="C2" s="2" t="str" cm="1">
        <f t="array" ref="C2">IF(ISERROR(INDEX(ListaDeAlunos,$A2,COLUMN()-1)),"",INDEX(ListaDeAlunos,$A2,COLUMN()-1))</f>
        <v>LEONARDO MESQUITA</v>
      </c>
      <c r="D2" s="4">
        <f t="shared" ref="D2:D33" si="0">VLOOKUP($C2,NotaIndividualPorAlunoFIS,12,0)</f>
        <v>0</v>
      </c>
      <c r="E2" s="4">
        <f t="shared" ref="E2:E33" si="1">VLOOKUP($C2,NotaIndividualPorAlunoQUI,12,0)</f>
        <v>0</v>
      </c>
      <c r="F2" s="4">
        <f t="shared" ref="F2:F33" si="2">VLOOKUP($C2,NotaIndividualPorAlunoMAT,12,0)</f>
        <v>0</v>
      </c>
      <c r="G2" s="4">
        <f t="shared" ref="G2:G33" si="3">VLOOKUP($C2,NotaIndividualPorAlunoRED,7,0)</f>
        <v>0</v>
      </c>
      <c r="H2" s="25">
        <f t="shared" ref="H2:H33" si="4">VLOOKUP($C2,NotaIndividualPorAlunoPROVAO,13,0)</f>
        <v>0</v>
      </c>
      <c r="I2" s="25">
        <f>IF(B2="","",D2*CORTES!$B$13+E2*CORTES!$B$14+F2*CORTES!$B$12+G2*CORTES!$B$15+H2*CORTES!$B$16)</f>
        <v>0</v>
      </c>
    </row>
    <row r="3" spans="1:9" ht="15.6" x14ac:dyDescent="0.3">
      <c r="A3" s="7">
        <v>2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CAIO CITÓ</v>
      </c>
      <c r="D3" s="4">
        <f t="shared" si="0"/>
        <v>0</v>
      </c>
      <c r="E3" s="4">
        <f t="shared" si="1"/>
        <v>0</v>
      </c>
      <c r="F3" s="4">
        <f t="shared" si="2"/>
        <v>0</v>
      </c>
      <c r="G3" s="4">
        <f t="shared" si="3"/>
        <v>0</v>
      </c>
      <c r="H3" s="25">
        <f t="shared" si="4"/>
        <v>0</v>
      </c>
      <c r="I3" s="25">
        <f>IF(B3="","",D3*CORTES!$B$13+E3*CORTES!$B$14+F3*CORTES!$B$12+G3*CORTES!$B$15+H3*CORTES!$B$16)</f>
        <v>0</v>
      </c>
    </row>
    <row r="4" spans="1:9" ht="15.6" x14ac:dyDescent="0.3">
      <c r="A4" s="7">
        <v>3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ARTHUR CITÓ</v>
      </c>
      <c r="D4" s="4">
        <f t="shared" si="0"/>
        <v>0</v>
      </c>
      <c r="E4" s="4">
        <f t="shared" si="1"/>
        <v>0</v>
      </c>
      <c r="F4" s="4">
        <f t="shared" si="2"/>
        <v>0</v>
      </c>
      <c r="G4" s="4">
        <f t="shared" si="3"/>
        <v>0</v>
      </c>
      <c r="H4" s="25">
        <f t="shared" si="4"/>
        <v>0</v>
      </c>
      <c r="I4" s="25">
        <f>IF(B4="","",D4*CORTES!$B$13+E4*CORTES!$B$14+F4*CORTES!$B$12+G4*CORTES!$B$15+H4*CORTES!$B$16)</f>
        <v>0</v>
      </c>
    </row>
    <row r="5" spans="1:9" ht="15.6" x14ac:dyDescent="0.3">
      <c r="A5" s="7">
        <v>4</v>
      </c>
      <c r="B5" s="2" t="str" cm="1">
        <f t="array" ref="B5">IF(ISERROR(INDEX(ListaDeAlunos,$A5,COLUMN()-1)),"",INDEX(ListaDeAlunos,$A5,COLUMN()-1))</f>
        <v/>
      </c>
      <c r="C5" s="2" t="str" cm="1">
        <f t="array" ref="C5">IF(ISERROR(INDEX(ListaDeAlunos,$A5,COLUMN()-1)),"",INDEX(ListaDeAlunos,$A5,COLUMN()-1))</f>
        <v/>
      </c>
      <c r="D5" s="4" t="str">
        <f t="shared" si="0"/>
        <v/>
      </c>
      <c r="E5" s="4" t="str">
        <f t="shared" si="1"/>
        <v/>
      </c>
      <c r="F5" s="4" t="str">
        <f t="shared" si="2"/>
        <v/>
      </c>
      <c r="G5" s="4" t="str">
        <f t="shared" si="3"/>
        <v/>
      </c>
      <c r="H5" s="25" t="str">
        <f t="shared" si="4"/>
        <v/>
      </c>
      <c r="I5" s="25" t="str">
        <f>IF(B5="","",D5*CORTES!$B$13+E5*CORTES!$B$14+F5*CORTES!$B$12+G5*CORTES!$B$15+H5*CORTES!$B$16)</f>
        <v/>
      </c>
    </row>
    <row r="6" spans="1:9" ht="15.6" x14ac:dyDescent="0.3">
      <c r="A6" s="7">
        <v>5</v>
      </c>
      <c r="B6" s="2" t="str" cm="1">
        <f t="array" ref="B6">IF(ISERROR(INDEX(ListaDeAlunos,$A6,COLUMN()-1)),"",INDEX(ListaDeAlunos,$A6,COLUMN()-1))</f>
        <v/>
      </c>
      <c r="C6" s="2" t="str" cm="1">
        <f t="array" ref="C6">IF(ISERROR(INDEX(ListaDeAlunos,$A6,COLUMN()-1)),"",INDEX(ListaDeAlunos,$A6,COLUMN()-1))</f>
        <v/>
      </c>
      <c r="D6" s="4" t="str">
        <f t="shared" si="0"/>
        <v/>
      </c>
      <c r="E6" s="4" t="str">
        <f t="shared" si="1"/>
        <v/>
      </c>
      <c r="F6" s="4" t="str">
        <f t="shared" si="2"/>
        <v/>
      </c>
      <c r="G6" s="4" t="str">
        <f t="shared" si="3"/>
        <v/>
      </c>
      <c r="H6" s="25" t="str">
        <f t="shared" si="4"/>
        <v/>
      </c>
      <c r="I6" s="25" t="str">
        <f>IF(B6="","",D6*CORTES!$B$13+E6*CORTES!$B$14+F6*CORTES!$B$12+G6*CORTES!$B$15+H6*CORTES!$B$16)</f>
        <v/>
      </c>
    </row>
    <row r="7" spans="1:9" ht="15.6" x14ac:dyDescent="0.3">
      <c r="A7" s="7">
        <v>6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4" t="str">
        <f t="shared" si="0"/>
        <v/>
      </c>
      <c r="E7" s="4" t="str">
        <f t="shared" si="1"/>
        <v/>
      </c>
      <c r="F7" s="4" t="str">
        <f t="shared" si="2"/>
        <v/>
      </c>
      <c r="G7" s="4" t="str">
        <f t="shared" si="3"/>
        <v/>
      </c>
      <c r="H7" s="25" t="str">
        <f t="shared" si="4"/>
        <v/>
      </c>
      <c r="I7" s="25" t="str">
        <f>IF(B7="","",D7*CORTES!$B$13+E7*CORTES!$B$14+F7*CORTES!$B$12+G7*CORTES!$B$15+H7*CORTES!$B$16)</f>
        <v/>
      </c>
    </row>
    <row r="8" spans="1:9" ht="15.6" x14ac:dyDescent="0.3">
      <c r="A8" s="7">
        <v>7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4" t="str">
        <f t="shared" si="0"/>
        <v/>
      </c>
      <c r="E8" s="4" t="str">
        <f t="shared" si="1"/>
        <v/>
      </c>
      <c r="F8" s="4" t="str">
        <f t="shared" si="2"/>
        <v/>
      </c>
      <c r="G8" s="4" t="str">
        <f t="shared" si="3"/>
        <v/>
      </c>
      <c r="H8" s="25" t="str">
        <f t="shared" si="4"/>
        <v/>
      </c>
      <c r="I8" s="25" t="str">
        <f>IF(B8="","",D8*CORTES!$B$13+E8*CORTES!$B$14+F8*CORTES!$B$12+G8*CORTES!$B$15+H8*CORTES!$B$16)</f>
        <v/>
      </c>
    </row>
    <row r="9" spans="1:9" ht="15.6" x14ac:dyDescent="0.3">
      <c r="A9" s="7">
        <v>8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4" t="str">
        <f t="shared" si="0"/>
        <v/>
      </c>
      <c r="E9" s="4" t="str">
        <f t="shared" si="1"/>
        <v/>
      </c>
      <c r="F9" s="4" t="str">
        <f t="shared" si="2"/>
        <v/>
      </c>
      <c r="G9" s="4" t="str">
        <f t="shared" si="3"/>
        <v/>
      </c>
      <c r="H9" s="25" t="str">
        <f t="shared" si="4"/>
        <v/>
      </c>
      <c r="I9" s="25" t="str">
        <f>IF(B9="","",D9*CORTES!$B$13+E9*CORTES!$B$14+F9*CORTES!$B$12+G9*CORTES!$B$15+H9*CORTES!$B$16)</f>
        <v/>
      </c>
    </row>
    <row r="10" spans="1:9" ht="15.6" x14ac:dyDescent="0.3">
      <c r="A10" s="7">
        <v>9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4" t="str">
        <f t="shared" si="0"/>
        <v/>
      </c>
      <c r="E10" s="4" t="str">
        <f t="shared" si="1"/>
        <v/>
      </c>
      <c r="F10" s="4" t="str">
        <f t="shared" si="2"/>
        <v/>
      </c>
      <c r="G10" s="4" t="str">
        <f t="shared" si="3"/>
        <v/>
      </c>
      <c r="H10" s="25" t="str">
        <f t="shared" si="4"/>
        <v/>
      </c>
      <c r="I10" s="25" t="str">
        <f>IF(B10="","",D10*CORTES!$B$13+E10*CORTES!$B$14+F10*CORTES!$B$12+G10*CORTES!$B$15+H10*CORTES!$B$16)</f>
        <v/>
      </c>
    </row>
    <row r="11" spans="1:9" ht="15.6" x14ac:dyDescent="0.3">
      <c r="A11" s="7">
        <v>10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H11" s="25" t="str">
        <f t="shared" si="4"/>
        <v/>
      </c>
      <c r="I11" s="25" t="str">
        <f>IF(B11="","",D11*CORTES!$B$13+E11*CORTES!$B$14+F11*CORTES!$B$12+G11*CORTES!$B$15+H11*CORTES!$B$16)</f>
        <v/>
      </c>
    </row>
    <row r="12" spans="1:9" ht="15.6" x14ac:dyDescent="0.3">
      <c r="A12" s="7">
        <v>11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H12" s="25" t="str">
        <f t="shared" si="4"/>
        <v/>
      </c>
      <c r="I12" s="25" t="str">
        <f>IF(B12="","",D12*CORTES!$B$13+E12*CORTES!$B$14+F12*CORTES!$B$12+G12*CORTES!$B$15+H12*CORTES!$B$16)</f>
        <v/>
      </c>
    </row>
    <row r="13" spans="1:9" ht="15.6" x14ac:dyDescent="0.3">
      <c r="A13" s="7">
        <v>12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H13" s="25" t="str">
        <f t="shared" si="4"/>
        <v/>
      </c>
      <c r="I13" s="25" t="str">
        <f>IF(B13="","",D13*CORTES!$B$13+E13*CORTES!$B$14+F13*CORTES!$B$12+G13*CORTES!$B$15+H13*CORTES!$B$16)</f>
        <v/>
      </c>
    </row>
    <row r="14" spans="1:9" ht="15.6" x14ac:dyDescent="0.3">
      <c r="A14" s="7">
        <v>13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H14" s="25" t="str">
        <f t="shared" si="4"/>
        <v/>
      </c>
      <c r="I14" s="25" t="str">
        <f>IF(B14="","",D14*CORTES!$B$13+E14*CORTES!$B$14+F14*CORTES!$B$12+G14*CORTES!$B$15+H14*CORTES!$B$16)</f>
        <v/>
      </c>
    </row>
    <row r="15" spans="1:9" ht="15.6" x14ac:dyDescent="0.3">
      <c r="A15" s="7">
        <v>14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H15" s="25" t="str">
        <f t="shared" si="4"/>
        <v/>
      </c>
      <c r="I15" s="25" t="str">
        <f>IF(B15="","",D15*CORTES!$B$13+E15*CORTES!$B$14+F15*CORTES!$B$12+G15*CORTES!$B$15+H15*CORTES!$B$16)</f>
        <v/>
      </c>
    </row>
    <row r="16" spans="1:9" ht="15.6" x14ac:dyDescent="0.3">
      <c r="A16" s="7">
        <v>15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H16" s="25" t="str">
        <f t="shared" si="4"/>
        <v/>
      </c>
      <c r="I16" s="25" t="str">
        <f>IF(B16="","",D16*CORTES!$B$13+E16*CORTES!$B$14+F16*CORTES!$B$12+G16*CORTES!$B$15+H16*CORTES!$B$16)</f>
        <v/>
      </c>
    </row>
    <row r="17" spans="1:18" ht="15.6" x14ac:dyDescent="0.3">
      <c r="A17" s="7">
        <v>16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H17" s="25" t="str">
        <f t="shared" si="4"/>
        <v/>
      </c>
      <c r="I17" s="25" t="str">
        <f>IF(B17="","",D17*CORTES!$B$13+E17*CORTES!$B$14+F17*CORTES!$B$12+G17*CORTES!$B$15+H17*CORTES!$B$16)</f>
        <v/>
      </c>
    </row>
    <row r="18" spans="1:18" ht="15.6" x14ac:dyDescent="0.3">
      <c r="A18" s="7">
        <v>17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H18" s="25" t="str">
        <f t="shared" si="4"/>
        <v/>
      </c>
      <c r="I18" s="25" t="str">
        <f>IF(B18="","",D18*CORTES!$B$13+E18*CORTES!$B$14+F18*CORTES!$B$12+G18*CORTES!$B$15+H18*CORTES!$B$16)</f>
        <v/>
      </c>
    </row>
    <row r="19" spans="1:18" ht="15.6" x14ac:dyDescent="0.3">
      <c r="A19" s="7">
        <v>18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H19" s="25" t="str">
        <f t="shared" si="4"/>
        <v/>
      </c>
      <c r="I19" s="25" t="str">
        <f>IF(B19="","",D19*CORTES!$B$13+E19*CORTES!$B$14+F19*CORTES!$B$12+G19*CORTES!$B$15+H19*CORTES!$B$16)</f>
        <v/>
      </c>
    </row>
    <row r="20" spans="1:18" ht="15.6" x14ac:dyDescent="0.3">
      <c r="A20" s="7">
        <v>19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H20" s="25" t="str">
        <f t="shared" si="4"/>
        <v/>
      </c>
      <c r="I20" s="25" t="str">
        <f>IF(B20="","",D20*CORTES!$B$13+E20*CORTES!$B$14+F20*CORTES!$B$12+G20*CORTES!$B$15+H20*CORTES!$B$16)</f>
        <v/>
      </c>
    </row>
    <row r="21" spans="1:18" ht="15.6" x14ac:dyDescent="0.3">
      <c r="A21" s="7">
        <v>20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H21" s="25" t="str">
        <f t="shared" si="4"/>
        <v/>
      </c>
      <c r="I21" s="25" t="str">
        <f>IF(B21="","",D21*CORTES!$B$13+E21*CORTES!$B$14+F21*CORTES!$B$12+G21*CORTES!$B$15+H21*CORTES!$B$16)</f>
        <v/>
      </c>
    </row>
    <row r="22" spans="1:18" ht="15.6" x14ac:dyDescent="0.3">
      <c r="A22" s="7">
        <v>21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H22" s="25" t="str">
        <f t="shared" si="4"/>
        <v/>
      </c>
      <c r="I22" s="25" t="str">
        <f>IF(B22="","",D22*CORTES!$B$13+E22*CORTES!$B$14+F22*CORTES!$B$12+G22*CORTES!$B$15+H22*CORTES!$B$16)</f>
        <v/>
      </c>
    </row>
    <row r="23" spans="1:18" ht="15.6" x14ac:dyDescent="0.3">
      <c r="A23" s="7">
        <v>22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H23" s="25" t="str">
        <f t="shared" si="4"/>
        <v/>
      </c>
      <c r="I23" s="25" t="str">
        <f>IF(B23="","",D23*CORTES!$B$13+E23*CORTES!$B$14+F23*CORTES!$B$12+G23*CORTES!$B$15+H23*CORTES!$B$16)</f>
        <v/>
      </c>
    </row>
    <row r="24" spans="1:18" ht="15.6" x14ac:dyDescent="0.3">
      <c r="A24" s="7">
        <v>23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H24" s="25" t="str">
        <f t="shared" si="4"/>
        <v/>
      </c>
      <c r="I24" s="25" t="str">
        <f>IF(B24="","",D24*CORTES!$B$13+E24*CORTES!$B$14+F24*CORTES!$B$12+G24*CORTES!$B$15+H24*CORTES!$B$16)</f>
        <v/>
      </c>
    </row>
    <row r="25" spans="1:18" ht="15.6" x14ac:dyDescent="0.3">
      <c r="A25" s="7">
        <v>24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H25" s="25" t="str">
        <f t="shared" si="4"/>
        <v/>
      </c>
      <c r="I25" s="25" t="str">
        <f>IF(B25="","",D25*CORTES!$B$13+E25*CORTES!$B$14+F25*CORTES!$B$12+G25*CORTES!$B$15+H25*CORTES!$B$16)</f>
        <v/>
      </c>
    </row>
    <row r="26" spans="1:18" ht="15.6" x14ac:dyDescent="0.3">
      <c r="A26" s="7">
        <v>25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H26" s="25" t="str">
        <f t="shared" si="4"/>
        <v/>
      </c>
      <c r="I26" s="25" t="str">
        <f>IF(B26="","",D26*CORTES!$B$13+E26*CORTES!$B$14+F26*CORTES!$B$12+G26*CORTES!$B$15+H26*CORTES!$B$16)</f>
        <v/>
      </c>
    </row>
    <row r="27" spans="1:18" ht="15.6" x14ac:dyDescent="0.3">
      <c r="A27" s="7">
        <v>26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H27" s="25" t="str">
        <f t="shared" si="4"/>
        <v/>
      </c>
      <c r="I27" s="25" t="str">
        <f>IF(B27="","",D27*CORTES!$B$13+E27*CORTES!$B$14+F27*CORTES!$B$12+G27*CORTES!$B$15+H27*CORTES!$B$16)</f>
        <v/>
      </c>
    </row>
    <row r="28" spans="1:18" ht="15.6" x14ac:dyDescent="0.3">
      <c r="A28" s="7">
        <v>27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H28" s="25" t="str">
        <f t="shared" si="4"/>
        <v/>
      </c>
      <c r="I28" s="25" t="str">
        <f>IF(B28="","",D28*CORTES!$B$13+E28*CORTES!$B$14+F28*CORTES!$B$12+G28*CORTES!$B$15+H28*CORTES!$B$16)</f>
        <v/>
      </c>
    </row>
    <row r="29" spans="1:18" ht="15.6" x14ac:dyDescent="0.3">
      <c r="A29" s="7">
        <v>28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H29" s="25" t="str">
        <f t="shared" si="4"/>
        <v/>
      </c>
      <c r="I29" s="25" t="str">
        <f>IF(B29="","",D29*CORTES!$B$13+E29*CORTES!$B$14+F29*CORTES!$B$12+G29*CORTES!$B$15+H29*CORTES!$B$16)</f>
        <v/>
      </c>
    </row>
    <row r="30" spans="1:18" ht="15.6" x14ac:dyDescent="0.3">
      <c r="A30" s="7">
        <v>29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H30" s="25" t="str">
        <f t="shared" si="4"/>
        <v/>
      </c>
      <c r="I30" s="25" t="str">
        <f>IF(B30="","",D30*CORTES!$B$13+E30*CORTES!$B$14+F30*CORTES!$B$12+G30*CORTES!$B$15+H30*CORTES!$B$16)</f>
        <v/>
      </c>
      <c r="P30" s="1" t="s">
        <v>68</v>
      </c>
      <c r="Q30" s="1" t="s">
        <v>17</v>
      </c>
      <c r="R30" s="1" t="s">
        <v>18</v>
      </c>
    </row>
    <row r="31" spans="1:18" ht="15.6" x14ac:dyDescent="0.3">
      <c r="A31" s="7">
        <v>30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H31" s="25" t="str">
        <f t="shared" si="4"/>
        <v/>
      </c>
      <c r="I31" s="25" t="str">
        <f>IF(B31="","",D31*CORTES!$B$13+E31*CORTES!$B$14+F31*CORTES!$B$12+G31*CORTES!$B$15+H31*CORTES!$B$16)</f>
        <v/>
      </c>
      <c r="P31" s="28">
        <v>1</v>
      </c>
      <c r="Q31" s="32" t="str">
        <f>VLOOKUP(RANKING!G2,RANKING!$B:$D,3,0)</f>
        <v>LEONARDO MESQUITA</v>
      </c>
      <c r="R31" s="34">
        <f>LARGE(RANKING!$C$2:$C$29,NOTAS!P31)</f>
        <v>0</v>
      </c>
    </row>
    <row r="32" spans="1:18" ht="15.6" x14ac:dyDescent="0.3">
      <c r="A32" s="7">
        <v>31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H32" s="25" t="str">
        <f t="shared" si="4"/>
        <v/>
      </c>
      <c r="I32" s="25" t="str">
        <f>IF(B32="","",D32*CORTES!$B$13+E32*CORTES!$B$14+F32*CORTES!$B$12+G32*CORTES!$B$15+H32*CORTES!$B$16)</f>
        <v/>
      </c>
      <c r="P32" s="28">
        <v>2</v>
      </c>
      <c r="Q32" s="32" t="str">
        <f>VLOOKUP(RANKING!G3,RANKING!$B:$D,3,0)</f>
        <v>CAIO CITÓ</v>
      </c>
      <c r="R32" s="34">
        <f>LARGE(RANKING!$C$2:$C$29,NOTAS!P32)</f>
        <v>0</v>
      </c>
    </row>
    <row r="33" spans="1:18" ht="15.6" x14ac:dyDescent="0.3">
      <c r="A33" s="7">
        <v>32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H33" s="25" t="str">
        <f t="shared" si="4"/>
        <v/>
      </c>
      <c r="I33" s="25" t="str">
        <f>IF(B33="","",D33*CORTES!$B$13+E33*CORTES!$B$14+F33*CORTES!$B$12+G33*CORTES!$B$15+H33*CORTES!$B$16)</f>
        <v/>
      </c>
      <c r="P33" s="28">
        <v>3</v>
      </c>
      <c r="Q33" s="32" t="str">
        <f>VLOOKUP(RANKING!G4,RANKING!$B:$D,3,0)</f>
        <v>ARTHUR CITÓ</v>
      </c>
      <c r="R33" s="34">
        <f>LARGE(RANKING!$C$2:$C$29,NOTAS!P33)</f>
        <v>0</v>
      </c>
    </row>
    <row r="34" spans="1:18" ht="15.6" x14ac:dyDescent="0.3">
      <c r="A34" s="7">
        <v>33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4" t="str">
        <f t="shared" ref="D34:D65" si="5">VLOOKUP($C34,NotaIndividualPorAlunoFIS,12,0)</f>
        <v/>
      </c>
      <c r="E34" s="4" t="str">
        <f t="shared" ref="E34:E65" si="6">VLOOKUP($C34,NotaIndividualPorAlunoQUI,12,0)</f>
        <v/>
      </c>
      <c r="F34" s="4" t="str">
        <f t="shared" ref="F34:F65" si="7">VLOOKUP($C34,NotaIndividualPorAlunoMAT,12,0)</f>
        <v/>
      </c>
      <c r="G34" s="4" t="str">
        <f t="shared" ref="G34:G65" si="8">VLOOKUP($C34,NotaIndividualPorAlunoRED,7,0)</f>
        <v/>
      </c>
      <c r="H34" s="25" t="str">
        <f t="shared" ref="H34:H65" si="9">VLOOKUP($C34,NotaIndividualPorAlunoPROVAO,13,0)</f>
        <v/>
      </c>
      <c r="I34" s="25" t="str">
        <f>IF(B34="","",D34*CORTES!$B$13+E34*CORTES!$B$14+F34*CORTES!$B$12+G34*CORTES!$B$15+H34*CORTES!$B$16)</f>
        <v/>
      </c>
      <c r="P34" s="28">
        <v>4</v>
      </c>
      <c r="Q34" s="32" t="e">
        <f>VLOOKUP(RANKING!G5,RANKING!$B:$D,3,0)</f>
        <v>#NUM!</v>
      </c>
      <c r="R34" s="34" t="e">
        <f>LARGE(RANKING!$C$2:$C$29,NOTAS!P34)</f>
        <v>#NUM!</v>
      </c>
    </row>
    <row r="35" spans="1:18" ht="15.6" x14ac:dyDescent="0.3">
      <c r="A35" s="7">
        <v>34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4" t="str">
        <f t="shared" si="5"/>
        <v/>
      </c>
      <c r="E35" s="4" t="str">
        <f t="shared" si="6"/>
        <v/>
      </c>
      <c r="F35" s="4" t="str">
        <f t="shared" si="7"/>
        <v/>
      </c>
      <c r="G35" s="4" t="str">
        <f t="shared" si="8"/>
        <v/>
      </c>
      <c r="H35" s="25" t="str">
        <f t="shared" si="9"/>
        <v/>
      </c>
      <c r="I35" s="25" t="str">
        <f>IF(B35="","",D35*CORTES!$B$13+E35*CORTES!$B$14+F35*CORTES!$B$12+G35*CORTES!$B$15+H35*CORTES!$B$16)</f>
        <v/>
      </c>
      <c r="P35" s="28">
        <v>5</v>
      </c>
      <c r="Q35" s="32" t="e">
        <f>VLOOKUP(RANKING!G6,RANKING!$B:$D,3,0)</f>
        <v>#NUM!</v>
      </c>
      <c r="R35" s="34" t="e">
        <f>LARGE(RANKING!$C$2:$C$29,NOTAS!P35)</f>
        <v>#NUM!</v>
      </c>
    </row>
    <row r="36" spans="1:18" ht="15.6" x14ac:dyDescent="0.3">
      <c r="A36" s="7">
        <v>35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4" t="str">
        <f t="shared" si="5"/>
        <v/>
      </c>
      <c r="E36" s="4" t="str">
        <f t="shared" si="6"/>
        <v/>
      </c>
      <c r="F36" s="4" t="str">
        <f t="shared" si="7"/>
        <v/>
      </c>
      <c r="G36" s="4" t="str">
        <f t="shared" si="8"/>
        <v/>
      </c>
      <c r="H36" s="25" t="str">
        <f t="shared" si="9"/>
        <v/>
      </c>
      <c r="I36" s="25" t="str">
        <f>IF(B36="","",D36*CORTES!$B$13+E36*CORTES!$B$14+F36*CORTES!$B$12+G36*CORTES!$B$15+H36*CORTES!$B$16)</f>
        <v/>
      </c>
      <c r="P36" s="28">
        <v>6</v>
      </c>
      <c r="Q36" s="32" t="e">
        <f>VLOOKUP(RANKING!G7,RANKING!$B:$D,3,0)</f>
        <v>#NUM!</v>
      </c>
      <c r="R36" s="34" t="e">
        <f>LARGE(RANKING!$C$2:$C$29,NOTAS!P36)</f>
        <v>#NUM!</v>
      </c>
    </row>
    <row r="37" spans="1:18" ht="15.6" x14ac:dyDescent="0.3">
      <c r="A37" s="7">
        <v>36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4" t="str">
        <f t="shared" si="5"/>
        <v/>
      </c>
      <c r="E37" s="4" t="str">
        <f t="shared" si="6"/>
        <v/>
      </c>
      <c r="F37" s="4" t="str">
        <f t="shared" si="7"/>
        <v/>
      </c>
      <c r="G37" s="4" t="str">
        <f t="shared" si="8"/>
        <v/>
      </c>
      <c r="H37" s="25" t="str">
        <f t="shared" si="9"/>
        <v/>
      </c>
      <c r="I37" s="25" t="str">
        <f>IF(B37="","",D37*CORTES!$B$13+E37*CORTES!$B$14+F37*CORTES!$B$12+G37*CORTES!$B$15+H37*CORTES!$B$16)</f>
        <v/>
      </c>
      <c r="P37" s="28">
        <v>7</v>
      </c>
      <c r="Q37" s="32" t="e">
        <f>VLOOKUP(RANKING!G8,RANKING!$B:$D,3,0)</f>
        <v>#NUM!</v>
      </c>
      <c r="R37" s="34" t="e">
        <f>LARGE(RANKING!$C$2:$C$29,NOTAS!P37)</f>
        <v>#NUM!</v>
      </c>
    </row>
    <row r="38" spans="1:18" ht="15.6" x14ac:dyDescent="0.3">
      <c r="A38" s="7">
        <v>37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4" t="str">
        <f t="shared" si="5"/>
        <v/>
      </c>
      <c r="E38" s="4" t="str">
        <f t="shared" si="6"/>
        <v/>
      </c>
      <c r="F38" s="4" t="str">
        <f t="shared" si="7"/>
        <v/>
      </c>
      <c r="G38" s="4" t="str">
        <f t="shared" si="8"/>
        <v/>
      </c>
      <c r="H38" s="25" t="str">
        <f t="shared" si="9"/>
        <v/>
      </c>
      <c r="I38" s="25" t="str">
        <f>IF(B38="","",D38*CORTES!$B$13+E38*CORTES!$B$14+F38*CORTES!$B$12+G38*CORTES!$B$15+H38*CORTES!$B$16)</f>
        <v/>
      </c>
      <c r="P38" s="28">
        <v>8</v>
      </c>
      <c r="Q38" s="32" t="e">
        <f>VLOOKUP(RANKING!G9,RANKING!$B:$D,3,0)</f>
        <v>#NUM!</v>
      </c>
      <c r="R38" s="34" t="e">
        <f>LARGE(RANKING!$C$2:$C$29,NOTAS!P38)</f>
        <v>#NUM!</v>
      </c>
    </row>
    <row r="39" spans="1:18" ht="15.6" x14ac:dyDescent="0.3">
      <c r="A39" s="7">
        <v>38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4" t="str">
        <f t="shared" si="5"/>
        <v/>
      </c>
      <c r="E39" s="4" t="str">
        <f t="shared" si="6"/>
        <v/>
      </c>
      <c r="F39" s="4" t="str">
        <f t="shared" si="7"/>
        <v/>
      </c>
      <c r="G39" s="4" t="str">
        <f t="shared" si="8"/>
        <v/>
      </c>
      <c r="H39" s="25" t="str">
        <f t="shared" si="9"/>
        <v/>
      </c>
      <c r="I39" s="25" t="str">
        <f>IF(B39="","",D39*CORTES!$B$13+E39*CORTES!$B$14+F39*CORTES!$B$12+G39*CORTES!$B$15+H39*CORTES!$B$16)</f>
        <v/>
      </c>
      <c r="P39" s="28">
        <v>9</v>
      </c>
      <c r="Q39" s="32" t="e">
        <f>VLOOKUP(RANKING!G10,RANKING!$B:$D,3,0)</f>
        <v>#NUM!</v>
      </c>
      <c r="R39" s="34" t="e">
        <f>LARGE(RANKING!$C$2:$C$29,NOTAS!P39)</f>
        <v>#NUM!</v>
      </c>
    </row>
    <row r="40" spans="1:18" ht="15.6" x14ac:dyDescent="0.3">
      <c r="A40" s="7">
        <v>39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4" t="str">
        <f t="shared" si="5"/>
        <v/>
      </c>
      <c r="E40" s="4" t="str">
        <f t="shared" si="6"/>
        <v/>
      </c>
      <c r="F40" s="4" t="str">
        <f t="shared" si="7"/>
        <v/>
      </c>
      <c r="G40" s="4" t="str">
        <f t="shared" si="8"/>
        <v/>
      </c>
      <c r="H40" s="25" t="str">
        <f t="shared" si="9"/>
        <v/>
      </c>
      <c r="I40" s="25" t="str">
        <f>IF(B40="","",D40*CORTES!$B$13+E40*CORTES!$B$14+F40*CORTES!$B$12+G40*CORTES!$B$15+H40*CORTES!$B$16)</f>
        <v/>
      </c>
      <c r="P40" s="28">
        <v>10</v>
      </c>
      <c r="Q40" s="32" t="e">
        <f>VLOOKUP(RANKING!G11,RANKING!$B:$D,3,0)</f>
        <v>#NUM!</v>
      </c>
      <c r="R40" s="34" t="e">
        <f>LARGE(RANKING!$C$2:$C$29,NOTAS!P40)</f>
        <v>#NUM!</v>
      </c>
    </row>
    <row r="41" spans="1:18" ht="15.6" x14ac:dyDescent="0.3">
      <c r="A41" s="7">
        <v>40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4" t="str">
        <f t="shared" si="5"/>
        <v/>
      </c>
      <c r="E41" s="4" t="str">
        <f t="shared" si="6"/>
        <v/>
      </c>
      <c r="F41" s="4" t="str">
        <f t="shared" si="7"/>
        <v/>
      </c>
      <c r="G41" s="4" t="str">
        <f t="shared" si="8"/>
        <v/>
      </c>
      <c r="H41" s="25" t="str">
        <f t="shared" si="9"/>
        <v/>
      </c>
      <c r="I41" s="25" t="str">
        <f>IF(B41="","",D41*CORTES!$B$13+E41*CORTES!$B$14+F41*CORTES!$B$12+G41*CORTES!$B$15+H41*CORTES!$B$16)</f>
        <v/>
      </c>
      <c r="P41" s="28">
        <v>11</v>
      </c>
      <c r="Q41" s="32" t="e">
        <f>VLOOKUP(RANKING!G12,RANKING!$B:$D,3,0)</f>
        <v>#NUM!</v>
      </c>
      <c r="R41" s="34" t="e">
        <f>LARGE(RANKING!$C$2:$C$29,NOTAS!P41)</f>
        <v>#NUM!</v>
      </c>
    </row>
    <row r="42" spans="1:18" ht="15.6" x14ac:dyDescent="0.3">
      <c r="A42" s="7">
        <v>41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4" t="str">
        <f t="shared" si="5"/>
        <v/>
      </c>
      <c r="E42" s="4" t="str">
        <f t="shared" si="6"/>
        <v/>
      </c>
      <c r="F42" s="4" t="str">
        <f t="shared" si="7"/>
        <v/>
      </c>
      <c r="G42" s="4" t="str">
        <f t="shared" si="8"/>
        <v/>
      </c>
      <c r="H42" s="25" t="str">
        <f t="shared" si="9"/>
        <v/>
      </c>
      <c r="I42" s="25" t="str">
        <f>IF(B42="","",D42*CORTES!$B$13+E42*CORTES!$B$14+F42*CORTES!$B$12+G42*CORTES!$B$15+H42*CORTES!$B$16)</f>
        <v/>
      </c>
      <c r="P42" s="28">
        <v>12</v>
      </c>
      <c r="Q42" s="32" t="e">
        <f>VLOOKUP(RANKING!G13,RANKING!$B:$D,3,0)</f>
        <v>#NUM!</v>
      </c>
      <c r="R42" s="34" t="e">
        <f>LARGE(RANKING!$C$2:$C$29,NOTAS!P42)</f>
        <v>#NUM!</v>
      </c>
    </row>
    <row r="43" spans="1:18" ht="15.6" x14ac:dyDescent="0.3">
      <c r="A43" s="7">
        <v>42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4" t="str">
        <f t="shared" si="5"/>
        <v/>
      </c>
      <c r="E43" s="4" t="str">
        <f t="shared" si="6"/>
        <v/>
      </c>
      <c r="F43" s="4" t="str">
        <f t="shared" si="7"/>
        <v/>
      </c>
      <c r="G43" s="4" t="str">
        <f t="shared" si="8"/>
        <v/>
      </c>
      <c r="H43" s="25" t="str">
        <f t="shared" si="9"/>
        <v/>
      </c>
      <c r="I43" s="25" t="str">
        <f>IF(B43="","",D43*CORTES!$B$13+E43*CORTES!$B$14+F43*CORTES!$B$12+G43*CORTES!$B$15+H43*CORTES!$B$16)</f>
        <v/>
      </c>
      <c r="P43" s="28">
        <v>13</v>
      </c>
      <c r="Q43" s="32" t="e">
        <f>VLOOKUP(RANKING!G14,RANKING!$B:$D,3,0)</f>
        <v>#NUM!</v>
      </c>
      <c r="R43" s="34" t="e">
        <f>LARGE(RANKING!$C$2:$C$29,NOTAS!P43)</f>
        <v>#NUM!</v>
      </c>
    </row>
    <row r="44" spans="1:18" ht="15.6" x14ac:dyDescent="0.3">
      <c r="A44" s="7">
        <v>43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4" t="str">
        <f t="shared" si="5"/>
        <v/>
      </c>
      <c r="E44" s="4" t="str">
        <f t="shared" si="6"/>
        <v/>
      </c>
      <c r="F44" s="4" t="str">
        <f t="shared" si="7"/>
        <v/>
      </c>
      <c r="G44" s="4" t="str">
        <f t="shared" si="8"/>
        <v/>
      </c>
      <c r="H44" s="25" t="str">
        <f t="shared" si="9"/>
        <v/>
      </c>
      <c r="I44" s="25" t="str">
        <f>IF(B44="","",D44*CORTES!$B$13+E44*CORTES!$B$14+F44*CORTES!$B$12+G44*CORTES!$B$15+H44*CORTES!$B$16)</f>
        <v/>
      </c>
      <c r="P44" s="28">
        <v>14</v>
      </c>
      <c r="Q44" s="32" t="e">
        <f>VLOOKUP(RANKING!G15,RANKING!$B:$D,3,0)</f>
        <v>#NUM!</v>
      </c>
      <c r="R44" s="34" t="e">
        <f>LARGE(RANKING!$C$2:$C$29,NOTAS!P44)</f>
        <v>#NUM!</v>
      </c>
    </row>
    <row r="45" spans="1:18" ht="15.6" x14ac:dyDescent="0.3">
      <c r="A45" s="7">
        <v>44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4" t="str">
        <f t="shared" si="5"/>
        <v/>
      </c>
      <c r="E45" s="4" t="str">
        <f t="shared" si="6"/>
        <v/>
      </c>
      <c r="F45" s="4" t="str">
        <f t="shared" si="7"/>
        <v/>
      </c>
      <c r="G45" s="4" t="str">
        <f t="shared" si="8"/>
        <v/>
      </c>
      <c r="H45" s="25" t="str">
        <f t="shared" si="9"/>
        <v/>
      </c>
      <c r="I45" s="25" t="str">
        <f>IF(B45="","",D45*CORTES!$B$13+E45*CORTES!$B$14+F45*CORTES!$B$12+G45*CORTES!$B$15+H45*CORTES!$B$16)</f>
        <v/>
      </c>
      <c r="P45" s="28">
        <v>15</v>
      </c>
      <c r="Q45" s="32" t="e">
        <f>VLOOKUP(RANKING!G16,RANKING!$B:$D,3,0)</f>
        <v>#NUM!</v>
      </c>
      <c r="R45" s="34" t="e">
        <f>LARGE(RANKING!$C$2:$C$29,NOTAS!P45)</f>
        <v>#NUM!</v>
      </c>
    </row>
    <row r="46" spans="1:18" ht="15.6" x14ac:dyDescent="0.3">
      <c r="A46" s="7">
        <v>45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4" t="str">
        <f t="shared" si="5"/>
        <v/>
      </c>
      <c r="E46" s="4" t="str">
        <f t="shared" si="6"/>
        <v/>
      </c>
      <c r="F46" s="4" t="str">
        <f t="shared" si="7"/>
        <v/>
      </c>
      <c r="G46" s="4" t="str">
        <f t="shared" si="8"/>
        <v/>
      </c>
      <c r="H46" s="25" t="str">
        <f t="shared" si="9"/>
        <v/>
      </c>
      <c r="I46" s="25" t="str">
        <f>IF(B46="","",D46*CORTES!$B$13+E46*CORTES!$B$14+F46*CORTES!$B$12+G46*CORTES!$B$15+H46*CORTES!$B$16)</f>
        <v/>
      </c>
      <c r="P46" s="28">
        <v>16</v>
      </c>
      <c r="Q46" s="32" t="e">
        <f>VLOOKUP(RANKING!G17,RANKING!$B:$D,3,0)</f>
        <v>#NUM!</v>
      </c>
      <c r="R46" s="34" t="e">
        <f>LARGE(RANKING!$C$2:$C$29,NOTAS!P46)</f>
        <v>#NUM!</v>
      </c>
    </row>
    <row r="47" spans="1:18" ht="15.6" x14ac:dyDescent="0.3">
      <c r="A47" s="7">
        <v>46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4" t="str">
        <f t="shared" si="5"/>
        <v/>
      </c>
      <c r="E47" s="4" t="str">
        <f t="shared" si="6"/>
        <v/>
      </c>
      <c r="F47" s="4" t="str">
        <f t="shared" si="7"/>
        <v/>
      </c>
      <c r="G47" s="4" t="str">
        <f t="shared" si="8"/>
        <v/>
      </c>
      <c r="H47" s="25" t="str">
        <f t="shared" si="9"/>
        <v/>
      </c>
      <c r="I47" s="25" t="str">
        <f>IF(B47="","",D47*CORTES!$B$13+E47*CORTES!$B$14+F47*CORTES!$B$12+G47*CORTES!$B$15+H47*CORTES!$B$16)</f>
        <v/>
      </c>
      <c r="P47" s="28">
        <v>17</v>
      </c>
      <c r="Q47" s="32" t="e">
        <f>VLOOKUP(RANKING!G18,RANKING!$B:$D,3,0)</f>
        <v>#NUM!</v>
      </c>
      <c r="R47" s="34" t="e">
        <f>LARGE(RANKING!$C$2:$C$29,NOTAS!P47)</f>
        <v>#NUM!</v>
      </c>
    </row>
    <row r="48" spans="1:18" ht="15.6" x14ac:dyDescent="0.3">
      <c r="A48" s="7">
        <v>47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4" t="str">
        <f t="shared" si="5"/>
        <v/>
      </c>
      <c r="E48" s="4" t="str">
        <f t="shared" si="6"/>
        <v/>
      </c>
      <c r="F48" s="4" t="str">
        <f t="shared" si="7"/>
        <v/>
      </c>
      <c r="G48" s="4" t="str">
        <f t="shared" si="8"/>
        <v/>
      </c>
      <c r="H48" s="25" t="str">
        <f t="shared" si="9"/>
        <v/>
      </c>
      <c r="I48" s="25" t="str">
        <f>IF(B48="","",D48*CORTES!$B$13+E48*CORTES!$B$14+F48*CORTES!$B$12+G48*CORTES!$B$15+H48*CORTES!$B$16)</f>
        <v/>
      </c>
      <c r="P48" s="28">
        <v>18</v>
      </c>
      <c r="Q48" s="32" t="e">
        <f>VLOOKUP(RANKING!G19,RANKING!$B:$D,3,0)</f>
        <v>#NUM!</v>
      </c>
      <c r="R48" s="34" t="e">
        <f>LARGE(RANKING!$C$2:$C$29,NOTAS!P48)</f>
        <v>#NUM!</v>
      </c>
    </row>
    <row r="49" spans="1:18" ht="15.6" x14ac:dyDescent="0.3">
      <c r="A49" s="7">
        <v>48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4" t="str">
        <f t="shared" si="5"/>
        <v/>
      </c>
      <c r="E49" s="4" t="str">
        <f t="shared" si="6"/>
        <v/>
      </c>
      <c r="F49" s="4" t="str">
        <f t="shared" si="7"/>
        <v/>
      </c>
      <c r="G49" s="4" t="str">
        <f t="shared" si="8"/>
        <v/>
      </c>
      <c r="H49" s="25" t="str">
        <f t="shared" si="9"/>
        <v/>
      </c>
      <c r="I49" s="25" t="str">
        <f>IF(B49="","",D49*CORTES!$B$13+E49*CORTES!$B$14+F49*CORTES!$B$12+G49*CORTES!$B$15+H49*CORTES!$B$16)</f>
        <v/>
      </c>
      <c r="P49" s="28">
        <v>19</v>
      </c>
      <c r="Q49" s="32" t="e">
        <f>VLOOKUP(RANKING!G20,RANKING!$B:$D,3,0)</f>
        <v>#NUM!</v>
      </c>
      <c r="R49" s="34" t="e">
        <f>LARGE(RANKING!$C$2:$C$29,NOTAS!P49)</f>
        <v>#NUM!</v>
      </c>
    </row>
    <row r="50" spans="1:18" ht="15.6" x14ac:dyDescent="0.3">
      <c r="A50" s="7">
        <v>49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4" t="str">
        <f t="shared" si="5"/>
        <v/>
      </c>
      <c r="E50" s="4" t="str">
        <f t="shared" si="6"/>
        <v/>
      </c>
      <c r="F50" s="4" t="str">
        <f t="shared" si="7"/>
        <v/>
      </c>
      <c r="G50" s="4" t="str">
        <f t="shared" si="8"/>
        <v/>
      </c>
      <c r="H50" s="25" t="str">
        <f t="shared" si="9"/>
        <v/>
      </c>
      <c r="I50" s="25" t="str">
        <f>IF(B50="","",D50*CORTES!$B$13+E50*CORTES!$B$14+F50*CORTES!$B$12+G50*CORTES!$B$15+H50*CORTES!$B$16)</f>
        <v/>
      </c>
      <c r="P50" s="28">
        <v>20</v>
      </c>
      <c r="Q50" s="32" t="e">
        <f>VLOOKUP(RANKING!G21,RANKING!$B:$D,3,0)</f>
        <v>#NUM!</v>
      </c>
      <c r="R50" s="34" t="e">
        <f>LARGE(RANKING!$C$2:$C$29,NOTAS!P50)</f>
        <v>#NUM!</v>
      </c>
    </row>
    <row r="51" spans="1:18" ht="15.6" x14ac:dyDescent="0.3">
      <c r="A51" s="7">
        <v>50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4" t="str">
        <f t="shared" si="5"/>
        <v/>
      </c>
      <c r="E51" s="4" t="str">
        <f t="shared" si="6"/>
        <v/>
      </c>
      <c r="F51" s="4" t="str">
        <f t="shared" si="7"/>
        <v/>
      </c>
      <c r="G51" s="4" t="str">
        <f t="shared" si="8"/>
        <v/>
      </c>
      <c r="H51" s="25" t="str">
        <f t="shared" si="9"/>
        <v/>
      </c>
      <c r="I51" s="25" t="str">
        <f>IF(B51="","",D51*CORTES!$B$13+E51*CORTES!$B$14+F51*CORTES!$B$12+G51*CORTES!$B$15+H51*CORTES!$B$16)</f>
        <v/>
      </c>
      <c r="P51" s="28">
        <v>21</v>
      </c>
      <c r="Q51" s="32" t="e">
        <f>VLOOKUP(RANKING!G22,RANKING!$B:$D,3,0)</f>
        <v>#NUM!</v>
      </c>
      <c r="R51" s="34" t="e">
        <f>LARGE(RANKING!$C$2:$C$29,NOTAS!P51)</f>
        <v>#NUM!</v>
      </c>
    </row>
    <row r="52" spans="1:18" ht="15.6" x14ac:dyDescent="0.3">
      <c r="A52" s="7">
        <v>51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4" t="str">
        <f t="shared" si="5"/>
        <v/>
      </c>
      <c r="E52" s="4" t="str">
        <f t="shared" si="6"/>
        <v/>
      </c>
      <c r="F52" s="4" t="str">
        <f t="shared" si="7"/>
        <v/>
      </c>
      <c r="G52" s="4" t="str">
        <f t="shared" si="8"/>
        <v/>
      </c>
      <c r="H52" s="25" t="str">
        <f t="shared" si="9"/>
        <v/>
      </c>
      <c r="I52" s="25" t="str">
        <f>IF(B52="","",D52*CORTES!$B$13+E52*CORTES!$B$14+F52*CORTES!$B$12+G52*CORTES!$B$15+H52*CORTES!$B$16)</f>
        <v/>
      </c>
      <c r="P52" s="28">
        <v>22</v>
      </c>
      <c r="Q52" s="32" t="e">
        <f>VLOOKUP(RANKING!G23,RANKING!$B:$D,3,0)</f>
        <v>#NUM!</v>
      </c>
      <c r="R52" s="34" t="e">
        <f>LARGE(RANKING!$C$2:$C$29,NOTAS!P52)</f>
        <v>#NUM!</v>
      </c>
    </row>
    <row r="53" spans="1:18" ht="15.6" x14ac:dyDescent="0.3">
      <c r="A53" s="7">
        <v>52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4" t="str">
        <f t="shared" si="5"/>
        <v/>
      </c>
      <c r="E53" s="4" t="str">
        <f t="shared" si="6"/>
        <v/>
      </c>
      <c r="F53" s="4" t="str">
        <f t="shared" si="7"/>
        <v/>
      </c>
      <c r="G53" s="4" t="str">
        <f t="shared" si="8"/>
        <v/>
      </c>
      <c r="H53" s="25" t="str">
        <f t="shared" si="9"/>
        <v/>
      </c>
      <c r="I53" s="25" t="str">
        <f>IF(B53="","",D53*CORTES!$B$13+E53*CORTES!$B$14+F53*CORTES!$B$12+G53*CORTES!$B$15+H53*CORTES!$B$16)</f>
        <v/>
      </c>
      <c r="P53" s="28">
        <v>23</v>
      </c>
      <c r="Q53" s="32" t="e">
        <f>VLOOKUP(RANKING!G24,RANKING!$B:$D,3,0)</f>
        <v>#NUM!</v>
      </c>
      <c r="R53" s="34" t="e">
        <f>LARGE(RANKING!$C$2:$C$29,NOTAS!P53)</f>
        <v>#NUM!</v>
      </c>
    </row>
    <row r="54" spans="1:18" ht="15.6" x14ac:dyDescent="0.3">
      <c r="A54" s="7">
        <v>53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4" t="str">
        <f t="shared" si="5"/>
        <v/>
      </c>
      <c r="E54" s="4" t="str">
        <f t="shared" si="6"/>
        <v/>
      </c>
      <c r="F54" s="4" t="str">
        <f t="shared" si="7"/>
        <v/>
      </c>
      <c r="G54" s="4" t="str">
        <f t="shared" si="8"/>
        <v/>
      </c>
      <c r="H54" s="25" t="str">
        <f t="shared" si="9"/>
        <v/>
      </c>
      <c r="I54" s="25" t="str">
        <f>IF(B54="","",D54*CORTES!$B$13+E54*CORTES!$B$14+F54*CORTES!$B$12+G54*CORTES!$B$15+H54*CORTES!$B$16)</f>
        <v/>
      </c>
      <c r="P54" s="28">
        <v>24</v>
      </c>
      <c r="Q54" s="32" t="e">
        <f>VLOOKUP(RANKING!G25,RANKING!$B:$D,3,0)</f>
        <v>#NUM!</v>
      </c>
      <c r="R54" s="34" t="e">
        <f>LARGE(RANKING!$C$2:$C$29,NOTAS!P54)</f>
        <v>#NUM!</v>
      </c>
    </row>
    <row r="55" spans="1:18" ht="15.6" x14ac:dyDescent="0.3">
      <c r="A55" s="7">
        <v>54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4" t="str">
        <f t="shared" si="5"/>
        <v/>
      </c>
      <c r="E55" s="4" t="str">
        <f t="shared" si="6"/>
        <v/>
      </c>
      <c r="F55" s="4" t="str">
        <f t="shared" si="7"/>
        <v/>
      </c>
      <c r="G55" s="4" t="str">
        <f t="shared" si="8"/>
        <v/>
      </c>
      <c r="H55" s="25" t="str">
        <f t="shared" si="9"/>
        <v/>
      </c>
      <c r="I55" s="25" t="str">
        <f>IF(B55="","",D55*CORTES!$B$13+E55*CORTES!$B$14+F55*CORTES!$B$12+G55*CORTES!$B$15+H55*CORTES!$B$16)</f>
        <v/>
      </c>
      <c r="P55" s="28">
        <v>25</v>
      </c>
      <c r="Q55" s="32" t="e">
        <f>VLOOKUP(RANKING!G26,RANKING!$B:$D,3,0)</f>
        <v>#NUM!</v>
      </c>
      <c r="R55" s="34" t="e">
        <f>LARGE(RANKING!$C$2:$C$29,NOTAS!P55)</f>
        <v>#NUM!</v>
      </c>
    </row>
    <row r="56" spans="1:18" ht="15.6" x14ac:dyDescent="0.3">
      <c r="A56" s="7">
        <v>55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4" t="str">
        <f t="shared" si="5"/>
        <v/>
      </c>
      <c r="E56" s="4" t="str">
        <f t="shared" si="6"/>
        <v/>
      </c>
      <c r="F56" s="4" t="str">
        <f t="shared" si="7"/>
        <v/>
      </c>
      <c r="G56" s="4" t="str">
        <f t="shared" si="8"/>
        <v/>
      </c>
      <c r="H56" s="25" t="str">
        <f t="shared" si="9"/>
        <v/>
      </c>
      <c r="I56" s="25" t="str">
        <f>IF(B56="","",D56*CORTES!$B$13+E56*CORTES!$B$14+F56*CORTES!$B$12+G56*CORTES!$B$15+H56*CORTES!$B$16)</f>
        <v/>
      </c>
      <c r="P56" s="28">
        <v>26</v>
      </c>
      <c r="Q56" s="32" t="e">
        <f>VLOOKUP(RANKING!G27,RANKING!$B:$D,3,0)</f>
        <v>#NUM!</v>
      </c>
      <c r="R56" s="34" t="e">
        <f>LARGE(RANKING!$C$2:$C$29,NOTAS!P56)</f>
        <v>#NUM!</v>
      </c>
    </row>
    <row r="57" spans="1:18" ht="15.6" x14ac:dyDescent="0.3">
      <c r="A57" s="7">
        <v>56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4" t="str">
        <f t="shared" si="5"/>
        <v/>
      </c>
      <c r="E57" s="4" t="str">
        <f t="shared" si="6"/>
        <v/>
      </c>
      <c r="F57" s="4" t="str">
        <f t="shared" si="7"/>
        <v/>
      </c>
      <c r="G57" s="4" t="str">
        <f t="shared" si="8"/>
        <v/>
      </c>
      <c r="H57" s="25" t="str">
        <f t="shared" si="9"/>
        <v/>
      </c>
      <c r="I57" s="25" t="str">
        <f>IF(B57="","",D57*CORTES!$B$13+E57*CORTES!$B$14+F57*CORTES!$B$12+G57*CORTES!$B$15+H57*CORTES!$B$16)</f>
        <v/>
      </c>
      <c r="P57" s="28">
        <v>27</v>
      </c>
      <c r="Q57" s="32" t="e">
        <f>VLOOKUP(RANKING!G28,RANKING!$B:$D,3,0)</f>
        <v>#NUM!</v>
      </c>
      <c r="R57" s="34" t="e">
        <f>LARGE(RANKING!$C$2:$C$29,NOTAS!P57)</f>
        <v>#NUM!</v>
      </c>
    </row>
    <row r="58" spans="1:18" ht="15.6" x14ac:dyDescent="0.3">
      <c r="A58" s="7">
        <v>57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4" t="str">
        <f t="shared" si="5"/>
        <v/>
      </c>
      <c r="E58" s="4" t="str">
        <f t="shared" si="6"/>
        <v/>
      </c>
      <c r="F58" s="4" t="str">
        <f t="shared" si="7"/>
        <v/>
      </c>
      <c r="G58" s="4" t="str">
        <f t="shared" si="8"/>
        <v/>
      </c>
      <c r="H58" s="25" t="str">
        <f t="shared" si="9"/>
        <v/>
      </c>
      <c r="I58" s="25" t="str">
        <f>IF(B58="","",D58*CORTES!$B$13+E58*CORTES!$B$14+F58*CORTES!$B$12+G58*CORTES!$B$15+H58*CORTES!$B$16)</f>
        <v/>
      </c>
      <c r="P58" s="28">
        <v>28</v>
      </c>
      <c r="Q58" s="32" t="e">
        <f>VLOOKUP(RANKING!G29,RANKING!$B:$D,3,0)</f>
        <v>#NUM!</v>
      </c>
      <c r="R58" s="34" t="e">
        <f>LARGE(RANKING!$C$2:$C$29,NOTAS!P58)</f>
        <v>#NUM!</v>
      </c>
    </row>
    <row r="59" spans="1:18" ht="15.6" x14ac:dyDescent="0.3">
      <c r="A59" s="7">
        <v>58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4" t="str">
        <f t="shared" si="5"/>
        <v/>
      </c>
      <c r="E59" s="4" t="str">
        <f t="shared" si="6"/>
        <v/>
      </c>
      <c r="F59" s="4" t="str">
        <f t="shared" si="7"/>
        <v/>
      </c>
      <c r="G59" s="4" t="str">
        <f t="shared" si="8"/>
        <v/>
      </c>
      <c r="H59" s="25" t="str">
        <f t="shared" si="9"/>
        <v/>
      </c>
      <c r="I59" s="25" t="str">
        <f>IF(B59="","",D59*CORTES!$B$13+E59*CORTES!$B$14+F59*CORTES!$B$12+G59*CORTES!$B$15+H59*CORTES!$B$16)</f>
        <v/>
      </c>
    </row>
    <row r="60" spans="1:18" ht="15.6" x14ac:dyDescent="0.3">
      <c r="A60" s="7">
        <v>59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4" t="str">
        <f t="shared" si="5"/>
        <v/>
      </c>
      <c r="E60" s="4" t="str">
        <f t="shared" si="6"/>
        <v/>
      </c>
      <c r="F60" s="4" t="str">
        <f t="shared" si="7"/>
        <v/>
      </c>
      <c r="G60" s="4" t="str">
        <f t="shared" si="8"/>
        <v/>
      </c>
      <c r="H60" s="25" t="str">
        <f t="shared" si="9"/>
        <v/>
      </c>
      <c r="I60" s="25" t="str">
        <f>IF(B60="","",D60*CORTES!$B$13+E60*CORTES!$B$14+F60*CORTES!$B$12+G60*CORTES!$B$15+H60*CORTES!$B$16)</f>
        <v/>
      </c>
    </row>
    <row r="61" spans="1:18" ht="15.6" x14ac:dyDescent="0.3">
      <c r="A61" s="7">
        <v>60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4" t="str">
        <f t="shared" si="5"/>
        <v/>
      </c>
      <c r="E61" s="4" t="str">
        <f t="shared" si="6"/>
        <v/>
      </c>
      <c r="F61" s="4" t="str">
        <f t="shared" si="7"/>
        <v/>
      </c>
      <c r="G61" s="4" t="str">
        <f t="shared" si="8"/>
        <v/>
      </c>
      <c r="H61" s="25" t="str">
        <f t="shared" si="9"/>
        <v/>
      </c>
      <c r="I61" s="25" t="str">
        <f>IF(B61="","",D61*CORTES!$B$13+E61*CORTES!$B$14+F61*CORTES!$B$12+G61*CORTES!$B$15+H61*CORTES!$B$16)</f>
        <v/>
      </c>
    </row>
    <row r="62" spans="1:18" ht="15.6" x14ac:dyDescent="0.3">
      <c r="A62" s="7">
        <v>61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4" t="str">
        <f t="shared" si="5"/>
        <v/>
      </c>
      <c r="E62" s="4" t="str">
        <f t="shared" si="6"/>
        <v/>
      </c>
      <c r="F62" s="4" t="str">
        <f t="shared" si="7"/>
        <v/>
      </c>
      <c r="G62" s="4" t="str">
        <f t="shared" si="8"/>
        <v/>
      </c>
      <c r="H62" s="25" t="str">
        <f t="shared" si="9"/>
        <v/>
      </c>
      <c r="I62" s="25" t="str">
        <f>IF(B62="","",D62*CORTES!$B$13+E62*CORTES!$B$14+F62*CORTES!$B$12+G62*CORTES!$B$15+H62*CORTES!$B$16)</f>
        <v/>
      </c>
    </row>
    <row r="63" spans="1:18" ht="15.6" x14ac:dyDescent="0.3">
      <c r="A63" s="7">
        <v>62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4" t="str">
        <f t="shared" si="5"/>
        <v/>
      </c>
      <c r="E63" s="4" t="str">
        <f t="shared" si="6"/>
        <v/>
      </c>
      <c r="F63" s="4" t="str">
        <f t="shared" si="7"/>
        <v/>
      </c>
      <c r="G63" s="4" t="str">
        <f t="shared" si="8"/>
        <v/>
      </c>
      <c r="H63" s="25" t="str">
        <f t="shared" si="9"/>
        <v/>
      </c>
      <c r="I63" s="25" t="str">
        <f>IF(B63="","",D63*CORTES!$B$13+E63*CORTES!$B$14+F63*CORTES!$B$12+G63*CORTES!$B$15+H63*CORTES!$B$16)</f>
        <v/>
      </c>
    </row>
    <row r="64" spans="1:18" ht="15.6" x14ac:dyDescent="0.3">
      <c r="A64" s="7">
        <v>63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4" t="str">
        <f t="shared" si="5"/>
        <v/>
      </c>
      <c r="E64" s="4" t="str">
        <f t="shared" si="6"/>
        <v/>
      </c>
      <c r="F64" s="4" t="str">
        <f t="shared" si="7"/>
        <v/>
      </c>
      <c r="G64" s="4" t="str">
        <f t="shared" si="8"/>
        <v/>
      </c>
      <c r="H64" s="25" t="str">
        <f t="shared" si="9"/>
        <v/>
      </c>
      <c r="I64" s="25" t="str">
        <f>IF(B64="","",D64*CORTES!$B$13+E64*CORTES!$B$14+F64*CORTES!$B$12+G64*CORTES!$B$15+H64*CORTES!$B$16)</f>
        <v/>
      </c>
    </row>
    <row r="65" spans="1:9" ht="15.6" x14ac:dyDescent="0.3">
      <c r="A65" s="7">
        <v>64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4" t="str">
        <f t="shared" si="5"/>
        <v/>
      </c>
      <c r="E65" s="4" t="str">
        <f t="shared" si="6"/>
        <v/>
      </c>
      <c r="F65" s="4" t="str">
        <f t="shared" si="7"/>
        <v/>
      </c>
      <c r="G65" s="4" t="str">
        <f t="shared" si="8"/>
        <v/>
      </c>
      <c r="H65" s="25" t="str">
        <f t="shared" si="9"/>
        <v/>
      </c>
      <c r="I65" s="25" t="str">
        <f>IF(B65="","",D65*CORTES!$B$13+E65*CORTES!$B$14+F65*CORTES!$B$12+G65*CORTES!$B$15+H65*CORTES!$B$16)</f>
        <v/>
      </c>
    </row>
    <row r="66" spans="1:9" ht="15.6" x14ac:dyDescent="0.3">
      <c r="A66" s="7">
        <v>65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4" t="str">
        <f t="shared" ref="D66:D99" si="10">VLOOKUP($C66,NotaIndividualPorAlunoFIS,12,0)</f>
        <v/>
      </c>
      <c r="E66" s="4" t="str">
        <f t="shared" ref="E66:E99" si="11">VLOOKUP($C66,NotaIndividualPorAlunoQUI,12,0)</f>
        <v/>
      </c>
      <c r="F66" s="4" t="str">
        <f t="shared" ref="F66:F99" si="12">VLOOKUP($C66,NotaIndividualPorAlunoMAT,12,0)</f>
        <v/>
      </c>
      <c r="G66" s="4" t="str">
        <f t="shared" ref="G66:G99" si="13">VLOOKUP($C66,NotaIndividualPorAlunoRED,7,0)</f>
        <v/>
      </c>
      <c r="H66" s="25" t="str">
        <f t="shared" ref="H66:H99" si="14">VLOOKUP($C66,NotaIndividualPorAlunoPROVAO,13,0)</f>
        <v/>
      </c>
      <c r="I66" s="25" t="str">
        <f>IF(B66="","",D66*CORTES!$B$13+E66*CORTES!$B$14+F66*CORTES!$B$12+G66*CORTES!$B$15+H66*CORTES!$B$16)</f>
        <v/>
      </c>
    </row>
    <row r="67" spans="1:9" ht="15.6" x14ac:dyDescent="0.3">
      <c r="A67" s="7">
        <v>66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4" t="str">
        <f t="shared" si="10"/>
        <v/>
      </c>
      <c r="E67" s="4" t="str">
        <f t="shared" si="11"/>
        <v/>
      </c>
      <c r="F67" s="4" t="str">
        <f t="shared" si="12"/>
        <v/>
      </c>
      <c r="G67" s="4" t="str">
        <f t="shared" si="13"/>
        <v/>
      </c>
      <c r="H67" s="25" t="str">
        <f t="shared" si="14"/>
        <v/>
      </c>
      <c r="I67" s="25" t="str">
        <f>IF(B67="","",D67*CORTES!$B$13+E67*CORTES!$B$14+F67*CORTES!$B$12+G67*CORTES!$B$15+H67*CORTES!$B$16)</f>
        <v/>
      </c>
    </row>
    <row r="68" spans="1:9" ht="15.6" x14ac:dyDescent="0.3">
      <c r="A68" s="7">
        <v>67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4" t="str">
        <f t="shared" si="10"/>
        <v/>
      </c>
      <c r="E68" s="4" t="str">
        <f t="shared" si="11"/>
        <v/>
      </c>
      <c r="F68" s="4" t="str">
        <f t="shared" si="12"/>
        <v/>
      </c>
      <c r="G68" s="4" t="str">
        <f t="shared" si="13"/>
        <v/>
      </c>
      <c r="H68" s="25" t="str">
        <f t="shared" si="14"/>
        <v/>
      </c>
      <c r="I68" s="25" t="str">
        <f>IF(B68="","",D68*CORTES!$B$13+E68*CORTES!$B$14+F68*CORTES!$B$12+G68*CORTES!$B$15+H68*CORTES!$B$16)</f>
        <v/>
      </c>
    </row>
    <row r="69" spans="1:9" ht="15.6" x14ac:dyDescent="0.3">
      <c r="A69" s="7">
        <v>68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4" t="str">
        <f t="shared" si="10"/>
        <v/>
      </c>
      <c r="E69" s="4" t="str">
        <f t="shared" si="11"/>
        <v/>
      </c>
      <c r="F69" s="4" t="str">
        <f t="shared" si="12"/>
        <v/>
      </c>
      <c r="G69" s="4" t="str">
        <f t="shared" si="13"/>
        <v/>
      </c>
      <c r="H69" s="25" t="str">
        <f t="shared" si="14"/>
        <v/>
      </c>
      <c r="I69" s="25" t="str">
        <f>IF(B69="","",D69*CORTES!$B$13+E69*CORTES!$B$14+F69*CORTES!$B$12+G69*CORTES!$B$15+H69*CORTES!$B$16)</f>
        <v/>
      </c>
    </row>
    <row r="70" spans="1:9" ht="15.6" x14ac:dyDescent="0.3">
      <c r="A70" s="7">
        <v>69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4" t="str">
        <f t="shared" si="10"/>
        <v/>
      </c>
      <c r="E70" s="4" t="str">
        <f t="shared" si="11"/>
        <v/>
      </c>
      <c r="F70" s="4" t="str">
        <f t="shared" si="12"/>
        <v/>
      </c>
      <c r="G70" s="4" t="str">
        <f t="shared" si="13"/>
        <v/>
      </c>
      <c r="H70" s="25" t="str">
        <f t="shared" si="14"/>
        <v/>
      </c>
      <c r="I70" s="25" t="str">
        <f>IF(B70="","",D70*CORTES!$B$13+E70*CORTES!$B$14+F70*CORTES!$B$12+G70*CORTES!$B$15+H70*CORTES!$B$16)</f>
        <v/>
      </c>
    </row>
    <row r="71" spans="1:9" ht="15.6" x14ac:dyDescent="0.3">
      <c r="A71" s="7">
        <v>70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4" t="str">
        <f t="shared" si="10"/>
        <v/>
      </c>
      <c r="E71" s="4" t="str">
        <f t="shared" si="11"/>
        <v/>
      </c>
      <c r="F71" s="4" t="str">
        <f t="shared" si="12"/>
        <v/>
      </c>
      <c r="G71" s="4" t="str">
        <f t="shared" si="13"/>
        <v/>
      </c>
      <c r="H71" s="25" t="str">
        <f t="shared" si="14"/>
        <v/>
      </c>
      <c r="I71" s="25" t="str">
        <f>IF(B71="","",D71*CORTES!$B$13+E71*CORTES!$B$14+F71*CORTES!$B$12+G71*CORTES!$B$15+H71*CORTES!$B$16)</f>
        <v/>
      </c>
    </row>
    <row r="72" spans="1:9" ht="15.6" x14ac:dyDescent="0.3">
      <c r="A72" s="7">
        <v>71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4" t="str">
        <f t="shared" si="10"/>
        <v/>
      </c>
      <c r="E72" s="4" t="str">
        <f t="shared" si="11"/>
        <v/>
      </c>
      <c r="F72" s="4" t="str">
        <f t="shared" si="12"/>
        <v/>
      </c>
      <c r="G72" s="4" t="str">
        <f t="shared" si="13"/>
        <v/>
      </c>
      <c r="H72" s="25" t="str">
        <f t="shared" si="14"/>
        <v/>
      </c>
      <c r="I72" s="25" t="str">
        <f>IF(B72="","",D72*CORTES!$B$13+E72*CORTES!$B$14+F72*CORTES!$B$12+G72*CORTES!$B$15+H72*CORTES!$B$16)</f>
        <v/>
      </c>
    </row>
    <row r="73" spans="1:9" ht="15.6" x14ac:dyDescent="0.3">
      <c r="A73" s="7">
        <v>72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4" t="str">
        <f t="shared" si="10"/>
        <v/>
      </c>
      <c r="E73" s="4" t="str">
        <f t="shared" si="11"/>
        <v/>
      </c>
      <c r="F73" s="4" t="str">
        <f t="shared" si="12"/>
        <v/>
      </c>
      <c r="G73" s="4" t="str">
        <f t="shared" si="13"/>
        <v/>
      </c>
      <c r="H73" s="25" t="str">
        <f t="shared" si="14"/>
        <v/>
      </c>
      <c r="I73" s="25" t="str">
        <f>IF(B73="","",D73*CORTES!$B$13+E73*CORTES!$B$14+F73*CORTES!$B$12+G73*CORTES!$B$15+H73*CORTES!$B$16)</f>
        <v/>
      </c>
    </row>
    <row r="74" spans="1:9" ht="15.6" x14ac:dyDescent="0.3">
      <c r="A74" s="7">
        <v>73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4" t="str">
        <f t="shared" si="10"/>
        <v/>
      </c>
      <c r="E74" s="4" t="str">
        <f t="shared" si="11"/>
        <v/>
      </c>
      <c r="F74" s="4" t="str">
        <f t="shared" si="12"/>
        <v/>
      </c>
      <c r="G74" s="4" t="str">
        <f t="shared" si="13"/>
        <v/>
      </c>
      <c r="H74" s="25" t="str">
        <f t="shared" si="14"/>
        <v/>
      </c>
      <c r="I74" s="25" t="str">
        <f>IF(B74="","",D74*CORTES!$B$13+E74*CORTES!$B$14+F74*CORTES!$B$12+G74*CORTES!$B$15+H74*CORTES!$B$16)</f>
        <v/>
      </c>
    </row>
    <row r="75" spans="1:9" ht="15.6" x14ac:dyDescent="0.3">
      <c r="A75" s="7">
        <v>74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4" t="str">
        <f t="shared" si="10"/>
        <v/>
      </c>
      <c r="E75" s="4" t="str">
        <f t="shared" si="11"/>
        <v/>
      </c>
      <c r="F75" s="4" t="str">
        <f t="shared" si="12"/>
        <v/>
      </c>
      <c r="G75" s="4" t="str">
        <f t="shared" si="13"/>
        <v/>
      </c>
      <c r="H75" s="25" t="str">
        <f t="shared" si="14"/>
        <v/>
      </c>
      <c r="I75" s="25" t="str">
        <f>IF(B75="","",D75*CORTES!$B$13+E75*CORTES!$B$14+F75*CORTES!$B$12+G75*CORTES!$B$15+H75*CORTES!$B$16)</f>
        <v/>
      </c>
    </row>
    <row r="76" spans="1:9" ht="15.6" x14ac:dyDescent="0.3">
      <c r="A76" s="7">
        <v>75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4" t="str">
        <f t="shared" si="10"/>
        <v/>
      </c>
      <c r="E76" s="4" t="str">
        <f t="shared" si="11"/>
        <v/>
      </c>
      <c r="F76" s="4" t="str">
        <f t="shared" si="12"/>
        <v/>
      </c>
      <c r="G76" s="4" t="str">
        <f t="shared" si="13"/>
        <v/>
      </c>
      <c r="H76" s="25" t="str">
        <f t="shared" si="14"/>
        <v/>
      </c>
      <c r="I76" s="25" t="str">
        <f>IF(B76="","",D76*CORTES!$B$13+E76*CORTES!$B$14+F76*CORTES!$B$12+G76*CORTES!$B$15+H76*CORTES!$B$16)</f>
        <v/>
      </c>
    </row>
    <row r="77" spans="1:9" ht="15.6" x14ac:dyDescent="0.3">
      <c r="A77" s="7">
        <v>76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4" t="str">
        <f t="shared" si="10"/>
        <v/>
      </c>
      <c r="E77" s="4" t="str">
        <f t="shared" si="11"/>
        <v/>
      </c>
      <c r="F77" s="4" t="str">
        <f t="shared" si="12"/>
        <v/>
      </c>
      <c r="G77" s="4" t="str">
        <f t="shared" si="13"/>
        <v/>
      </c>
      <c r="H77" s="25" t="str">
        <f t="shared" si="14"/>
        <v/>
      </c>
      <c r="I77" s="25" t="str">
        <f>IF(B77="","",D77*CORTES!$B$13+E77*CORTES!$B$14+F77*CORTES!$B$12+G77*CORTES!$B$15+H77*CORTES!$B$16)</f>
        <v/>
      </c>
    </row>
    <row r="78" spans="1:9" ht="15.6" x14ac:dyDescent="0.3">
      <c r="A78" s="7">
        <v>77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4" t="str">
        <f t="shared" si="10"/>
        <v/>
      </c>
      <c r="E78" s="4" t="str">
        <f t="shared" si="11"/>
        <v/>
      </c>
      <c r="F78" s="4" t="str">
        <f t="shared" si="12"/>
        <v/>
      </c>
      <c r="G78" s="4" t="str">
        <f t="shared" si="13"/>
        <v/>
      </c>
      <c r="H78" s="25" t="str">
        <f t="shared" si="14"/>
        <v/>
      </c>
      <c r="I78" s="25" t="str">
        <f>IF(B78="","",D78*CORTES!$B$13+E78*CORTES!$B$14+F78*CORTES!$B$12+G78*CORTES!$B$15+H78*CORTES!$B$16)</f>
        <v/>
      </c>
    </row>
    <row r="79" spans="1:9" ht="15.6" x14ac:dyDescent="0.3">
      <c r="A79" s="7">
        <v>78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4" t="str">
        <f t="shared" si="10"/>
        <v/>
      </c>
      <c r="E79" s="4" t="str">
        <f t="shared" si="11"/>
        <v/>
      </c>
      <c r="F79" s="4" t="str">
        <f t="shared" si="12"/>
        <v/>
      </c>
      <c r="G79" s="4" t="str">
        <f t="shared" si="13"/>
        <v/>
      </c>
      <c r="H79" s="25" t="str">
        <f t="shared" si="14"/>
        <v/>
      </c>
      <c r="I79" s="25" t="str">
        <f>IF(B79="","",D79*CORTES!$B$13+E79*CORTES!$B$14+F79*CORTES!$B$12+G79*CORTES!$B$15+H79*CORTES!$B$16)</f>
        <v/>
      </c>
    </row>
    <row r="80" spans="1:9" ht="15.6" x14ac:dyDescent="0.3">
      <c r="A80" s="7">
        <v>79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4" t="str">
        <f t="shared" si="10"/>
        <v/>
      </c>
      <c r="E80" s="4" t="str">
        <f t="shared" si="11"/>
        <v/>
      </c>
      <c r="F80" s="4" t="str">
        <f t="shared" si="12"/>
        <v/>
      </c>
      <c r="G80" s="4" t="str">
        <f t="shared" si="13"/>
        <v/>
      </c>
      <c r="H80" s="25" t="str">
        <f t="shared" si="14"/>
        <v/>
      </c>
      <c r="I80" s="25" t="str">
        <f>IF(B80="","",D80*CORTES!$B$13+E80*CORTES!$B$14+F80*CORTES!$B$12+G80*CORTES!$B$15+H80*CORTES!$B$16)</f>
        <v/>
      </c>
    </row>
    <row r="81" spans="1:9" ht="15.6" x14ac:dyDescent="0.3">
      <c r="A81" s="7">
        <v>80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4" t="str">
        <f t="shared" si="10"/>
        <v/>
      </c>
      <c r="E81" s="4" t="str">
        <f t="shared" si="11"/>
        <v/>
      </c>
      <c r="F81" s="4" t="str">
        <f t="shared" si="12"/>
        <v/>
      </c>
      <c r="G81" s="4" t="str">
        <f t="shared" si="13"/>
        <v/>
      </c>
      <c r="H81" s="25" t="str">
        <f t="shared" si="14"/>
        <v/>
      </c>
      <c r="I81" s="25" t="str">
        <f>IF(B81="","",D81*CORTES!$B$13+E81*CORTES!$B$14+F81*CORTES!$B$12+G81*CORTES!$B$15+H81*CORTES!$B$16)</f>
        <v/>
      </c>
    </row>
    <row r="82" spans="1:9" ht="15.6" x14ac:dyDescent="0.3">
      <c r="A82" s="7">
        <v>81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4" t="str">
        <f t="shared" si="10"/>
        <v/>
      </c>
      <c r="E82" s="4" t="str">
        <f t="shared" si="11"/>
        <v/>
      </c>
      <c r="F82" s="4" t="str">
        <f t="shared" si="12"/>
        <v/>
      </c>
      <c r="G82" s="4" t="str">
        <f t="shared" si="13"/>
        <v/>
      </c>
      <c r="H82" s="25" t="str">
        <f t="shared" si="14"/>
        <v/>
      </c>
      <c r="I82" s="25" t="str">
        <f>IF(B82="","",D82*CORTES!$B$13+E82*CORTES!$B$14+F82*CORTES!$B$12+G82*CORTES!$B$15+H82*CORTES!$B$16)</f>
        <v/>
      </c>
    </row>
    <row r="83" spans="1:9" ht="15.6" x14ac:dyDescent="0.3">
      <c r="A83" s="7">
        <v>82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4" t="str">
        <f t="shared" si="10"/>
        <v/>
      </c>
      <c r="E83" s="4" t="str">
        <f t="shared" si="11"/>
        <v/>
      </c>
      <c r="F83" s="4" t="str">
        <f t="shared" si="12"/>
        <v/>
      </c>
      <c r="G83" s="4" t="str">
        <f t="shared" si="13"/>
        <v/>
      </c>
      <c r="H83" s="25" t="str">
        <f t="shared" si="14"/>
        <v/>
      </c>
      <c r="I83" s="25" t="str">
        <f>IF(B83="","",D83*CORTES!$B$13+E83*CORTES!$B$14+F83*CORTES!$B$12+G83*CORTES!$B$15+H83*CORTES!$B$16)</f>
        <v/>
      </c>
    </row>
    <row r="84" spans="1:9" ht="15.6" x14ac:dyDescent="0.3">
      <c r="A84" s="7">
        <v>83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4" t="str">
        <f t="shared" si="10"/>
        <v/>
      </c>
      <c r="E84" s="4" t="str">
        <f t="shared" si="11"/>
        <v/>
      </c>
      <c r="F84" s="4" t="str">
        <f t="shared" si="12"/>
        <v/>
      </c>
      <c r="G84" s="4" t="str">
        <f t="shared" si="13"/>
        <v/>
      </c>
      <c r="H84" s="25" t="str">
        <f t="shared" si="14"/>
        <v/>
      </c>
      <c r="I84" s="25" t="str">
        <f>IF(B84="","",D84*CORTES!$B$13+E84*CORTES!$B$14+F84*CORTES!$B$12+G84*CORTES!$B$15+H84*CORTES!$B$16)</f>
        <v/>
      </c>
    </row>
    <row r="85" spans="1:9" ht="15.6" x14ac:dyDescent="0.3">
      <c r="A85" s="7">
        <v>84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4" t="str">
        <f t="shared" si="10"/>
        <v/>
      </c>
      <c r="E85" s="4" t="str">
        <f t="shared" si="11"/>
        <v/>
      </c>
      <c r="F85" s="4" t="str">
        <f t="shared" si="12"/>
        <v/>
      </c>
      <c r="G85" s="4" t="str">
        <f t="shared" si="13"/>
        <v/>
      </c>
      <c r="H85" s="25" t="str">
        <f t="shared" si="14"/>
        <v/>
      </c>
      <c r="I85" s="25" t="str">
        <f>IF(B85="","",D85*CORTES!$B$13+E85*CORTES!$B$14+F85*CORTES!$B$12+G85*CORTES!$B$15+H85*CORTES!$B$16)</f>
        <v/>
      </c>
    </row>
    <row r="86" spans="1:9" ht="15.6" x14ac:dyDescent="0.3">
      <c r="A86" s="7">
        <v>85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4" t="str">
        <f t="shared" si="10"/>
        <v/>
      </c>
      <c r="E86" s="4" t="str">
        <f t="shared" si="11"/>
        <v/>
      </c>
      <c r="F86" s="4" t="str">
        <f t="shared" si="12"/>
        <v/>
      </c>
      <c r="G86" s="4" t="str">
        <f t="shared" si="13"/>
        <v/>
      </c>
      <c r="H86" s="25" t="str">
        <f t="shared" si="14"/>
        <v/>
      </c>
      <c r="I86" s="25" t="str">
        <f>IF(B86="","",D86*CORTES!$B$13+E86*CORTES!$B$14+F86*CORTES!$B$12+G86*CORTES!$B$15+H86*CORTES!$B$16)</f>
        <v/>
      </c>
    </row>
    <row r="87" spans="1:9" ht="15.6" x14ac:dyDescent="0.3">
      <c r="A87" s="7">
        <v>86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4" t="str">
        <f t="shared" si="10"/>
        <v/>
      </c>
      <c r="E87" s="4" t="str">
        <f t="shared" si="11"/>
        <v/>
      </c>
      <c r="F87" s="4" t="str">
        <f t="shared" si="12"/>
        <v/>
      </c>
      <c r="G87" s="4" t="str">
        <f t="shared" si="13"/>
        <v/>
      </c>
      <c r="H87" s="25" t="str">
        <f t="shared" si="14"/>
        <v/>
      </c>
      <c r="I87" s="25" t="str">
        <f>IF(B87="","",D87*CORTES!$B$13+E87*CORTES!$B$14+F87*CORTES!$B$12+G87*CORTES!$B$15+H87*CORTES!$B$16)</f>
        <v/>
      </c>
    </row>
    <row r="88" spans="1:9" ht="15.6" x14ac:dyDescent="0.3">
      <c r="A88" s="7">
        <v>87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4" t="str">
        <f t="shared" si="10"/>
        <v/>
      </c>
      <c r="E88" s="4" t="str">
        <f t="shared" si="11"/>
        <v/>
      </c>
      <c r="F88" s="4" t="str">
        <f t="shared" si="12"/>
        <v/>
      </c>
      <c r="G88" s="4" t="str">
        <f t="shared" si="13"/>
        <v/>
      </c>
      <c r="H88" s="25" t="str">
        <f t="shared" si="14"/>
        <v/>
      </c>
      <c r="I88" s="25" t="str">
        <f>IF(B88="","",D88*CORTES!$B$13+E88*CORTES!$B$14+F88*CORTES!$B$12+G88*CORTES!$B$15+H88*CORTES!$B$16)</f>
        <v/>
      </c>
    </row>
    <row r="89" spans="1:9" ht="15.6" x14ac:dyDescent="0.3">
      <c r="A89" s="7">
        <v>88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4" t="str">
        <f t="shared" si="10"/>
        <v/>
      </c>
      <c r="E89" s="4" t="str">
        <f t="shared" si="11"/>
        <v/>
      </c>
      <c r="F89" s="4" t="str">
        <f t="shared" si="12"/>
        <v/>
      </c>
      <c r="G89" s="4" t="str">
        <f t="shared" si="13"/>
        <v/>
      </c>
      <c r="H89" s="25" t="str">
        <f t="shared" si="14"/>
        <v/>
      </c>
      <c r="I89" s="25" t="str">
        <f>IF(B89="","",D89*CORTES!$B$13+E89*CORTES!$B$14+F89*CORTES!$B$12+G89*CORTES!$B$15+H89*CORTES!$B$16)</f>
        <v/>
      </c>
    </row>
    <row r="90" spans="1:9" ht="15.6" x14ac:dyDescent="0.3">
      <c r="A90" s="7">
        <v>89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4" t="str">
        <f t="shared" si="10"/>
        <v/>
      </c>
      <c r="E90" s="4" t="str">
        <f t="shared" si="11"/>
        <v/>
      </c>
      <c r="F90" s="4" t="str">
        <f t="shared" si="12"/>
        <v/>
      </c>
      <c r="G90" s="4" t="str">
        <f t="shared" si="13"/>
        <v/>
      </c>
      <c r="H90" s="25" t="str">
        <f t="shared" si="14"/>
        <v/>
      </c>
      <c r="I90" s="25" t="str">
        <f>IF(B90="","",D90*CORTES!$B$13+E90*CORTES!$B$14+F90*CORTES!$B$12+G90*CORTES!$B$15+H90*CORTES!$B$16)</f>
        <v/>
      </c>
    </row>
    <row r="91" spans="1:9" ht="15.6" x14ac:dyDescent="0.3">
      <c r="A91" s="7">
        <v>90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4" t="str">
        <f t="shared" si="10"/>
        <v/>
      </c>
      <c r="E91" s="4" t="str">
        <f t="shared" si="11"/>
        <v/>
      </c>
      <c r="F91" s="4" t="str">
        <f t="shared" si="12"/>
        <v/>
      </c>
      <c r="G91" s="4" t="str">
        <f t="shared" si="13"/>
        <v/>
      </c>
      <c r="H91" s="25" t="str">
        <f t="shared" si="14"/>
        <v/>
      </c>
      <c r="I91" s="25" t="str">
        <f>IF(B91="","",D91*CORTES!$B$13+E91*CORTES!$B$14+F91*CORTES!$B$12+G91*CORTES!$B$15+H91*CORTES!$B$16)</f>
        <v/>
      </c>
    </row>
    <row r="92" spans="1:9" ht="15.6" x14ac:dyDescent="0.3">
      <c r="A92" s="7">
        <v>91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4" t="str">
        <f t="shared" si="10"/>
        <v/>
      </c>
      <c r="E92" s="4" t="str">
        <f t="shared" si="11"/>
        <v/>
      </c>
      <c r="F92" s="4" t="str">
        <f t="shared" si="12"/>
        <v/>
      </c>
      <c r="G92" s="4" t="str">
        <f t="shared" si="13"/>
        <v/>
      </c>
      <c r="H92" s="25" t="str">
        <f t="shared" si="14"/>
        <v/>
      </c>
      <c r="I92" s="25" t="str">
        <f>IF(B92="","",D92*CORTES!$B$13+E92*CORTES!$B$14+F92*CORTES!$B$12+G92*CORTES!$B$15+H92*CORTES!$B$16)</f>
        <v/>
      </c>
    </row>
    <row r="93" spans="1:9" ht="15.6" x14ac:dyDescent="0.3">
      <c r="A93" s="7">
        <v>92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4" t="str">
        <f t="shared" si="10"/>
        <v/>
      </c>
      <c r="E93" s="4" t="str">
        <f t="shared" si="11"/>
        <v/>
      </c>
      <c r="F93" s="4" t="str">
        <f t="shared" si="12"/>
        <v/>
      </c>
      <c r="G93" s="4" t="str">
        <f t="shared" si="13"/>
        <v/>
      </c>
      <c r="H93" s="25" t="str">
        <f t="shared" si="14"/>
        <v/>
      </c>
      <c r="I93" s="25" t="str">
        <f>IF(B93="","",D93*CORTES!$B$13+E93*CORTES!$B$14+F93*CORTES!$B$12+G93*CORTES!$B$15+H93*CORTES!$B$16)</f>
        <v/>
      </c>
    </row>
    <row r="94" spans="1:9" ht="15.6" x14ac:dyDescent="0.3">
      <c r="A94" s="7">
        <v>93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4" t="str">
        <f t="shared" si="10"/>
        <v/>
      </c>
      <c r="E94" s="4" t="str">
        <f t="shared" si="11"/>
        <v/>
      </c>
      <c r="F94" s="4" t="str">
        <f t="shared" si="12"/>
        <v/>
      </c>
      <c r="G94" s="4" t="str">
        <f t="shared" si="13"/>
        <v/>
      </c>
      <c r="H94" s="25" t="str">
        <f t="shared" si="14"/>
        <v/>
      </c>
      <c r="I94" s="25" t="str">
        <f>IF(B94="","",D94*CORTES!$B$13+E94*CORTES!$B$14+F94*CORTES!$B$12+G94*CORTES!$B$15+H94*CORTES!$B$16)</f>
        <v/>
      </c>
    </row>
    <row r="95" spans="1:9" ht="15.6" x14ac:dyDescent="0.3">
      <c r="A95" s="7">
        <v>94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4" t="str">
        <f t="shared" si="10"/>
        <v/>
      </c>
      <c r="E95" s="4" t="str">
        <f t="shared" si="11"/>
        <v/>
      </c>
      <c r="F95" s="4" t="str">
        <f t="shared" si="12"/>
        <v/>
      </c>
      <c r="G95" s="4" t="str">
        <f t="shared" si="13"/>
        <v/>
      </c>
      <c r="H95" s="25" t="str">
        <f t="shared" si="14"/>
        <v/>
      </c>
      <c r="I95" s="25" t="str">
        <f>IF(B95="","",D95*CORTES!$B$13+E95*CORTES!$B$14+F95*CORTES!$B$12+G95*CORTES!$B$15+H95*CORTES!$B$16)</f>
        <v/>
      </c>
    </row>
    <row r="96" spans="1:9" ht="15.6" x14ac:dyDescent="0.3">
      <c r="A96" s="7">
        <v>95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4" t="str">
        <f t="shared" si="10"/>
        <v/>
      </c>
      <c r="E96" s="4" t="str">
        <f t="shared" si="11"/>
        <v/>
      </c>
      <c r="F96" s="4" t="str">
        <f t="shared" si="12"/>
        <v/>
      </c>
      <c r="G96" s="4" t="str">
        <f t="shared" si="13"/>
        <v/>
      </c>
      <c r="H96" s="25" t="str">
        <f t="shared" si="14"/>
        <v/>
      </c>
      <c r="I96" s="25" t="str">
        <f>IF(B96="","",D96*CORTES!$B$13+E96*CORTES!$B$14+F96*CORTES!$B$12+G96*CORTES!$B$15+H96*CORTES!$B$16)</f>
        <v/>
      </c>
    </row>
    <row r="97" spans="1:9" ht="15.6" x14ac:dyDescent="0.3">
      <c r="A97" s="7">
        <v>96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4" t="str">
        <f t="shared" si="10"/>
        <v/>
      </c>
      <c r="E97" s="4" t="str">
        <f t="shared" si="11"/>
        <v/>
      </c>
      <c r="F97" s="4" t="str">
        <f t="shared" si="12"/>
        <v/>
      </c>
      <c r="G97" s="4" t="str">
        <f t="shared" si="13"/>
        <v/>
      </c>
      <c r="H97" s="25" t="str">
        <f t="shared" si="14"/>
        <v/>
      </c>
      <c r="I97" s="25" t="str">
        <f>IF(B97="","",D97*CORTES!$B$13+E97*CORTES!$B$14+F97*CORTES!$B$12+G97*CORTES!$B$15+H97*CORTES!$B$16)</f>
        <v/>
      </c>
    </row>
    <row r="98" spans="1:9" ht="15.6" x14ac:dyDescent="0.3">
      <c r="A98" s="7">
        <v>97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4" t="str">
        <f t="shared" si="10"/>
        <v/>
      </c>
      <c r="E98" s="4" t="str">
        <f t="shared" si="11"/>
        <v/>
      </c>
      <c r="F98" s="4" t="str">
        <f t="shared" si="12"/>
        <v/>
      </c>
      <c r="G98" s="4" t="str">
        <f t="shared" si="13"/>
        <v/>
      </c>
      <c r="H98" s="25" t="str">
        <f t="shared" si="14"/>
        <v/>
      </c>
      <c r="I98" s="25" t="str">
        <f>IF(B98="","",D98*CORTES!$B$13+E98*CORTES!$B$14+F98*CORTES!$B$12+G98*CORTES!$B$15+H98*CORTES!$B$16)</f>
        <v/>
      </c>
    </row>
    <row r="99" spans="1:9" ht="15.6" x14ac:dyDescent="0.3">
      <c r="A99" s="7">
        <v>98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4" t="str">
        <f t="shared" si="10"/>
        <v/>
      </c>
      <c r="E99" s="4" t="str">
        <f t="shared" si="11"/>
        <v/>
      </c>
      <c r="F99" s="4" t="str">
        <f t="shared" si="12"/>
        <v/>
      </c>
      <c r="G99" s="4" t="str">
        <f t="shared" si="13"/>
        <v/>
      </c>
      <c r="H99" s="25" t="str">
        <f t="shared" si="14"/>
        <v/>
      </c>
      <c r="I99" s="25" t="str">
        <f>IF(B99="","",D99*CORTES!$B$13+E99*CORTES!$B$14+F99*CORTES!$B$12+G99*CORTES!$B$15+H99*CORTES!$B$16)</f>
        <v/>
      </c>
    </row>
  </sheetData>
  <autoFilter ref="B1:I29" xr:uid="{0968DDD4-C4AF-4D37-B82C-E3830547B9A1}">
    <sortState xmlns:xlrd2="http://schemas.microsoft.com/office/spreadsheetml/2017/richdata2" ref="B2:I99">
      <sortCondition ref="C1:C29"/>
    </sortState>
  </autoFilter>
  <conditionalFormatting sqref="B2:I99">
    <cfRule type="cellIs" dxfId="2856" priority="2" operator="equal">
      <formula>""</formula>
    </cfRule>
  </conditionalFormatting>
  <conditionalFormatting sqref="B2:C99">
    <cfRule type="cellIs" dxfId="2855" priority="1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lessThan" id="{67EACF96-9553-4732-94C1-07E721FB40B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" operator="greaterThanOrEqual" id="{66455BD8-6F9F-4D51-98AB-DAAA4A43C2D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E2:E99</xm:sqref>
        </x14:conditionalFormatting>
        <x14:conditionalFormatting xmlns:xm="http://schemas.microsoft.com/office/excel/2006/main">
          <x14:cfRule type="cellIs" priority="7" operator="lessThan" id="{DE19A901-E915-4066-AF09-D035DB42132A}">
            <xm:f>CORTES!$C$14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" operator="greaterThanOrEqual" id="{C128865A-9B43-44E5-8B0C-798C3CCF8042}">
            <xm:f>CORTES!$C$14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F2:F99</xm:sqref>
        </x14:conditionalFormatting>
        <x14:conditionalFormatting xmlns:xm="http://schemas.microsoft.com/office/excel/2006/main">
          <x14:cfRule type="cellIs" priority="11" operator="lessThan" id="{DC9ACDB9-6A2E-415C-88F1-06227E72889F}">
            <xm:f>CORTES!$C$16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" operator="greaterThanOrEqual" id="{4F9633B6-B678-437A-82D2-11C09B4C9CBE}">
            <xm:f>CORTES!$C$16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H2:H99</xm:sqref>
        </x14:conditionalFormatting>
        <x14:conditionalFormatting xmlns:xm="http://schemas.microsoft.com/office/excel/2006/main">
          <x14:cfRule type="cellIs" priority="9" operator="lessThan" id="{F6EFE3B0-3C6E-4484-8D11-4BDC461C136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" operator="greaterThanOrEqual" id="{5ECBE5B3-FEB2-441F-8901-F9F36D98054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G2:G99</xm:sqref>
        </x14:conditionalFormatting>
        <x14:conditionalFormatting xmlns:xm="http://schemas.microsoft.com/office/excel/2006/main">
          <x14:cfRule type="cellIs" priority="3" operator="lessThan" id="{8F3BD697-813D-4703-9376-A34D4674AD7C}">
            <xm:f>CORTES!$C$12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" operator="greaterThanOrEqual" id="{261C0A30-E1A5-4403-AA21-A0DF425A9716}">
            <xm:f>CORTES!$C$12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D2:D99</xm:sqref>
        </x14:conditionalFormatting>
        <x14:conditionalFormatting xmlns:xm="http://schemas.microsoft.com/office/excel/2006/main">
          <x14:cfRule type="cellIs" priority="14" operator="lessThan" id="{E04E91F9-F8A3-463C-9966-8CBB2509A0ED}">
            <xm:f>CORTES!$D$12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" operator="greaterThanOrEqual" id="{F3F455B2-C3A5-4779-A5D0-920E76E54780}">
            <xm:f>CORTES!$D$12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I2:I99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CF048-4062-4D72-8E03-0A9EEDC8CC20}">
  <sheetPr codeName="Planilha2"/>
  <dimension ref="A1:P100"/>
  <sheetViews>
    <sheetView topLeftCell="B1" zoomScaleNormal="100" workbookViewId="0">
      <selection activeCell="L5" sqref="L4:L5"/>
    </sheetView>
  </sheetViews>
  <sheetFormatPr defaultColWidth="9.109375" defaultRowHeight="14.4" x14ac:dyDescent="0.3"/>
  <cols>
    <col min="1" max="1" width="0" style="7" hidden="1" customWidth="1"/>
    <col min="2" max="2" width="9.6640625" style="7" customWidth="1"/>
    <col min="3" max="3" width="41.6640625" style="7" customWidth="1"/>
    <col min="4" max="4" width="17.6640625" style="7" customWidth="1"/>
    <col min="5" max="5" width="12.77734375" style="7" customWidth="1"/>
    <col min="6" max="6" width="21.33203125" style="7" customWidth="1"/>
    <col min="7" max="9" width="15.33203125" style="7" customWidth="1"/>
    <col min="10" max="10" width="20.77734375" style="7" customWidth="1"/>
    <col min="11" max="11" width="15.33203125" style="7" customWidth="1"/>
    <col min="12" max="12" width="22.44140625" style="7" customWidth="1"/>
    <col min="13" max="13" width="15" style="7" customWidth="1"/>
    <col min="14" max="14" width="22.6640625" style="7" customWidth="1"/>
    <col min="15" max="15" width="19.109375" style="7" customWidth="1"/>
    <col min="16" max="16" width="13.33203125" style="7" customWidth="1"/>
    <col min="17" max="16384" width="9.109375" style="7"/>
  </cols>
  <sheetData>
    <row r="1" spans="1:16" x14ac:dyDescent="0.3">
      <c r="D1" s="7" t="s">
        <v>82</v>
      </c>
      <c r="F1" s="7" t="s">
        <v>82</v>
      </c>
      <c r="H1" s="7" t="s">
        <v>82</v>
      </c>
      <c r="J1" s="7" t="s">
        <v>82</v>
      </c>
      <c r="L1" s="7" t="s">
        <v>82</v>
      </c>
    </row>
    <row r="2" spans="1:16" x14ac:dyDescent="0.3">
      <c r="B2" s="1" t="s">
        <v>1</v>
      </c>
      <c r="C2" s="1" t="s">
        <v>17</v>
      </c>
      <c r="D2" s="1" t="s">
        <v>35</v>
      </c>
      <c r="E2" s="1" t="s">
        <v>56</v>
      </c>
      <c r="F2" s="1" t="s">
        <v>57</v>
      </c>
      <c r="G2" s="1" t="s">
        <v>58</v>
      </c>
      <c r="H2" s="1" t="s">
        <v>59</v>
      </c>
      <c r="I2" s="1" t="s">
        <v>60</v>
      </c>
      <c r="J2" s="1" t="s">
        <v>36</v>
      </c>
      <c r="K2" s="1" t="s">
        <v>61</v>
      </c>
      <c r="L2" s="1" t="s">
        <v>34</v>
      </c>
      <c r="M2" s="1" t="s">
        <v>62</v>
      </c>
      <c r="N2" s="16" t="s">
        <v>33</v>
      </c>
      <c r="O2" s="1" t="s">
        <v>37</v>
      </c>
      <c r="P2" s="1" t="s">
        <v>64</v>
      </c>
    </row>
    <row r="3" spans="1:16" ht="15.6" x14ac:dyDescent="0.3">
      <c r="A3" s="7">
        <v>1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LEONARDO MESQUITA</v>
      </c>
      <c r="D3" s="17">
        <f t="shared" ref="D3:D67" si="0">IF($C3="","",0)</f>
        <v>0</v>
      </c>
      <c r="E3" s="18">
        <f t="shared" ref="E3" si="1">IF($C3="","",((10*D3)/15))</f>
        <v>0</v>
      </c>
      <c r="F3" s="17">
        <f t="shared" ref="F3:F67" si="2">IF($C3="","",0)</f>
        <v>0</v>
      </c>
      <c r="G3" s="18">
        <f t="shared" ref="G3" si="3">IF($C3="","",((10*F3)/15))</f>
        <v>0</v>
      </c>
      <c r="H3" s="17">
        <f t="shared" ref="H3:H67" si="4">IF($C3="","",0)</f>
        <v>0</v>
      </c>
      <c r="I3" s="18">
        <f t="shared" ref="I3" si="5">IF($C3="","",(H3))</f>
        <v>0</v>
      </c>
      <c r="J3" s="17">
        <f t="shared" ref="J3:J67" si="6">IF($C3="","",0)</f>
        <v>0</v>
      </c>
      <c r="K3" s="18">
        <f t="shared" ref="K3" si="7">IF($C3="","",((10*J3)/15))</f>
        <v>0</v>
      </c>
      <c r="L3" s="17">
        <f t="shared" ref="L3:L67" si="8">IF($C3="","",0)</f>
        <v>0</v>
      </c>
      <c r="M3" s="18">
        <f t="shared" ref="M3:M67" si="9">IF($C3="","",((10*L3)/15))</f>
        <v>0</v>
      </c>
      <c r="N3" s="15">
        <f t="shared" ref="N3" si="10">IF($C3="","",(D3+F3+H3+J3+L3))</f>
        <v>0</v>
      </c>
      <c r="O3" s="25">
        <f>IF($C3="","",((E3+G3+K3+M3)/4))</f>
        <v>0</v>
      </c>
      <c r="P3" s="27" t="str">
        <f>IF($C3="","",IF(AND(E3&gt;=CORTES!C4, G3&gt;=CORTES!C5,I3&gt;=CORTES!C6,K3&gt;=CORTES!C7,M3&gt;=CORTES!C8,O3&gt;=CORTES!$D$4),"SIM","NÃO"))</f>
        <v>NÃO</v>
      </c>
    </row>
    <row r="4" spans="1:16" ht="15.6" x14ac:dyDescent="0.3">
      <c r="A4" s="7">
        <v>2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CAIO CITÓ</v>
      </c>
      <c r="D4" s="17">
        <f t="shared" si="0"/>
        <v>0</v>
      </c>
      <c r="E4" s="18">
        <f t="shared" ref="E4:E67" si="11">IF($C4="","",((10*D4)/15))</f>
        <v>0</v>
      </c>
      <c r="F4" s="17">
        <f t="shared" si="2"/>
        <v>0</v>
      </c>
      <c r="G4" s="18">
        <f t="shared" ref="G4:G67" si="12">IF($C4="","",((10*F4)/15))</f>
        <v>0</v>
      </c>
      <c r="H4" s="17">
        <f t="shared" si="4"/>
        <v>0</v>
      </c>
      <c r="I4" s="18">
        <f t="shared" ref="I4:I67" si="13">IF($C4="","",(H4))</f>
        <v>0</v>
      </c>
      <c r="J4" s="17">
        <f t="shared" si="6"/>
        <v>0</v>
      </c>
      <c r="K4" s="18">
        <f t="shared" ref="K4:K67" si="14">IF($C4="","",((10*J4)/15))</f>
        <v>0</v>
      </c>
      <c r="L4" s="17">
        <f t="shared" si="8"/>
        <v>0</v>
      </c>
      <c r="M4" s="18">
        <f t="shared" si="9"/>
        <v>0</v>
      </c>
      <c r="N4" s="15">
        <f t="shared" ref="N4:N31" si="15">IF($C4="","",(D4+F4+H4+J4+L4))</f>
        <v>0</v>
      </c>
      <c r="O4" s="25">
        <f t="shared" ref="O4:O31" si="16">IF($C4="","",((E4+G4+K4+M4)/4))</f>
        <v>0</v>
      </c>
      <c r="P4" s="27" t="str">
        <f>IF($C4="","",IF(AND(E4&gt;=CORTES!C5, G4&gt;=CORTES!C6,I4&gt;=CORTES!C7,K4&gt;=CORTES!C8,M4&gt;=CORTES!C9,O4&gt;=CORTES!$D$4),"SIM","NÃO"))</f>
        <v>NÃO</v>
      </c>
    </row>
    <row r="5" spans="1:16" ht="15.6" x14ac:dyDescent="0.3">
      <c r="A5" s="7">
        <v>3</v>
      </c>
      <c r="B5" s="2" t="str" cm="1">
        <f t="array" ref="B5">IF(ISERROR(INDEX(ListaDeAlunos,$A5,COLUMN()-1)),"",INDEX(ListaDeAlunos,$A5,COLUMN()-1))</f>
        <v>3°</v>
      </c>
      <c r="C5" s="2" t="str" cm="1">
        <f t="array" ref="C5">IF(ISERROR(INDEX(ListaDeAlunos,$A5,COLUMN()-1)),"",INDEX(ListaDeAlunos,$A5,COLUMN()-1))</f>
        <v>ARTHUR CITÓ</v>
      </c>
      <c r="D5" s="17">
        <f t="shared" si="0"/>
        <v>0</v>
      </c>
      <c r="E5" s="18">
        <f t="shared" si="11"/>
        <v>0</v>
      </c>
      <c r="F5" s="17">
        <f t="shared" si="2"/>
        <v>0</v>
      </c>
      <c r="G5" s="18">
        <f t="shared" si="12"/>
        <v>0</v>
      </c>
      <c r="H5" s="17">
        <f t="shared" si="4"/>
        <v>0</v>
      </c>
      <c r="I5" s="18">
        <f t="shared" si="13"/>
        <v>0</v>
      </c>
      <c r="J5" s="17">
        <f t="shared" si="6"/>
        <v>0</v>
      </c>
      <c r="K5" s="18">
        <f t="shared" si="14"/>
        <v>0</v>
      </c>
      <c r="L5" s="17">
        <f t="shared" si="8"/>
        <v>0</v>
      </c>
      <c r="M5" s="18">
        <f t="shared" si="9"/>
        <v>0</v>
      </c>
      <c r="N5" s="15">
        <f t="shared" si="15"/>
        <v>0</v>
      </c>
      <c r="O5" s="25">
        <f t="shared" si="16"/>
        <v>0</v>
      </c>
      <c r="P5" s="27" t="str">
        <f>IF($C5="","",IF(AND(E5&gt;=CORTES!C6, G5&gt;=CORTES!C7,I5&gt;=CORTES!C8,K5&gt;=CORTES!C9,M5&gt;=CORTES!C10,O5&gt;=CORTES!$D$4),"SIM","NÃO"))</f>
        <v>NÃO</v>
      </c>
    </row>
    <row r="6" spans="1:16" ht="15.6" x14ac:dyDescent="0.3">
      <c r="A6" s="7">
        <v>4</v>
      </c>
      <c r="B6" s="2" t="str" cm="1">
        <f t="array" ref="B6">IF(ISERROR(INDEX(ListaDeAlunos,$A6,COLUMN()-1)),"",INDEX(ListaDeAlunos,$A6,COLUMN()-1))</f>
        <v/>
      </c>
      <c r="C6" s="2" t="str" cm="1">
        <f t="array" ref="C6">IF(ISERROR(INDEX(ListaDeAlunos,$A6,COLUMN()-1)),"",INDEX(ListaDeAlunos,$A6,COLUMN()-1))</f>
        <v/>
      </c>
      <c r="D6" s="17" t="str">
        <f t="shared" si="0"/>
        <v/>
      </c>
      <c r="E6" s="18" t="str">
        <f t="shared" si="11"/>
        <v/>
      </c>
      <c r="F6" s="17" t="str">
        <f t="shared" si="2"/>
        <v/>
      </c>
      <c r="G6" s="18" t="str">
        <f t="shared" si="12"/>
        <v/>
      </c>
      <c r="H6" s="17" t="str">
        <f t="shared" si="4"/>
        <v/>
      </c>
      <c r="I6" s="18" t="str">
        <f t="shared" si="13"/>
        <v/>
      </c>
      <c r="J6" s="17" t="str">
        <f t="shared" si="6"/>
        <v/>
      </c>
      <c r="K6" s="18" t="str">
        <f t="shared" si="14"/>
        <v/>
      </c>
      <c r="L6" s="17" t="str">
        <f t="shared" si="8"/>
        <v/>
      </c>
      <c r="M6" s="18" t="str">
        <f t="shared" si="9"/>
        <v/>
      </c>
      <c r="N6" s="15" t="str">
        <f t="shared" si="15"/>
        <v/>
      </c>
      <c r="O6" s="25" t="str">
        <f t="shared" si="16"/>
        <v/>
      </c>
      <c r="P6" s="27" t="str">
        <f>IF($C6="","",IF(AND(E6&gt;=CORTES!C7, G6&gt;=CORTES!C8,I6&gt;=CORTES!C9,K6&gt;=CORTES!C10,M6&gt;=CORTES!C11,O6&gt;=CORTES!$D$4),"SIM","NÃO"))</f>
        <v/>
      </c>
    </row>
    <row r="7" spans="1:16" ht="15.6" x14ac:dyDescent="0.3">
      <c r="A7" s="7">
        <v>5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17" t="str">
        <f t="shared" si="0"/>
        <v/>
      </c>
      <c r="E7" s="18" t="str">
        <f t="shared" si="11"/>
        <v/>
      </c>
      <c r="F7" s="17" t="str">
        <f t="shared" si="2"/>
        <v/>
      </c>
      <c r="G7" s="18" t="str">
        <f t="shared" si="12"/>
        <v/>
      </c>
      <c r="H7" s="17" t="str">
        <f t="shared" si="4"/>
        <v/>
      </c>
      <c r="I7" s="18" t="str">
        <f t="shared" si="13"/>
        <v/>
      </c>
      <c r="J7" s="17" t="str">
        <f t="shared" si="6"/>
        <v/>
      </c>
      <c r="K7" s="18" t="str">
        <f t="shared" si="14"/>
        <v/>
      </c>
      <c r="L7" s="17" t="str">
        <f t="shared" si="8"/>
        <v/>
      </c>
      <c r="M7" s="18" t="str">
        <f t="shared" si="9"/>
        <v/>
      </c>
      <c r="N7" s="15" t="str">
        <f t="shared" si="15"/>
        <v/>
      </c>
      <c r="O7" s="25" t="str">
        <f t="shared" si="16"/>
        <v/>
      </c>
      <c r="P7" s="27" t="str">
        <f>IF($C7="","",IF(AND(E7&gt;=CORTES!C8, G7&gt;=CORTES!C9,I7&gt;=CORTES!C10,K7&gt;=CORTES!C11,M7&gt;=CORTES!C12,O7&gt;=CORTES!$D$4),"SIM","NÃO"))</f>
        <v/>
      </c>
    </row>
    <row r="8" spans="1:16" ht="15.6" x14ac:dyDescent="0.3">
      <c r="A8" s="7">
        <v>6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17" t="str">
        <f t="shared" si="0"/>
        <v/>
      </c>
      <c r="E8" s="18" t="str">
        <f t="shared" si="11"/>
        <v/>
      </c>
      <c r="F8" s="17" t="str">
        <f t="shared" si="2"/>
        <v/>
      </c>
      <c r="G8" s="18" t="str">
        <f t="shared" si="12"/>
        <v/>
      </c>
      <c r="H8" s="17" t="str">
        <f t="shared" si="4"/>
        <v/>
      </c>
      <c r="I8" s="18" t="str">
        <f t="shared" si="13"/>
        <v/>
      </c>
      <c r="J8" s="17" t="str">
        <f t="shared" si="6"/>
        <v/>
      </c>
      <c r="K8" s="18" t="str">
        <f t="shared" si="14"/>
        <v/>
      </c>
      <c r="L8" s="17" t="str">
        <f t="shared" si="8"/>
        <v/>
      </c>
      <c r="M8" s="18" t="str">
        <f t="shared" si="9"/>
        <v/>
      </c>
      <c r="N8" s="15" t="str">
        <f t="shared" si="15"/>
        <v/>
      </c>
      <c r="O8" s="25" t="str">
        <f t="shared" si="16"/>
        <v/>
      </c>
      <c r="P8" s="27" t="str">
        <f>IF($C8="","",IF(AND(E8&gt;=CORTES!C9, G8&gt;=CORTES!C10,I8&gt;=CORTES!C11,K8&gt;=CORTES!C12,M8&gt;=CORTES!C13,O8&gt;=CORTES!$D$4),"SIM","NÃO"))</f>
        <v/>
      </c>
    </row>
    <row r="9" spans="1:16" ht="15.6" x14ac:dyDescent="0.3">
      <c r="A9" s="7">
        <v>7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17" t="str">
        <f t="shared" si="0"/>
        <v/>
      </c>
      <c r="E9" s="18" t="str">
        <f t="shared" si="11"/>
        <v/>
      </c>
      <c r="F9" s="17" t="str">
        <f t="shared" si="2"/>
        <v/>
      </c>
      <c r="G9" s="18" t="str">
        <f t="shared" si="12"/>
        <v/>
      </c>
      <c r="H9" s="17" t="str">
        <f t="shared" si="4"/>
        <v/>
      </c>
      <c r="I9" s="18" t="str">
        <f t="shared" si="13"/>
        <v/>
      </c>
      <c r="J9" s="17" t="str">
        <f t="shared" si="6"/>
        <v/>
      </c>
      <c r="K9" s="18" t="str">
        <f t="shared" si="14"/>
        <v/>
      </c>
      <c r="L9" s="17" t="str">
        <f t="shared" si="8"/>
        <v/>
      </c>
      <c r="M9" s="18" t="str">
        <f t="shared" si="9"/>
        <v/>
      </c>
      <c r="N9" s="15" t="str">
        <f t="shared" si="15"/>
        <v/>
      </c>
      <c r="O9" s="25" t="str">
        <f t="shared" si="16"/>
        <v/>
      </c>
      <c r="P9" s="27" t="str">
        <f>IF($C9="","",IF(AND(E9&gt;=CORTES!C10, G9&gt;=CORTES!C11,I9&gt;=CORTES!C12,K9&gt;=CORTES!C13,M9&gt;=CORTES!C14,O9&gt;=CORTES!$D$4),"SIM","NÃO"))</f>
        <v/>
      </c>
    </row>
    <row r="10" spans="1:16" ht="15.6" x14ac:dyDescent="0.3">
      <c r="A10" s="7">
        <v>8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17" t="str">
        <f t="shared" si="0"/>
        <v/>
      </c>
      <c r="E10" s="18" t="str">
        <f t="shared" si="11"/>
        <v/>
      </c>
      <c r="F10" s="17" t="str">
        <f t="shared" si="2"/>
        <v/>
      </c>
      <c r="G10" s="18" t="str">
        <f t="shared" si="12"/>
        <v/>
      </c>
      <c r="H10" s="17" t="str">
        <f t="shared" si="4"/>
        <v/>
      </c>
      <c r="I10" s="18" t="str">
        <f t="shared" si="13"/>
        <v/>
      </c>
      <c r="J10" s="17" t="str">
        <f t="shared" si="6"/>
        <v/>
      </c>
      <c r="K10" s="18" t="str">
        <f t="shared" si="14"/>
        <v/>
      </c>
      <c r="L10" s="17" t="str">
        <f t="shared" si="8"/>
        <v/>
      </c>
      <c r="M10" s="18" t="str">
        <f t="shared" si="9"/>
        <v/>
      </c>
      <c r="N10" s="15" t="str">
        <f t="shared" si="15"/>
        <v/>
      </c>
      <c r="O10" s="25" t="str">
        <f t="shared" si="16"/>
        <v/>
      </c>
      <c r="P10" s="27" t="str">
        <f>IF($C10="","",IF(AND(E10&gt;=CORTES!C11, G10&gt;=CORTES!C12,I10&gt;=CORTES!C13,K10&gt;=CORTES!C14,M10&gt;=CORTES!C15,O10&gt;=CORTES!$D$4),"SIM","NÃO"))</f>
        <v/>
      </c>
    </row>
    <row r="11" spans="1:16" ht="15.6" x14ac:dyDescent="0.3">
      <c r="A11" s="7">
        <v>9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17" t="str">
        <f t="shared" si="0"/>
        <v/>
      </c>
      <c r="E11" s="18" t="str">
        <f t="shared" si="11"/>
        <v/>
      </c>
      <c r="F11" s="17" t="str">
        <f t="shared" si="2"/>
        <v/>
      </c>
      <c r="G11" s="18" t="str">
        <f t="shared" si="12"/>
        <v/>
      </c>
      <c r="H11" s="17" t="str">
        <f t="shared" si="4"/>
        <v/>
      </c>
      <c r="I11" s="18" t="str">
        <f t="shared" si="13"/>
        <v/>
      </c>
      <c r="J11" s="17" t="str">
        <f t="shared" si="6"/>
        <v/>
      </c>
      <c r="K11" s="18" t="str">
        <f t="shared" si="14"/>
        <v/>
      </c>
      <c r="L11" s="17" t="str">
        <f t="shared" si="8"/>
        <v/>
      </c>
      <c r="M11" s="18" t="str">
        <f t="shared" si="9"/>
        <v/>
      </c>
      <c r="N11" s="15" t="str">
        <f t="shared" si="15"/>
        <v/>
      </c>
      <c r="O11" s="25" t="str">
        <f t="shared" si="16"/>
        <v/>
      </c>
      <c r="P11" s="27" t="str">
        <f>IF($C11="","",IF(AND(E11&gt;=CORTES!C12, G11&gt;=CORTES!C13,I11&gt;=CORTES!C14,K11&gt;=CORTES!C15,M11&gt;=CORTES!C16,O11&gt;=CORTES!$D$4),"SIM","NÃO"))</f>
        <v/>
      </c>
    </row>
    <row r="12" spans="1:16" ht="15.6" x14ac:dyDescent="0.3">
      <c r="A12" s="7">
        <v>10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17" t="str">
        <f t="shared" si="0"/>
        <v/>
      </c>
      <c r="E12" s="18" t="str">
        <f t="shared" si="11"/>
        <v/>
      </c>
      <c r="F12" s="17" t="str">
        <f t="shared" si="2"/>
        <v/>
      </c>
      <c r="G12" s="18" t="str">
        <f t="shared" si="12"/>
        <v/>
      </c>
      <c r="H12" s="17" t="str">
        <f t="shared" si="4"/>
        <v/>
      </c>
      <c r="I12" s="18" t="str">
        <f t="shared" si="13"/>
        <v/>
      </c>
      <c r="J12" s="17" t="str">
        <f t="shared" si="6"/>
        <v/>
      </c>
      <c r="K12" s="18" t="str">
        <f t="shared" si="14"/>
        <v/>
      </c>
      <c r="L12" s="17" t="str">
        <f t="shared" si="8"/>
        <v/>
      </c>
      <c r="M12" s="18" t="str">
        <f t="shared" si="9"/>
        <v/>
      </c>
      <c r="N12" s="15" t="str">
        <f t="shared" si="15"/>
        <v/>
      </c>
      <c r="O12" s="25" t="str">
        <f t="shared" si="16"/>
        <v/>
      </c>
      <c r="P12" s="27" t="str">
        <f>IF($C12="","",IF(AND(E12&gt;=CORTES!C13, G12&gt;=CORTES!C14,I12&gt;=CORTES!C15,K12&gt;=CORTES!C16,M12&gt;=CORTES!C17,O12&gt;=CORTES!$D$4),"SIM","NÃO"))</f>
        <v/>
      </c>
    </row>
    <row r="13" spans="1:16" ht="15.6" x14ac:dyDescent="0.3">
      <c r="A13" s="7">
        <v>11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17" t="str">
        <f t="shared" si="0"/>
        <v/>
      </c>
      <c r="E13" s="18" t="str">
        <f t="shared" si="11"/>
        <v/>
      </c>
      <c r="F13" s="17" t="str">
        <f t="shared" si="2"/>
        <v/>
      </c>
      <c r="G13" s="18" t="str">
        <f t="shared" si="12"/>
        <v/>
      </c>
      <c r="H13" s="17" t="str">
        <f t="shared" si="4"/>
        <v/>
      </c>
      <c r="I13" s="18" t="str">
        <f t="shared" si="13"/>
        <v/>
      </c>
      <c r="J13" s="17" t="str">
        <f t="shared" si="6"/>
        <v/>
      </c>
      <c r="K13" s="18" t="str">
        <f t="shared" si="14"/>
        <v/>
      </c>
      <c r="L13" s="17" t="str">
        <f t="shared" si="8"/>
        <v/>
      </c>
      <c r="M13" s="18" t="str">
        <f t="shared" si="9"/>
        <v/>
      </c>
      <c r="N13" s="15" t="str">
        <f t="shared" si="15"/>
        <v/>
      </c>
      <c r="O13" s="25" t="str">
        <f t="shared" si="16"/>
        <v/>
      </c>
      <c r="P13" s="27" t="str">
        <f>IF($C13="","",IF(AND(E13&gt;=CORTES!C14, G13&gt;=CORTES!C15,I13&gt;=CORTES!C16,K13&gt;=CORTES!C17,M13&gt;=CORTES!C18,O13&gt;=CORTES!$D$4),"SIM","NÃO"))</f>
        <v/>
      </c>
    </row>
    <row r="14" spans="1:16" ht="15.6" x14ac:dyDescent="0.3">
      <c r="A14" s="7">
        <v>12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17" t="str">
        <f t="shared" si="0"/>
        <v/>
      </c>
      <c r="E14" s="18" t="str">
        <f t="shared" si="11"/>
        <v/>
      </c>
      <c r="F14" s="17" t="str">
        <f t="shared" si="2"/>
        <v/>
      </c>
      <c r="G14" s="18" t="str">
        <f t="shared" si="12"/>
        <v/>
      </c>
      <c r="H14" s="17" t="str">
        <f t="shared" si="4"/>
        <v/>
      </c>
      <c r="I14" s="18" t="str">
        <f t="shared" si="13"/>
        <v/>
      </c>
      <c r="J14" s="17" t="str">
        <f t="shared" si="6"/>
        <v/>
      </c>
      <c r="K14" s="18" t="str">
        <f t="shared" si="14"/>
        <v/>
      </c>
      <c r="L14" s="17" t="str">
        <f t="shared" si="8"/>
        <v/>
      </c>
      <c r="M14" s="18" t="str">
        <f t="shared" si="9"/>
        <v/>
      </c>
      <c r="N14" s="15" t="str">
        <f t="shared" si="15"/>
        <v/>
      </c>
      <c r="O14" s="25" t="str">
        <f t="shared" si="16"/>
        <v/>
      </c>
      <c r="P14" s="27" t="str">
        <f>IF($C14="","",IF(AND(E14&gt;=CORTES!C15, G14&gt;=CORTES!C16,I14&gt;=CORTES!C17,K14&gt;=CORTES!C18,M14&gt;=CORTES!C19,O14&gt;=CORTES!$D$4),"SIM","NÃO"))</f>
        <v/>
      </c>
    </row>
    <row r="15" spans="1:16" ht="15.6" x14ac:dyDescent="0.3">
      <c r="A15" s="7">
        <v>13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17" t="str">
        <f t="shared" si="0"/>
        <v/>
      </c>
      <c r="E15" s="18" t="str">
        <f t="shared" si="11"/>
        <v/>
      </c>
      <c r="F15" s="17" t="str">
        <f t="shared" si="2"/>
        <v/>
      </c>
      <c r="G15" s="18" t="str">
        <f t="shared" si="12"/>
        <v/>
      </c>
      <c r="H15" s="17" t="str">
        <f t="shared" si="4"/>
        <v/>
      </c>
      <c r="I15" s="18" t="str">
        <f t="shared" si="13"/>
        <v/>
      </c>
      <c r="J15" s="17" t="str">
        <f t="shared" si="6"/>
        <v/>
      </c>
      <c r="K15" s="18" t="str">
        <f t="shared" si="14"/>
        <v/>
      </c>
      <c r="L15" s="17" t="str">
        <f t="shared" si="8"/>
        <v/>
      </c>
      <c r="M15" s="18" t="str">
        <f t="shared" si="9"/>
        <v/>
      </c>
      <c r="N15" s="15" t="str">
        <f t="shared" si="15"/>
        <v/>
      </c>
      <c r="O15" s="25" t="str">
        <f t="shared" si="16"/>
        <v/>
      </c>
      <c r="P15" s="27" t="str">
        <f>IF($C15="","",IF(AND(E15&gt;=CORTES!C16, G15&gt;=CORTES!C17,I15&gt;=CORTES!C18,K15&gt;=CORTES!C19,M15&gt;=CORTES!C20,O15&gt;=CORTES!$D$4),"SIM","NÃO"))</f>
        <v/>
      </c>
    </row>
    <row r="16" spans="1:16" ht="15.6" x14ac:dyDescent="0.3">
      <c r="A16" s="7">
        <v>14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17" t="str">
        <f t="shared" si="0"/>
        <v/>
      </c>
      <c r="E16" s="18" t="str">
        <f t="shared" si="11"/>
        <v/>
      </c>
      <c r="F16" s="17" t="str">
        <f t="shared" si="2"/>
        <v/>
      </c>
      <c r="G16" s="18" t="str">
        <f t="shared" si="12"/>
        <v/>
      </c>
      <c r="H16" s="17" t="str">
        <f t="shared" si="4"/>
        <v/>
      </c>
      <c r="I16" s="18" t="str">
        <f t="shared" si="13"/>
        <v/>
      </c>
      <c r="J16" s="17" t="str">
        <f t="shared" si="6"/>
        <v/>
      </c>
      <c r="K16" s="18" t="str">
        <f t="shared" si="14"/>
        <v/>
      </c>
      <c r="L16" s="17" t="str">
        <f t="shared" si="8"/>
        <v/>
      </c>
      <c r="M16" s="18" t="str">
        <f t="shared" si="9"/>
        <v/>
      </c>
      <c r="N16" s="15" t="str">
        <f t="shared" si="15"/>
        <v/>
      </c>
      <c r="O16" s="25" t="str">
        <f t="shared" si="16"/>
        <v/>
      </c>
      <c r="P16" s="27" t="str">
        <f>IF($C16="","",IF(AND(E16&gt;=CORTES!C17, G16&gt;=CORTES!C18,I16&gt;=CORTES!C19,K16&gt;=CORTES!C20,M16&gt;=CORTES!C21,O16&gt;=CORTES!$D$4),"SIM","NÃO"))</f>
        <v/>
      </c>
    </row>
    <row r="17" spans="1:16" ht="15.6" x14ac:dyDescent="0.3">
      <c r="A17" s="7">
        <v>15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17" t="str">
        <f t="shared" si="0"/>
        <v/>
      </c>
      <c r="E17" s="18" t="str">
        <f t="shared" si="11"/>
        <v/>
      </c>
      <c r="F17" s="17" t="str">
        <f t="shared" si="2"/>
        <v/>
      </c>
      <c r="G17" s="18" t="str">
        <f t="shared" si="12"/>
        <v/>
      </c>
      <c r="H17" s="17" t="str">
        <f t="shared" si="4"/>
        <v/>
      </c>
      <c r="I17" s="18" t="str">
        <f t="shared" si="13"/>
        <v/>
      </c>
      <c r="J17" s="17" t="str">
        <f t="shared" si="6"/>
        <v/>
      </c>
      <c r="K17" s="18" t="str">
        <f t="shared" si="14"/>
        <v/>
      </c>
      <c r="L17" s="17" t="str">
        <f t="shared" si="8"/>
        <v/>
      </c>
      <c r="M17" s="18" t="str">
        <f t="shared" si="9"/>
        <v/>
      </c>
      <c r="N17" s="15" t="str">
        <f t="shared" si="15"/>
        <v/>
      </c>
      <c r="O17" s="25" t="str">
        <f t="shared" si="16"/>
        <v/>
      </c>
      <c r="P17" s="27" t="str">
        <f>IF($C17="","",IF(AND(E17&gt;=CORTES!C18, G17&gt;=CORTES!C19,I17&gt;=CORTES!C20,K17&gt;=CORTES!C21,M17&gt;=CORTES!C22,O17&gt;=CORTES!$D$4),"SIM","NÃO"))</f>
        <v/>
      </c>
    </row>
    <row r="18" spans="1:16" ht="15.6" x14ac:dyDescent="0.3">
      <c r="A18" s="7">
        <v>16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17" t="str">
        <f t="shared" si="0"/>
        <v/>
      </c>
      <c r="E18" s="18" t="str">
        <f t="shared" si="11"/>
        <v/>
      </c>
      <c r="F18" s="17" t="str">
        <f t="shared" si="2"/>
        <v/>
      </c>
      <c r="G18" s="18" t="str">
        <f t="shared" si="12"/>
        <v/>
      </c>
      <c r="H18" s="17" t="str">
        <f t="shared" si="4"/>
        <v/>
      </c>
      <c r="I18" s="18" t="str">
        <f t="shared" si="13"/>
        <v/>
      </c>
      <c r="J18" s="17" t="str">
        <f t="shared" si="6"/>
        <v/>
      </c>
      <c r="K18" s="18" t="str">
        <f t="shared" si="14"/>
        <v/>
      </c>
      <c r="L18" s="17" t="str">
        <f t="shared" si="8"/>
        <v/>
      </c>
      <c r="M18" s="18" t="str">
        <f t="shared" si="9"/>
        <v/>
      </c>
      <c r="N18" s="15" t="str">
        <f t="shared" si="15"/>
        <v/>
      </c>
      <c r="O18" s="25" t="str">
        <f t="shared" si="16"/>
        <v/>
      </c>
      <c r="P18" s="27" t="str">
        <f>IF($C18="","",IF(AND(E18&gt;=CORTES!C19, G18&gt;=CORTES!C20,I18&gt;=CORTES!C21,K18&gt;=CORTES!C22,M18&gt;=CORTES!C23,O18&gt;=CORTES!$D$4),"SIM","NÃO"))</f>
        <v/>
      </c>
    </row>
    <row r="19" spans="1:16" ht="15.6" x14ac:dyDescent="0.3">
      <c r="A19" s="7">
        <v>17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17" t="str">
        <f t="shared" si="0"/>
        <v/>
      </c>
      <c r="E19" s="18" t="str">
        <f t="shared" si="11"/>
        <v/>
      </c>
      <c r="F19" s="17" t="str">
        <f t="shared" si="2"/>
        <v/>
      </c>
      <c r="G19" s="18" t="str">
        <f t="shared" si="12"/>
        <v/>
      </c>
      <c r="H19" s="17" t="str">
        <f t="shared" si="4"/>
        <v/>
      </c>
      <c r="I19" s="18" t="str">
        <f t="shared" si="13"/>
        <v/>
      </c>
      <c r="J19" s="17" t="str">
        <f t="shared" si="6"/>
        <v/>
      </c>
      <c r="K19" s="18" t="str">
        <f t="shared" si="14"/>
        <v/>
      </c>
      <c r="L19" s="17" t="str">
        <f t="shared" si="8"/>
        <v/>
      </c>
      <c r="M19" s="18" t="str">
        <f t="shared" si="9"/>
        <v/>
      </c>
      <c r="N19" s="15" t="str">
        <f t="shared" si="15"/>
        <v/>
      </c>
      <c r="O19" s="25" t="str">
        <f t="shared" si="16"/>
        <v/>
      </c>
      <c r="P19" s="27" t="str">
        <f>IF($C19="","",IF(AND(E19&gt;=CORTES!C20, G19&gt;=CORTES!C21,I19&gt;=CORTES!C22,K19&gt;=CORTES!C23,M19&gt;=CORTES!C24,O19&gt;=CORTES!$D$4),"SIM","NÃO"))</f>
        <v/>
      </c>
    </row>
    <row r="20" spans="1:16" ht="15.6" x14ac:dyDescent="0.3">
      <c r="A20" s="7">
        <v>18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17" t="str">
        <f t="shared" si="0"/>
        <v/>
      </c>
      <c r="E20" s="18" t="str">
        <f t="shared" si="11"/>
        <v/>
      </c>
      <c r="F20" s="17" t="str">
        <f t="shared" si="2"/>
        <v/>
      </c>
      <c r="G20" s="18" t="str">
        <f t="shared" si="12"/>
        <v/>
      </c>
      <c r="H20" s="17" t="str">
        <f t="shared" si="4"/>
        <v/>
      </c>
      <c r="I20" s="18" t="str">
        <f t="shared" si="13"/>
        <v/>
      </c>
      <c r="J20" s="17" t="str">
        <f t="shared" si="6"/>
        <v/>
      </c>
      <c r="K20" s="18" t="str">
        <f t="shared" si="14"/>
        <v/>
      </c>
      <c r="L20" s="17" t="str">
        <f t="shared" si="8"/>
        <v/>
      </c>
      <c r="M20" s="18" t="str">
        <f t="shared" si="9"/>
        <v/>
      </c>
      <c r="N20" s="15" t="str">
        <f t="shared" si="15"/>
        <v/>
      </c>
      <c r="O20" s="25" t="str">
        <f t="shared" si="16"/>
        <v/>
      </c>
      <c r="P20" s="27" t="str">
        <f>IF($C20="","",IF(AND(E20&gt;=CORTES!C21, G20&gt;=CORTES!C22,I20&gt;=CORTES!C23,K20&gt;=CORTES!C24,M20&gt;=CORTES!C25,O20&gt;=CORTES!$D$4),"SIM","NÃO"))</f>
        <v/>
      </c>
    </row>
    <row r="21" spans="1:16" ht="15.6" x14ac:dyDescent="0.3">
      <c r="A21" s="7">
        <v>19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17" t="str">
        <f t="shared" si="0"/>
        <v/>
      </c>
      <c r="E21" s="18" t="str">
        <f t="shared" si="11"/>
        <v/>
      </c>
      <c r="F21" s="17" t="str">
        <f t="shared" si="2"/>
        <v/>
      </c>
      <c r="G21" s="18" t="str">
        <f t="shared" si="12"/>
        <v/>
      </c>
      <c r="H21" s="17" t="str">
        <f t="shared" si="4"/>
        <v/>
      </c>
      <c r="I21" s="18" t="str">
        <f t="shared" si="13"/>
        <v/>
      </c>
      <c r="J21" s="17" t="str">
        <f t="shared" si="6"/>
        <v/>
      </c>
      <c r="K21" s="18" t="str">
        <f t="shared" si="14"/>
        <v/>
      </c>
      <c r="L21" s="17" t="str">
        <f t="shared" si="8"/>
        <v/>
      </c>
      <c r="M21" s="18" t="str">
        <f t="shared" si="9"/>
        <v/>
      </c>
      <c r="N21" s="15" t="str">
        <f t="shared" si="15"/>
        <v/>
      </c>
      <c r="O21" s="25" t="str">
        <f t="shared" si="16"/>
        <v/>
      </c>
      <c r="P21" s="27" t="str">
        <f>IF($C21="","",IF(AND(E21&gt;=CORTES!C22, G21&gt;=CORTES!C23,I21&gt;=CORTES!C24,K21&gt;=CORTES!C25,M21&gt;=CORTES!C26,O21&gt;=CORTES!$D$4),"SIM","NÃO"))</f>
        <v/>
      </c>
    </row>
    <row r="22" spans="1:16" ht="15.6" x14ac:dyDescent="0.3">
      <c r="A22" s="7">
        <v>20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17" t="str">
        <f t="shared" si="0"/>
        <v/>
      </c>
      <c r="E22" s="18" t="str">
        <f t="shared" si="11"/>
        <v/>
      </c>
      <c r="F22" s="17" t="str">
        <f t="shared" si="2"/>
        <v/>
      </c>
      <c r="G22" s="18" t="str">
        <f t="shared" si="12"/>
        <v/>
      </c>
      <c r="H22" s="17" t="str">
        <f t="shared" si="4"/>
        <v/>
      </c>
      <c r="I22" s="18" t="str">
        <f t="shared" si="13"/>
        <v/>
      </c>
      <c r="J22" s="17" t="str">
        <f t="shared" si="6"/>
        <v/>
      </c>
      <c r="K22" s="18" t="str">
        <f t="shared" si="14"/>
        <v/>
      </c>
      <c r="L22" s="17" t="str">
        <f t="shared" si="8"/>
        <v/>
      </c>
      <c r="M22" s="18" t="str">
        <f t="shared" si="9"/>
        <v/>
      </c>
      <c r="N22" s="15" t="str">
        <f t="shared" si="15"/>
        <v/>
      </c>
      <c r="O22" s="25" t="str">
        <f t="shared" si="16"/>
        <v/>
      </c>
      <c r="P22" s="27" t="str">
        <f>IF($C22="","",IF(AND(E22&gt;=CORTES!C23, G22&gt;=CORTES!C24,I22&gt;=CORTES!C25,K22&gt;=CORTES!C26,M22&gt;=CORTES!C27,O22&gt;=CORTES!$D$4),"SIM","NÃO"))</f>
        <v/>
      </c>
    </row>
    <row r="23" spans="1:16" ht="15.6" x14ac:dyDescent="0.3">
      <c r="A23" s="7">
        <v>21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17" t="str">
        <f t="shared" si="0"/>
        <v/>
      </c>
      <c r="E23" s="18" t="str">
        <f t="shared" si="11"/>
        <v/>
      </c>
      <c r="F23" s="17" t="str">
        <f t="shared" si="2"/>
        <v/>
      </c>
      <c r="G23" s="18" t="str">
        <f t="shared" si="12"/>
        <v/>
      </c>
      <c r="H23" s="17" t="str">
        <f t="shared" si="4"/>
        <v/>
      </c>
      <c r="I23" s="18" t="str">
        <f t="shared" si="13"/>
        <v/>
      </c>
      <c r="J23" s="17" t="str">
        <f t="shared" si="6"/>
        <v/>
      </c>
      <c r="K23" s="18" t="str">
        <f t="shared" si="14"/>
        <v/>
      </c>
      <c r="L23" s="17" t="str">
        <f t="shared" si="8"/>
        <v/>
      </c>
      <c r="M23" s="18" t="str">
        <f t="shared" si="9"/>
        <v/>
      </c>
      <c r="N23" s="15" t="str">
        <f t="shared" si="15"/>
        <v/>
      </c>
      <c r="O23" s="25" t="str">
        <f t="shared" si="16"/>
        <v/>
      </c>
      <c r="P23" s="27" t="str">
        <f>IF($C23="","",IF(AND(E23&gt;=CORTES!C24, G23&gt;=CORTES!C25,I23&gt;=CORTES!C26,K23&gt;=CORTES!C27,M23&gt;=CORTES!C28,O23&gt;=CORTES!$D$4),"SIM","NÃO"))</f>
        <v/>
      </c>
    </row>
    <row r="24" spans="1:16" ht="15.6" x14ac:dyDescent="0.3">
      <c r="A24" s="7">
        <v>22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17" t="str">
        <f t="shared" si="0"/>
        <v/>
      </c>
      <c r="E24" s="18" t="str">
        <f t="shared" si="11"/>
        <v/>
      </c>
      <c r="F24" s="17" t="str">
        <f t="shared" si="2"/>
        <v/>
      </c>
      <c r="G24" s="18" t="str">
        <f t="shared" si="12"/>
        <v/>
      </c>
      <c r="H24" s="17" t="str">
        <f t="shared" si="4"/>
        <v/>
      </c>
      <c r="I24" s="18" t="str">
        <f t="shared" si="13"/>
        <v/>
      </c>
      <c r="J24" s="17" t="str">
        <f t="shared" si="6"/>
        <v/>
      </c>
      <c r="K24" s="18" t="str">
        <f t="shared" si="14"/>
        <v/>
      </c>
      <c r="L24" s="17" t="str">
        <f t="shared" si="8"/>
        <v/>
      </c>
      <c r="M24" s="18" t="str">
        <f t="shared" si="9"/>
        <v/>
      </c>
      <c r="N24" s="15" t="str">
        <f t="shared" si="15"/>
        <v/>
      </c>
      <c r="O24" s="25" t="str">
        <f t="shared" si="16"/>
        <v/>
      </c>
      <c r="P24" s="27" t="str">
        <f>IF($C24="","",IF(AND(E24&gt;=CORTES!C25, G24&gt;=CORTES!C26,I24&gt;=CORTES!C27,K24&gt;=CORTES!C28,M24&gt;=CORTES!C29,O24&gt;=CORTES!$D$4),"SIM","NÃO"))</f>
        <v/>
      </c>
    </row>
    <row r="25" spans="1:16" ht="15.6" x14ac:dyDescent="0.3">
      <c r="A25" s="7">
        <v>23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17" t="str">
        <f t="shared" si="0"/>
        <v/>
      </c>
      <c r="E25" s="18" t="str">
        <f t="shared" si="11"/>
        <v/>
      </c>
      <c r="F25" s="17" t="str">
        <f t="shared" si="2"/>
        <v/>
      </c>
      <c r="G25" s="18" t="str">
        <f t="shared" si="12"/>
        <v/>
      </c>
      <c r="H25" s="17" t="str">
        <f t="shared" si="4"/>
        <v/>
      </c>
      <c r="I25" s="18" t="str">
        <f t="shared" si="13"/>
        <v/>
      </c>
      <c r="J25" s="17" t="str">
        <f t="shared" si="6"/>
        <v/>
      </c>
      <c r="K25" s="18" t="str">
        <f t="shared" si="14"/>
        <v/>
      </c>
      <c r="L25" s="17" t="str">
        <f t="shared" si="8"/>
        <v/>
      </c>
      <c r="M25" s="18" t="str">
        <f t="shared" si="9"/>
        <v/>
      </c>
      <c r="N25" s="15" t="str">
        <f t="shared" si="15"/>
        <v/>
      </c>
      <c r="O25" s="25" t="str">
        <f t="shared" si="16"/>
        <v/>
      </c>
      <c r="P25" s="27" t="str">
        <f>IF($C25="","",IF(AND(E25&gt;=CORTES!C26, G25&gt;=CORTES!C27,I25&gt;=CORTES!C28,K25&gt;=CORTES!C29,M25&gt;=CORTES!C30,O25&gt;=CORTES!$D$4),"SIM","NÃO"))</f>
        <v/>
      </c>
    </row>
    <row r="26" spans="1:16" ht="15.6" x14ac:dyDescent="0.3">
      <c r="A26" s="7">
        <v>24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17" t="str">
        <f t="shared" si="0"/>
        <v/>
      </c>
      <c r="E26" s="18" t="str">
        <f t="shared" si="11"/>
        <v/>
      </c>
      <c r="F26" s="17" t="str">
        <f t="shared" si="2"/>
        <v/>
      </c>
      <c r="G26" s="18" t="str">
        <f t="shared" si="12"/>
        <v/>
      </c>
      <c r="H26" s="17" t="str">
        <f t="shared" si="4"/>
        <v/>
      </c>
      <c r="I26" s="18" t="str">
        <f t="shared" si="13"/>
        <v/>
      </c>
      <c r="J26" s="17" t="str">
        <f t="shared" si="6"/>
        <v/>
      </c>
      <c r="K26" s="18" t="str">
        <f t="shared" si="14"/>
        <v/>
      </c>
      <c r="L26" s="17" t="str">
        <f t="shared" si="8"/>
        <v/>
      </c>
      <c r="M26" s="18" t="str">
        <f t="shared" si="9"/>
        <v/>
      </c>
      <c r="N26" s="15" t="str">
        <f t="shared" si="15"/>
        <v/>
      </c>
      <c r="O26" s="25" t="str">
        <f t="shared" si="16"/>
        <v/>
      </c>
      <c r="P26" s="27" t="str">
        <f>IF($C26="","",IF(AND(E26&gt;=CORTES!C27, G26&gt;=CORTES!C28,I26&gt;=CORTES!C29,K26&gt;=CORTES!C30,M26&gt;=CORTES!C31,O26&gt;=CORTES!$D$4),"SIM","NÃO"))</f>
        <v/>
      </c>
    </row>
    <row r="27" spans="1:16" ht="15.6" x14ac:dyDescent="0.3">
      <c r="A27" s="7">
        <v>25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17" t="str">
        <f t="shared" si="0"/>
        <v/>
      </c>
      <c r="E27" s="18" t="str">
        <f t="shared" si="11"/>
        <v/>
      </c>
      <c r="F27" s="17" t="str">
        <f t="shared" si="2"/>
        <v/>
      </c>
      <c r="G27" s="18" t="str">
        <f t="shared" si="12"/>
        <v/>
      </c>
      <c r="H27" s="17" t="str">
        <f t="shared" si="4"/>
        <v/>
      </c>
      <c r="I27" s="18" t="str">
        <f t="shared" si="13"/>
        <v/>
      </c>
      <c r="J27" s="17" t="str">
        <f t="shared" si="6"/>
        <v/>
      </c>
      <c r="K27" s="18" t="str">
        <f t="shared" si="14"/>
        <v/>
      </c>
      <c r="L27" s="17" t="str">
        <f t="shared" si="8"/>
        <v/>
      </c>
      <c r="M27" s="18" t="str">
        <f t="shared" si="9"/>
        <v/>
      </c>
      <c r="N27" s="15" t="str">
        <f t="shared" si="15"/>
        <v/>
      </c>
      <c r="O27" s="25" t="str">
        <f t="shared" si="16"/>
        <v/>
      </c>
      <c r="P27" s="27" t="str">
        <f>IF($C27="","",IF(AND(E27&gt;=CORTES!C28, G27&gt;=CORTES!C29,I27&gt;=CORTES!C30,K27&gt;=CORTES!C31,M27&gt;=CORTES!C32,O27&gt;=CORTES!$D$4),"SIM","NÃO"))</f>
        <v/>
      </c>
    </row>
    <row r="28" spans="1:16" ht="15.6" x14ac:dyDescent="0.3">
      <c r="A28" s="7">
        <v>26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17" t="str">
        <f t="shared" si="0"/>
        <v/>
      </c>
      <c r="E28" s="18" t="str">
        <f t="shared" si="11"/>
        <v/>
      </c>
      <c r="F28" s="17" t="str">
        <f t="shared" si="2"/>
        <v/>
      </c>
      <c r="G28" s="18" t="str">
        <f t="shared" si="12"/>
        <v/>
      </c>
      <c r="H28" s="17" t="str">
        <f t="shared" si="4"/>
        <v/>
      </c>
      <c r="I28" s="18" t="str">
        <f t="shared" si="13"/>
        <v/>
      </c>
      <c r="J28" s="17" t="str">
        <f t="shared" si="6"/>
        <v/>
      </c>
      <c r="K28" s="18" t="str">
        <f t="shared" si="14"/>
        <v/>
      </c>
      <c r="L28" s="17" t="str">
        <f t="shared" si="8"/>
        <v/>
      </c>
      <c r="M28" s="18" t="str">
        <f t="shared" si="9"/>
        <v/>
      </c>
      <c r="N28" s="15" t="str">
        <f t="shared" si="15"/>
        <v/>
      </c>
      <c r="O28" s="25" t="str">
        <f t="shared" si="16"/>
        <v/>
      </c>
      <c r="P28" s="27" t="str">
        <f>IF($C28="","",IF(AND(E28&gt;=CORTES!C29, G28&gt;=CORTES!C30,I28&gt;=CORTES!C31,K28&gt;=CORTES!C32,M28&gt;=CORTES!C33,O28&gt;=CORTES!$D$4),"SIM","NÃO"))</f>
        <v/>
      </c>
    </row>
    <row r="29" spans="1:16" ht="15.6" x14ac:dyDescent="0.3">
      <c r="A29" s="7">
        <v>27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17" t="str">
        <f t="shared" si="0"/>
        <v/>
      </c>
      <c r="E29" s="18" t="str">
        <f t="shared" si="11"/>
        <v/>
      </c>
      <c r="F29" s="17" t="str">
        <f t="shared" si="2"/>
        <v/>
      </c>
      <c r="G29" s="18" t="str">
        <f t="shared" si="12"/>
        <v/>
      </c>
      <c r="H29" s="17" t="str">
        <f t="shared" si="4"/>
        <v/>
      </c>
      <c r="I29" s="18" t="str">
        <f t="shared" si="13"/>
        <v/>
      </c>
      <c r="J29" s="17" t="str">
        <f t="shared" si="6"/>
        <v/>
      </c>
      <c r="K29" s="18" t="str">
        <f t="shared" si="14"/>
        <v/>
      </c>
      <c r="L29" s="17" t="str">
        <f t="shared" si="8"/>
        <v/>
      </c>
      <c r="M29" s="18" t="str">
        <f t="shared" si="9"/>
        <v/>
      </c>
      <c r="N29" s="15" t="str">
        <f t="shared" si="15"/>
        <v/>
      </c>
      <c r="O29" s="25" t="str">
        <f t="shared" si="16"/>
        <v/>
      </c>
      <c r="P29" s="27" t="str">
        <f>IF($C29="","",IF(AND(E29&gt;=CORTES!C30, G29&gt;=CORTES!C31,I29&gt;=CORTES!C32,K29&gt;=CORTES!C33,M29&gt;=CORTES!C34,O29&gt;=CORTES!$D$4),"SIM","NÃO"))</f>
        <v/>
      </c>
    </row>
    <row r="30" spans="1:16" ht="15.6" x14ac:dyDescent="0.3">
      <c r="A30" s="7">
        <v>28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17" t="str">
        <f t="shared" si="0"/>
        <v/>
      </c>
      <c r="E30" s="18" t="str">
        <f t="shared" si="11"/>
        <v/>
      </c>
      <c r="F30" s="17" t="str">
        <f t="shared" si="2"/>
        <v/>
      </c>
      <c r="G30" s="18" t="str">
        <f t="shared" si="12"/>
        <v/>
      </c>
      <c r="H30" s="17" t="str">
        <f t="shared" si="4"/>
        <v/>
      </c>
      <c r="I30" s="18" t="str">
        <f t="shared" si="13"/>
        <v/>
      </c>
      <c r="J30" s="17" t="str">
        <f t="shared" si="6"/>
        <v/>
      </c>
      <c r="K30" s="18" t="str">
        <f t="shared" si="14"/>
        <v/>
      </c>
      <c r="L30" s="17" t="str">
        <f t="shared" si="8"/>
        <v/>
      </c>
      <c r="M30" s="18" t="str">
        <f t="shared" si="9"/>
        <v/>
      </c>
      <c r="N30" s="15" t="str">
        <f t="shared" si="15"/>
        <v/>
      </c>
      <c r="O30" s="25" t="str">
        <f t="shared" si="16"/>
        <v/>
      </c>
      <c r="P30" s="27" t="str">
        <f>IF($C30="","",IF(AND(E30&gt;=CORTES!C31, G30&gt;=CORTES!C32,I30&gt;=CORTES!C33,K30&gt;=CORTES!C34,M30&gt;=CORTES!C35,O30&gt;=CORTES!$D$4),"SIM","NÃO"))</f>
        <v/>
      </c>
    </row>
    <row r="31" spans="1:16" ht="15.6" x14ac:dyDescent="0.3">
      <c r="A31" s="7">
        <v>29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17" t="str">
        <f t="shared" si="0"/>
        <v/>
      </c>
      <c r="E31" s="18" t="str">
        <f t="shared" si="11"/>
        <v/>
      </c>
      <c r="F31" s="17" t="str">
        <f t="shared" si="2"/>
        <v/>
      </c>
      <c r="G31" s="18" t="str">
        <f t="shared" si="12"/>
        <v/>
      </c>
      <c r="H31" s="17" t="str">
        <f t="shared" si="4"/>
        <v/>
      </c>
      <c r="I31" s="18" t="str">
        <f t="shared" si="13"/>
        <v/>
      </c>
      <c r="J31" s="17" t="str">
        <f t="shared" si="6"/>
        <v/>
      </c>
      <c r="K31" s="18" t="str">
        <f t="shared" si="14"/>
        <v/>
      </c>
      <c r="L31" s="17" t="str">
        <f t="shared" si="8"/>
        <v/>
      </c>
      <c r="M31" s="18" t="str">
        <f t="shared" si="9"/>
        <v/>
      </c>
      <c r="N31" s="15" t="str">
        <f t="shared" si="15"/>
        <v/>
      </c>
      <c r="O31" s="25" t="str">
        <f t="shared" si="16"/>
        <v/>
      </c>
      <c r="P31" s="27" t="str">
        <f>IF($C31="","",IF(AND(E31&gt;=CORTES!C32, G31&gt;=CORTES!C33,I31&gt;=CORTES!C34,K31&gt;=CORTES!C35,M31&gt;=CORTES!C36,O31&gt;=CORTES!$D$4),"SIM","NÃO"))</f>
        <v/>
      </c>
    </row>
    <row r="32" spans="1:16" ht="15.6" x14ac:dyDescent="0.3">
      <c r="A32" s="7">
        <v>30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17" t="str">
        <f t="shared" si="0"/>
        <v/>
      </c>
      <c r="E32" s="18" t="str">
        <f t="shared" si="11"/>
        <v/>
      </c>
      <c r="F32" s="17" t="str">
        <f t="shared" si="2"/>
        <v/>
      </c>
      <c r="G32" s="18" t="str">
        <f t="shared" si="12"/>
        <v/>
      </c>
      <c r="H32" s="17" t="str">
        <f t="shared" si="4"/>
        <v/>
      </c>
      <c r="I32" s="18" t="str">
        <f t="shared" si="13"/>
        <v/>
      </c>
      <c r="J32" s="17" t="str">
        <f t="shared" si="6"/>
        <v/>
      </c>
      <c r="K32" s="18" t="str">
        <f t="shared" si="14"/>
        <v/>
      </c>
      <c r="L32" s="17" t="str">
        <f t="shared" si="8"/>
        <v/>
      </c>
      <c r="M32" s="18" t="str">
        <f t="shared" si="9"/>
        <v/>
      </c>
      <c r="N32" s="15" t="str">
        <f t="shared" ref="N32:N95" si="17">IF($C32="","",(D32+F32+H32+J32+L32))</f>
        <v/>
      </c>
      <c r="O32" s="25" t="str">
        <f t="shared" ref="O32:O95" si="18">IF($C32="","",((E32+G32+K32+M32)/4))</f>
        <v/>
      </c>
      <c r="P32" s="27" t="str">
        <f>IF($C32="","",IF(AND(E32&gt;=CORTES!C33, G32&gt;=CORTES!C34,I32&gt;=CORTES!C35,K32&gt;=CORTES!C36,M32&gt;=CORTES!C37,O32&gt;=CORTES!$D$4),"SIM","NÃO"))</f>
        <v/>
      </c>
    </row>
    <row r="33" spans="1:16" ht="15.6" x14ac:dyDescent="0.3">
      <c r="A33" s="7">
        <v>31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17" t="str">
        <f t="shared" si="0"/>
        <v/>
      </c>
      <c r="E33" s="18" t="str">
        <f t="shared" si="11"/>
        <v/>
      </c>
      <c r="F33" s="17" t="str">
        <f t="shared" si="2"/>
        <v/>
      </c>
      <c r="G33" s="18" t="str">
        <f t="shared" si="12"/>
        <v/>
      </c>
      <c r="H33" s="17" t="str">
        <f t="shared" si="4"/>
        <v/>
      </c>
      <c r="I33" s="18" t="str">
        <f t="shared" si="13"/>
        <v/>
      </c>
      <c r="J33" s="17" t="str">
        <f t="shared" si="6"/>
        <v/>
      </c>
      <c r="K33" s="18" t="str">
        <f t="shared" si="14"/>
        <v/>
      </c>
      <c r="L33" s="17" t="str">
        <f t="shared" si="8"/>
        <v/>
      </c>
      <c r="M33" s="18" t="str">
        <f t="shared" si="9"/>
        <v/>
      </c>
      <c r="N33" s="15" t="str">
        <f t="shared" si="17"/>
        <v/>
      </c>
      <c r="O33" s="25" t="str">
        <f t="shared" si="18"/>
        <v/>
      </c>
      <c r="P33" s="27" t="str">
        <f>IF($C33="","",IF(AND(E33&gt;=CORTES!C34, G33&gt;=CORTES!C35,I33&gt;=CORTES!C36,K33&gt;=CORTES!C37,M33&gt;=CORTES!C38,O33&gt;=CORTES!$D$4),"SIM","NÃO"))</f>
        <v/>
      </c>
    </row>
    <row r="34" spans="1:16" ht="15.6" x14ac:dyDescent="0.3">
      <c r="A34" s="7">
        <v>32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17" t="str">
        <f t="shared" si="0"/>
        <v/>
      </c>
      <c r="E34" s="18" t="str">
        <f t="shared" si="11"/>
        <v/>
      </c>
      <c r="F34" s="17" t="str">
        <f t="shared" si="2"/>
        <v/>
      </c>
      <c r="G34" s="18" t="str">
        <f t="shared" si="12"/>
        <v/>
      </c>
      <c r="H34" s="17" t="str">
        <f t="shared" si="4"/>
        <v/>
      </c>
      <c r="I34" s="18" t="str">
        <f t="shared" si="13"/>
        <v/>
      </c>
      <c r="J34" s="17" t="str">
        <f t="shared" si="6"/>
        <v/>
      </c>
      <c r="K34" s="18" t="str">
        <f t="shared" si="14"/>
        <v/>
      </c>
      <c r="L34" s="17" t="str">
        <f t="shared" si="8"/>
        <v/>
      </c>
      <c r="M34" s="18" t="str">
        <f t="shared" si="9"/>
        <v/>
      </c>
      <c r="N34" s="15" t="str">
        <f t="shared" si="17"/>
        <v/>
      </c>
      <c r="O34" s="25" t="str">
        <f t="shared" si="18"/>
        <v/>
      </c>
      <c r="P34" s="27" t="str">
        <f>IF($C34="","",IF(AND(E34&gt;=CORTES!C35, G34&gt;=CORTES!C36,I34&gt;=CORTES!C37,K34&gt;=CORTES!C38,M34&gt;=CORTES!C39,O34&gt;=CORTES!$D$4),"SIM","NÃO"))</f>
        <v/>
      </c>
    </row>
    <row r="35" spans="1:16" ht="15.6" x14ac:dyDescent="0.3">
      <c r="A35" s="7">
        <v>33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17" t="str">
        <f t="shared" si="0"/>
        <v/>
      </c>
      <c r="E35" s="18" t="str">
        <f t="shared" si="11"/>
        <v/>
      </c>
      <c r="F35" s="17" t="str">
        <f t="shared" si="2"/>
        <v/>
      </c>
      <c r="G35" s="18" t="str">
        <f t="shared" si="12"/>
        <v/>
      </c>
      <c r="H35" s="17" t="str">
        <f t="shared" si="4"/>
        <v/>
      </c>
      <c r="I35" s="18" t="str">
        <f t="shared" si="13"/>
        <v/>
      </c>
      <c r="J35" s="17" t="str">
        <f t="shared" si="6"/>
        <v/>
      </c>
      <c r="K35" s="18" t="str">
        <f t="shared" si="14"/>
        <v/>
      </c>
      <c r="L35" s="17" t="str">
        <f t="shared" si="8"/>
        <v/>
      </c>
      <c r="M35" s="18" t="str">
        <f t="shared" si="9"/>
        <v/>
      </c>
      <c r="N35" s="15" t="str">
        <f t="shared" si="17"/>
        <v/>
      </c>
      <c r="O35" s="25" t="str">
        <f t="shared" si="18"/>
        <v/>
      </c>
      <c r="P35" s="27" t="str">
        <f>IF($C35="","",IF(AND(E35&gt;=CORTES!C36, G35&gt;=CORTES!C37,I35&gt;=CORTES!C38,K35&gt;=CORTES!C39,M35&gt;=CORTES!C40,O35&gt;=CORTES!$D$4),"SIM","NÃO"))</f>
        <v/>
      </c>
    </row>
    <row r="36" spans="1:16" ht="15.6" x14ac:dyDescent="0.3">
      <c r="A36" s="7">
        <v>34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17" t="str">
        <f t="shared" si="0"/>
        <v/>
      </c>
      <c r="E36" s="18" t="str">
        <f t="shared" si="11"/>
        <v/>
      </c>
      <c r="F36" s="17" t="str">
        <f t="shared" si="2"/>
        <v/>
      </c>
      <c r="G36" s="18" t="str">
        <f t="shared" si="12"/>
        <v/>
      </c>
      <c r="H36" s="17" t="str">
        <f t="shared" si="4"/>
        <v/>
      </c>
      <c r="I36" s="18" t="str">
        <f t="shared" si="13"/>
        <v/>
      </c>
      <c r="J36" s="17" t="str">
        <f t="shared" si="6"/>
        <v/>
      </c>
      <c r="K36" s="18" t="str">
        <f t="shared" si="14"/>
        <v/>
      </c>
      <c r="L36" s="17" t="str">
        <f t="shared" si="8"/>
        <v/>
      </c>
      <c r="M36" s="18" t="str">
        <f t="shared" si="9"/>
        <v/>
      </c>
      <c r="N36" s="15" t="str">
        <f t="shared" si="17"/>
        <v/>
      </c>
      <c r="O36" s="25" t="str">
        <f t="shared" si="18"/>
        <v/>
      </c>
      <c r="P36" s="27" t="str">
        <f>IF($C36="","",IF(AND(E36&gt;=CORTES!C37, G36&gt;=CORTES!C38,I36&gt;=CORTES!C39,K36&gt;=CORTES!C40,M36&gt;=CORTES!C41,O36&gt;=CORTES!$D$4),"SIM","NÃO"))</f>
        <v/>
      </c>
    </row>
    <row r="37" spans="1:16" ht="15.6" x14ac:dyDescent="0.3">
      <c r="A37" s="7">
        <v>35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17" t="str">
        <f t="shared" si="0"/>
        <v/>
      </c>
      <c r="E37" s="18" t="str">
        <f t="shared" si="11"/>
        <v/>
      </c>
      <c r="F37" s="17" t="str">
        <f t="shared" si="2"/>
        <v/>
      </c>
      <c r="G37" s="18" t="str">
        <f t="shared" si="12"/>
        <v/>
      </c>
      <c r="H37" s="17" t="str">
        <f t="shared" si="4"/>
        <v/>
      </c>
      <c r="I37" s="18" t="str">
        <f t="shared" si="13"/>
        <v/>
      </c>
      <c r="J37" s="17" t="str">
        <f t="shared" si="6"/>
        <v/>
      </c>
      <c r="K37" s="18" t="str">
        <f t="shared" si="14"/>
        <v/>
      </c>
      <c r="L37" s="17" t="str">
        <f t="shared" si="8"/>
        <v/>
      </c>
      <c r="M37" s="18" t="str">
        <f t="shared" si="9"/>
        <v/>
      </c>
      <c r="N37" s="15" t="str">
        <f t="shared" si="17"/>
        <v/>
      </c>
      <c r="O37" s="25" t="str">
        <f t="shared" si="18"/>
        <v/>
      </c>
      <c r="P37" s="27" t="str">
        <f>IF($C37="","",IF(AND(E37&gt;=CORTES!C38, G37&gt;=CORTES!C39,I37&gt;=CORTES!C40,K37&gt;=CORTES!C41,M37&gt;=CORTES!C42,O37&gt;=CORTES!$D$4),"SIM","NÃO"))</f>
        <v/>
      </c>
    </row>
    <row r="38" spans="1:16" ht="15.6" x14ac:dyDescent="0.3">
      <c r="A38" s="7">
        <v>36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17" t="str">
        <f t="shared" si="0"/>
        <v/>
      </c>
      <c r="E38" s="18" t="str">
        <f t="shared" si="11"/>
        <v/>
      </c>
      <c r="F38" s="17" t="str">
        <f t="shared" si="2"/>
        <v/>
      </c>
      <c r="G38" s="18" t="str">
        <f t="shared" si="12"/>
        <v/>
      </c>
      <c r="H38" s="17" t="str">
        <f t="shared" si="4"/>
        <v/>
      </c>
      <c r="I38" s="18" t="str">
        <f t="shared" si="13"/>
        <v/>
      </c>
      <c r="J38" s="17" t="str">
        <f t="shared" si="6"/>
        <v/>
      </c>
      <c r="K38" s="18" t="str">
        <f t="shared" si="14"/>
        <v/>
      </c>
      <c r="L38" s="17" t="str">
        <f t="shared" si="8"/>
        <v/>
      </c>
      <c r="M38" s="18" t="str">
        <f t="shared" si="9"/>
        <v/>
      </c>
      <c r="N38" s="15" t="str">
        <f t="shared" si="17"/>
        <v/>
      </c>
      <c r="O38" s="25" t="str">
        <f t="shared" si="18"/>
        <v/>
      </c>
      <c r="P38" s="27" t="str">
        <f>IF($C38="","",IF(AND(E38&gt;=CORTES!C39, G38&gt;=CORTES!C40,I38&gt;=CORTES!C41,K38&gt;=CORTES!C42,M38&gt;=CORTES!C43,O38&gt;=CORTES!$D$4),"SIM","NÃO"))</f>
        <v/>
      </c>
    </row>
    <row r="39" spans="1:16" ht="15.6" x14ac:dyDescent="0.3">
      <c r="A39" s="7">
        <v>37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17" t="str">
        <f t="shared" si="0"/>
        <v/>
      </c>
      <c r="E39" s="18" t="str">
        <f t="shared" si="11"/>
        <v/>
      </c>
      <c r="F39" s="17" t="str">
        <f t="shared" si="2"/>
        <v/>
      </c>
      <c r="G39" s="18" t="str">
        <f t="shared" si="12"/>
        <v/>
      </c>
      <c r="H39" s="17" t="str">
        <f t="shared" si="4"/>
        <v/>
      </c>
      <c r="I39" s="18" t="str">
        <f t="shared" si="13"/>
        <v/>
      </c>
      <c r="J39" s="17" t="str">
        <f t="shared" si="6"/>
        <v/>
      </c>
      <c r="K39" s="18" t="str">
        <f t="shared" si="14"/>
        <v/>
      </c>
      <c r="L39" s="17" t="str">
        <f t="shared" si="8"/>
        <v/>
      </c>
      <c r="M39" s="18" t="str">
        <f t="shared" si="9"/>
        <v/>
      </c>
      <c r="N39" s="15" t="str">
        <f t="shared" si="17"/>
        <v/>
      </c>
      <c r="O39" s="25" t="str">
        <f t="shared" si="18"/>
        <v/>
      </c>
      <c r="P39" s="27" t="str">
        <f>IF($C39="","",IF(AND(E39&gt;=CORTES!C40, G39&gt;=CORTES!C41,I39&gt;=CORTES!C42,K39&gt;=CORTES!C43,M39&gt;=CORTES!C44,O39&gt;=CORTES!$D$4),"SIM","NÃO"))</f>
        <v/>
      </c>
    </row>
    <row r="40" spans="1:16" ht="15.6" x14ac:dyDescent="0.3">
      <c r="A40" s="7">
        <v>38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17" t="str">
        <f t="shared" si="0"/>
        <v/>
      </c>
      <c r="E40" s="18" t="str">
        <f t="shared" si="11"/>
        <v/>
      </c>
      <c r="F40" s="17" t="str">
        <f t="shared" si="2"/>
        <v/>
      </c>
      <c r="G40" s="18" t="str">
        <f t="shared" si="12"/>
        <v/>
      </c>
      <c r="H40" s="17" t="str">
        <f t="shared" si="4"/>
        <v/>
      </c>
      <c r="I40" s="18" t="str">
        <f t="shared" si="13"/>
        <v/>
      </c>
      <c r="J40" s="17" t="str">
        <f t="shared" si="6"/>
        <v/>
      </c>
      <c r="K40" s="18" t="str">
        <f t="shared" si="14"/>
        <v/>
      </c>
      <c r="L40" s="17" t="str">
        <f t="shared" si="8"/>
        <v/>
      </c>
      <c r="M40" s="18" t="str">
        <f t="shared" si="9"/>
        <v/>
      </c>
      <c r="N40" s="15" t="str">
        <f t="shared" si="17"/>
        <v/>
      </c>
      <c r="O40" s="25" t="str">
        <f t="shared" si="18"/>
        <v/>
      </c>
      <c r="P40" s="27" t="str">
        <f>IF($C40="","",IF(AND(E40&gt;=CORTES!C41, G40&gt;=CORTES!C42,I40&gt;=CORTES!C43,K40&gt;=CORTES!C44,M40&gt;=CORTES!C45,O40&gt;=CORTES!$D$4),"SIM","NÃO"))</f>
        <v/>
      </c>
    </row>
    <row r="41" spans="1:16" ht="15.6" x14ac:dyDescent="0.3">
      <c r="A41" s="7">
        <v>39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17" t="str">
        <f t="shared" si="0"/>
        <v/>
      </c>
      <c r="E41" s="18" t="str">
        <f t="shared" si="11"/>
        <v/>
      </c>
      <c r="F41" s="17" t="str">
        <f t="shared" si="2"/>
        <v/>
      </c>
      <c r="G41" s="18" t="str">
        <f t="shared" si="12"/>
        <v/>
      </c>
      <c r="H41" s="17" t="str">
        <f t="shared" si="4"/>
        <v/>
      </c>
      <c r="I41" s="18" t="str">
        <f t="shared" si="13"/>
        <v/>
      </c>
      <c r="J41" s="17" t="str">
        <f t="shared" si="6"/>
        <v/>
      </c>
      <c r="K41" s="18" t="str">
        <f t="shared" si="14"/>
        <v/>
      </c>
      <c r="L41" s="17" t="str">
        <f t="shared" si="8"/>
        <v/>
      </c>
      <c r="M41" s="18" t="str">
        <f t="shared" si="9"/>
        <v/>
      </c>
      <c r="N41" s="15" t="str">
        <f t="shared" si="17"/>
        <v/>
      </c>
      <c r="O41" s="25" t="str">
        <f t="shared" si="18"/>
        <v/>
      </c>
      <c r="P41" s="27" t="str">
        <f>IF($C41="","",IF(AND(E41&gt;=CORTES!C42, G41&gt;=CORTES!C43,I41&gt;=CORTES!C44,K41&gt;=CORTES!C45,M41&gt;=CORTES!C46,O41&gt;=CORTES!$D$4),"SIM","NÃO"))</f>
        <v/>
      </c>
    </row>
    <row r="42" spans="1:16" ht="15.6" x14ac:dyDescent="0.3">
      <c r="A42" s="7">
        <v>40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17" t="str">
        <f t="shared" si="0"/>
        <v/>
      </c>
      <c r="E42" s="18" t="str">
        <f t="shared" si="11"/>
        <v/>
      </c>
      <c r="F42" s="17" t="str">
        <f t="shared" si="2"/>
        <v/>
      </c>
      <c r="G42" s="18" t="str">
        <f t="shared" si="12"/>
        <v/>
      </c>
      <c r="H42" s="17" t="str">
        <f t="shared" si="4"/>
        <v/>
      </c>
      <c r="I42" s="18" t="str">
        <f t="shared" si="13"/>
        <v/>
      </c>
      <c r="J42" s="17" t="str">
        <f t="shared" si="6"/>
        <v/>
      </c>
      <c r="K42" s="18" t="str">
        <f t="shared" si="14"/>
        <v/>
      </c>
      <c r="L42" s="17" t="str">
        <f t="shared" si="8"/>
        <v/>
      </c>
      <c r="M42" s="18" t="str">
        <f t="shared" si="9"/>
        <v/>
      </c>
      <c r="N42" s="15" t="str">
        <f t="shared" si="17"/>
        <v/>
      </c>
      <c r="O42" s="25" t="str">
        <f t="shared" si="18"/>
        <v/>
      </c>
      <c r="P42" s="27" t="str">
        <f>IF($C42="","",IF(AND(E42&gt;=CORTES!C43, G42&gt;=CORTES!C44,I42&gt;=CORTES!C45,K42&gt;=CORTES!C46,M42&gt;=CORTES!C47,O42&gt;=CORTES!$D$4),"SIM","NÃO"))</f>
        <v/>
      </c>
    </row>
    <row r="43" spans="1:16" ht="15.6" x14ac:dyDescent="0.3">
      <c r="A43" s="7">
        <v>41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17" t="str">
        <f t="shared" si="0"/>
        <v/>
      </c>
      <c r="E43" s="18" t="str">
        <f t="shared" si="11"/>
        <v/>
      </c>
      <c r="F43" s="17" t="str">
        <f t="shared" si="2"/>
        <v/>
      </c>
      <c r="G43" s="18" t="str">
        <f t="shared" si="12"/>
        <v/>
      </c>
      <c r="H43" s="17" t="str">
        <f t="shared" si="4"/>
        <v/>
      </c>
      <c r="I43" s="18" t="str">
        <f t="shared" si="13"/>
        <v/>
      </c>
      <c r="J43" s="17" t="str">
        <f t="shared" si="6"/>
        <v/>
      </c>
      <c r="K43" s="18" t="str">
        <f t="shared" si="14"/>
        <v/>
      </c>
      <c r="L43" s="17" t="str">
        <f t="shared" si="8"/>
        <v/>
      </c>
      <c r="M43" s="18" t="str">
        <f t="shared" si="9"/>
        <v/>
      </c>
      <c r="N43" s="15" t="str">
        <f t="shared" si="17"/>
        <v/>
      </c>
      <c r="O43" s="25" t="str">
        <f t="shared" si="18"/>
        <v/>
      </c>
      <c r="P43" s="27" t="str">
        <f>IF($C43="","",IF(AND(E43&gt;=CORTES!C44, G43&gt;=CORTES!C45,I43&gt;=CORTES!C46,K43&gt;=CORTES!C47,M43&gt;=CORTES!C48,O43&gt;=CORTES!$D$4),"SIM","NÃO"))</f>
        <v/>
      </c>
    </row>
    <row r="44" spans="1:16" ht="15.6" x14ac:dyDescent="0.3">
      <c r="A44" s="7">
        <v>42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17" t="str">
        <f t="shared" si="0"/>
        <v/>
      </c>
      <c r="E44" s="18" t="str">
        <f t="shared" si="11"/>
        <v/>
      </c>
      <c r="F44" s="17" t="str">
        <f t="shared" si="2"/>
        <v/>
      </c>
      <c r="G44" s="18" t="str">
        <f t="shared" si="12"/>
        <v/>
      </c>
      <c r="H44" s="17" t="str">
        <f t="shared" si="4"/>
        <v/>
      </c>
      <c r="I44" s="18" t="str">
        <f t="shared" si="13"/>
        <v/>
      </c>
      <c r="J44" s="17" t="str">
        <f t="shared" si="6"/>
        <v/>
      </c>
      <c r="K44" s="18" t="str">
        <f t="shared" si="14"/>
        <v/>
      </c>
      <c r="L44" s="17" t="str">
        <f t="shared" si="8"/>
        <v/>
      </c>
      <c r="M44" s="18" t="str">
        <f t="shared" si="9"/>
        <v/>
      </c>
      <c r="N44" s="15" t="str">
        <f t="shared" si="17"/>
        <v/>
      </c>
      <c r="O44" s="25" t="str">
        <f t="shared" si="18"/>
        <v/>
      </c>
      <c r="P44" s="27" t="str">
        <f>IF($C44="","",IF(AND(E44&gt;=CORTES!C45, G44&gt;=CORTES!C46,I44&gt;=CORTES!C47,K44&gt;=CORTES!C48,M44&gt;=CORTES!C49,O44&gt;=CORTES!$D$4),"SIM","NÃO"))</f>
        <v/>
      </c>
    </row>
    <row r="45" spans="1:16" ht="15.6" x14ac:dyDescent="0.3">
      <c r="A45" s="7">
        <v>43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17" t="str">
        <f t="shared" si="0"/>
        <v/>
      </c>
      <c r="E45" s="18" t="str">
        <f t="shared" si="11"/>
        <v/>
      </c>
      <c r="F45" s="17" t="str">
        <f t="shared" si="2"/>
        <v/>
      </c>
      <c r="G45" s="18" t="str">
        <f t="shared" si="12"/>
        <v/>
      </c>
      <c r="H45" s="17" t="str">
        <f t="shared" si="4"/>
        <v/>
      </c>
      <c r="I45" s="18" t="str">
        <f t="shared" si="13"/>
        <v/>
      </c>
      <c r="J45" s="17" t="str">
        <f t="shared" si="6"/>
        <v/>
      </c>
      <c r="K45" s="18" t="str">
        <f t="shared" si="14"/>
        <v/>
      </c>
      <c r="L45" s="17" t="str">
        <f t="shared" si="8"/>
        <v/>
      </c>
      <c r="M45" s="18" t="str">
        <f t="shared" si="9"/>
        <v/>
      </c>
      <c r="N45" s="15" t="str">
        <f t="shared" si="17"/>
        <v/>
      </c>
      <c r="O45" s="25" t="str">
        <f t="shared" si="18"/>
        <v/>
      </c>
      <c r="P45" s="27" t="str">
        <f>IF($C45="","",IF(AND(E45&gt;=CORTES!C46, G45&gt;=CORTES!C47,I45&gt;=CORTES!C48,K45&gt;=CORTES!C49,M45&gt;=CORTES!C50,O45&gt;=CORTES!$D$4),"SIM","NÃO"))</f>
        <v/>
      </c>
    </row>
    <row r="46" spans="1:16" ht="15.6" x14ac:dyDescent="0.3">
      <c r="A46" s="7">
        <v>44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17" t="str">
        <f t="shared" si="0"/>
        <v/>
      </c>
      <c r="E46" s="18" t="str">
        <f t="shared" si="11"/>
        <v/>
      </c>
      <c r="F46" s="17" t="str">
        <f t="shared" si="2"/>
        <v/>
      </c>
      <c r="G46" s="18" t="str">
        <f t="shared" si="12"/>
        <v/>
      </c>
      <c r="H46" s="17" t="str">
        <f t="shared" si="4"/>
        <v/>
      </c>
      <c r="I46" s="18" t="str">
        <f t="shared" si="13"/>
        <v/>
      </c>
      <c r="J46" s="17" t="str">
        <f t="shared" si="6"/>
        <v/>
      </c>
      <c r="K46" s="18" t="str">
        <f t="shared" si="14"/>
        <v/>
      </c>
      <c r="L46" s="17" t="str">
        <f t="shared" si="8"/>
        <v/>
      </c>
      <c r="M46" s="18" t="str">
        <f t="shared" si="9"/>
        <v/>
      </c>
      <c r="N46" s="15" t="str">
        <f t="shared" si="17"/>
        <v/>
      </c>
      <c r="O46" s="25" t="str">
        <f t="shared" si="18"/>
        <v/>
      </c>
      <c r="P46" s="27" t="str">
        <f>IF($C46="","",IF(AND(E46&gt;=CORTES!C47, G46&gt;=CORTES!C48,I46&gt;=CORTES!C49,K46&gt;=CORTES!C50,M46&gt;=CORTES!C51,O46&gt;=CORTES!$D$4),"SIM","NÃO"))</f>
        <v/>
      </c>
    </row>
    <row r="47" spans="1:16" ht="15.6" x14ac:dyDescent="0.3">
      <c r="A47" s="7">
        <v>45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17" t="str">
        <f t="shared" si="0"/>
        <v/>
      </c>
      <c r="E47" s="18" t="str">
        <f t="shared" si="11"/>
        <v/>
      </c>
      <c r="F47" s="17" t="str">
        <f t="shared" si="2"/>
        <v/>
      </c>
      <c r="G47" s="18" t="str">
        <f t="shared" si="12"/>
        <v/>
      </c>
      <c r="H47" s="17" t="str">
        <f t="shared" si="4"/>
        <v/>
      </c>
      <c r="I47" s="18" t="str">
        <f t="shared" si="13"/>
        <v/>
      </c>
      <c r="J47" s="17" t="str">
        <f t="shared" si="6"/>
        <v/>
      </c>
      <c r="K47" s="18" t="str">
        <f t="shared" si="14"/>
        <v/>
      </c>
      <c r="L47" s="17" t="str">
        <f t="shared" si="8"/>
        <v/>
      </c>
      <c r="M47" s="18" t="str">
        <f t="shared" si="9"/>
        <v/>
      </c>
      <c r="N47" s="15" t="str">
        <f t="shared" si="17"/>
        <v/>
      </c>
      <c r="O47" s="25" t="str">
        <f t="shared" si="18"/>
        <v/>
      </c>
      <c r="P47" s="27" t="str">
        <f>IF($C47="","",IF(AND(E47&gt;=CORTES!C48, G47&gt;=CORTES!C49,I47&gt;=CORTES!C50,K47&gt;=CORTES!C51,M47&gt;=CORTES!C52,O47&gt;=CORTES!$D$4),"SIM","NÃO"))</f>
        <v/>
      </c>
    </row>
    <row r="48" spans="1:16" ht="15.6" x14ac:dyDescent="0.3">
      <c r="A48" s="7">
        <v>46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17" t="str">
        <f t="shared" si="0"/>
        <v/>
      </c>
      <c r="E48" s="18" t="str">
        <f t="shared" si="11"/>
        <v/>
      </c>
      <c r="F48" s="17" t="str">
        <f t="shared" si="2"/>
        <v/>
      </c>
      <c r="G48" s="18" t="str">
        <f t="shared" si="12"/>
        <v/>
      </c>
      <c r="H48" s="17" t="str">
        <f t="shared" si="4"/>
        <v/>
      </c>
      <c r="I48" s="18" t="str">
        <f t="shared" si="13"/>
        <v/>
      </c>
      <c r="J48" s="17" t="str">
        <f t="shared" si="6"/>
        <v/>
      </c>
      <c r="K48" s="18" t="str">
        <f t="shared" si="14"/>
        <v/>
      </c>
      <c r="L48" s="17" t="str">
        <f t="shared" si="8"/>
        <v/>
      </c>
      <c r="M48" s="18" t="str">
        <f t="shared" si="9"/>
        <v/>
      </c>
      <c r="N48" s="15" t="str">
        <f t="shared" si="17"/>
        <v/>
      </c>
      <c r="O48" s="25" t="str">
        <f t="shared" si="18"/>
        <v/>
      </c>
      <c r="P48" s="27" t="str">
        <f>IF($C48="","",IF(AND(E48&gt;=CORTES!C49, G48&gt;=CORTES!C50,I48&gt;=CORTES!C51,K48&gt;=CORTES!C52,M48&gt;=CORTES!C53,O48&gt;=CORTES!$D$4),"SIM","NÃO"))</f>
        <v/>
      </c>
    </row>
    <row r="49" spans="1:16" ht="15.6" x14ac:dyDescent="0.3">
      <c r="A49" s="7">
        <v>47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17" t="str">
        <f t="shared" si="0"/>
        <v/>
      </c>
      <c r="E49" s="18" t="str">
        <f t="shared" si="11"/>
        <v/>
      </c>
      <c r="F49" s="17" t="str">
        <f t="shared" si="2"/>
        <v/>
      </c>
      <c r="G49" s="18" t="str">
        <f t="shared" si="12"/>
        <v/>
      </c>
      <c r="H49" s="17" t="str">
        <f t="shared" si="4"/>
        <v/>
      </c>
      <c r="I49" s="18" t="str">
        <f t="shared" si="13"/>
        <v/>
      </c>
      <c r="J49" s="17" t="str">
        <f t="shared" si="6"/>
        <v/>
      </c>
      <c r="K49" s="18" t="str">
        <f t="shared" si="14"/>
        <v/>
      </c>
      <c r="L49" s="17" t="str">
        <f t="shared" si="8"/>
        <v/>
      </c>
      <c r="M49" s="18" t="str">
        <f t="shared" si="9"/>
        <v/>
      </c>
      <c r="N49" s="15" t="str">
        <f t="shared" si="17"/>
        <v/>
      </c>
      <c r="O49" s="25" t="str">
        <f t="shared" si="18"/>
        <v/>
      </c>
      <c r="P49" s="27" t="str">
        <f>IF($C49="","",IF(AND(E49&gt;=CORTES!C50, G49&gt;=CORTES!C51,I49&gt;=CORTES!C52,K49&gt;=CORTES!C53,M49&gt;=CORTES!C54,O49&gt;=CORTES!$D$4),"SIM","NÃO"))</f>
        <v/>
      </c>
    </row>
    <row r="50" spans="1:16" ht="15.6" x14ac:dyDescent="0.3">
      <c r="A50" s="7">
        <v>48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17" t="str">
        <f t="shared" si="0"/>
        <v/>
      </c>
      <c r="E50" s="18" t="str">
        <f t="shared" si="11"/>
        <v/>
      </c>
      <c r="F50" s="17" t="str">
        <f t="shared" si="2"/>
        <v/>
      </c>
      <c r="G50" s="18" t="str">
        <f t="shared" si="12"/>
        <v/>
      </c>
      <c r="H50" s="17" t="str">
        <f t="shared" si="4"/>
        <v/>
      </c>
      <c r="I50" s="18" t="str">
        <f t="shared" si="13"/>
        <v/>
      </c>
      <c r="J50" s="17" t="str">
        <f t="shared" si="6"/>
        <v/>
      </c>
      <c r="K50" s="18" t="str">
        <f t="shared" si="14"/>
        <v/>
      </c>
      <c r="L50" s="17" t="str">
        <f t="shared" si="8"/>
        <v/>
      </c>
      <c r="M50" s="18" t="str">
        <f t="shared" si="9"/>
        <v/>
      </c>
      <c r="N50" s="15" t="str">
        <f t="shared" si="17"/>
        <v/>
      </c>
      <c r="O50" s="25" t="str">
        <f t="shared" si="18"/>
        <v/>
      </c>
      <c r="P50" s="27" t="str">
        <f>IF($C50="","",IF(AND(E50&gt;=CORTES!C51, G50&gt;=CORTES!C52,I50&gt;=CORTES!C53,K50&gt;=CORTES!C54,M50&gt;=CORTES!C55,O50&gt;=CORTES!$D$4),"SIM","NÃO"))</f>
        <v/>
      </c>
    </row>
    <row r="51" spans="1:16" ht="15.6" x14ac:dyDescent="0.3">
      <c r="A51" s="7">
        <v>49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17" t="str">
        <f t="shared" si="0"/>
        <v/>
      </c>
      <c r="E51" s="18" t="str">
        <f t="shared" si="11"/>
        <v/>
      </c>
      <c r="F51" s="17" t="str">
        <f t="shared" si="2"/>
        <v/>
      </c>
      <c r="G51" s="18" t="str">
        <f t="shared" si="12"/>
        <v/>
      </c>
      <c r="H51" s="17" t="str">
        <f t="shared" si="4"/>
        <v/>
      </c>
      <c r="I51" s="18" t="str">
        <f t="shared" si="13"/>
        <v/>
      </c>
      <c r="J51" s="17" t="str">
        <f t="shared" si="6"/>
        <v/>
      </c>
      <c r="K51" s="18" t="str">
        <f t="shared" si="14"/>
        <v/>
      </c>
      <c r="L51" s="17" t="str">
        <f t="shared" si="8"/>
        <v/>
      </c>
      <c r="M51" s="18" t="str">
        <f t="shared" si="9"/>
        <v/>
      </c>
      <c r="N51" s="15" t="str">
        <f t="shared" si="17"/>
        <v/>
      </c>
      <c r="O51" s="25" t="str">
        <f t="shared" si="18"/>
        <v/>
      </c>
      <c r="P51" s="27" t="str">
        <f>IF($C51="","",IF(AND(E51&gt;=CORTES!C52, G51&gt;=CORTES!C53,I51&gt;=CORTES!C54,K51&gt;=CORTES!C55,M51&gt;=CORTES!C56,O51&gt;=CORTES!$D$4),"SIM","NÃO"))</f>
        <v/>
      </c>
    </row>
    <row r="52" spans="1:16" ht="15.6" x14ac:dyDescent="0.3">
      <c r="A52" s="7">
        <v>50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17" t="str">
        <f t="shared" si="0"/>
        <v/>
      </c>
      <c r="E52" s="18" t="str">
        <f t="shared" si="11"/>
        <v/>
      </c>
      <c r="F52" s="17" t="str">
        <f t="shared" si="2"/>
        <v/>
      </c>
      <c r="G52" s="18" t="str">
        <f t="shared" si="12"/>
        <v/>
      </c>
      <c r="H52" s="17" t="str">
        <f t="shared" si="4"/>
        <v/>
      </c>
      <c r="I52" s="18" t="str">
        <f t="shared" si="13"/>
        <v/>
      </c>
      <c r="J52" s="17" t="str">
        <f t="shared" si="6"/>
        <v/>
      </c>
      <c r="K52" s="18" t="str">
        <f t="shared" si="14"/>
        <v/>
      </c>
      <c r="L52" s="17" t="str">
        <f t="shared" si="8"/>
        <v/>
      </c>
      <c r="M52" s="18" t="str">
        <f t="shared" si="9"/>
        <v/>
      </c>
      <c r="N52" s="15" t="str">
        <f t="shared" si="17"/>
        <v/>
      </c>
      <c r="O52" s="25" t="str">
        <f t="shared" si="18"/>
        <v/>
      </c>
      <c r="P52" s="27" t="str">
        <f>IF($C52="","",IF(AND(E52&gt;=CORTES!C53, G52&gt;=CORTES!C54,I52&gt;=CORTES!C55,K52&gt;=CORTES!C56,M52&gt;=CORTES!C57,O52&gt;=CORTES!$D$4),"SIM","NÃO"))</f>
        <v/>
      </c>
    </row>
    <row r="53" spans="1:16" ht="15.6" x14ac:dyDescent="0.3">
      <c r="A53" s="7">
        <v>51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17" t="str">
        <f t="shared" si="0"/>
        <v/>
      </c>
      <c r="E53" s="18" t="str">
        <f t="shared" si="11"/>
        <v/>
      </c>
      <c r="F53" s="17" t="str">
        <f t="shared" si="2"/>
        <v/>
      </c>
      <c r="G53" s="18" t="str">
        <f t="shared" si="12"/>
        <v/>
      </c>
      <c r="H53" s="17" t="str">
        <f t="shared" si="4"/>
        <v/>
      </c>
      <c r="I53" s="18" t="str">
        <f t="shared" si="13"/>
        <v/>
      </c>
      <c r="J53" s="17" t="str">
        <f t="shared" si="6"/>
        <v/>
      </c>
      <c r="K53" s="18" t="str">
        <f t="shared" si="14"/>
        <v/>
      </c>
      <c r="L53" s="17" t="str">
        <f t="shared" si="8"/>
        <v/>
      </c>
      <c r="M53" s="18" t="str">
        <f t="shared" si="9"/>
        <v/>
      </c>
      <c r="N53" s="15" t="str">
        <f t="shared" si="17"/>
        <v/>
      </c>
      <c r="O53" s="25" t="str">
        <f t="shared" si="18"/>
        <v/>
      </c>
      <c r="P53" s="27" t="str">
        <f>IF($C53="","",IF(AND(E53&gt;=CORTES!C54, G53&gt;=CORTES!C55,I53&gt;=CORTES!C56,K53&gt;=CORTES!C57,M53&gt;=CORTES!C58,O53&gt;=CORTES!$D$4),"SIM","NÃO"))</f>
        <v/>
      </c>
    </row>
    <row r="54" spans="1:16" ht="15.6" x14ac:dyDescent="0.3">
      <c r="A54" s="7">
        <v>52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17" t="str">
        <f t="shared" si="0"/>
        <v/>
      </c>
      <c r="E54" s="18" t="str">
        <f t="shared" si="11"/>
        <v/>
      </c>
      <c r="F54" s="17" t="str">
        <f t="shared" si="2"/>
        <v/>
      </c>
      <c r="G54" s="18" t="str">
        <f t="shared" si="12"/>
        <v/>
      </c>
      <c r="H54" s="17" t="str">
        <f t="shared" si="4"/>
        <v/>
      </c>
      <c r="I54" s="18" t="str">
        <f t="shared" si="13"/>
        <v/>
      </c>
      <c r="J54" s="17" t="str">
        <f t="shared" si="6"/>
        <v/>
      </c>
      <c r="K54" s="18" t="str">
        <f t="shared" si="14"/>
        <v/>
      </c>
      <c r="L54" s="17" t="str">
        <f t="shared" si="8"/>
        <v/>
      </c>
      <c r="M54" s="18" t="str">
        <f t="shared" si="9"/>
        <v/>
      </c>
      <c r="N54" s="15" t="str">
        <f t="shared" si="17"/>
        <v/>
      </c>
      <c r="O54" s="25" t="str">
        <f t="shared" si="18"/>
        <v/>
      </c>
      <c r="P54" s="27" t="str">
        <f>IF($C54="","",IF(AND(E54&gt;=CORTES!C55, G54&gt;=CORTES!C56,I54&gt;=CORTES!C57,K54&gt;=CORTES!C58,M54&gt;=CORTES!C59,O54&gt;=CORTES!$D$4),"SIM","NÃO"))</f>
        <v/>
      </c>
    </row>
    <row r="55" spans="1:16" ht="15.6" x14ac:dyDescent="0.3">
      <c r="A55" s="7">
        <v>53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17" t="str">
        <f t="shared" si="0"/>
        <v/>
      </c>
      <c r="E55" s="18" t="str">
        <f t="shared" si="11"/>
        <v/>
      </c>
      <c r="F55" s="17" t="str">
        <f t="shared" si="2"/>
        <v/>
      </c>
      <c r="G55" s="18" t="str">
        <f t="shared" si="12"/>
        <v/>
      </c>
      <c r="H55" s="17" t="str">
        <f t="shared" si="4"/>
        <v/>
      </c>
      <c r="I55" s="18" t="str">
        <f t="shared" si="13"/>
        <v/>
      </c>
      <c r="J55" s="17" t="str">
        <f t="shared" si="6"/>
        <v/>
      </c>
      <c r="K55" s="18" t="str">
        <f t="shared" si="14"/>
        <v/>
      </c>
      <c r="L55" s="17" t="str">
        <f t="shared" si="8"/>
        <v/>
      </c>
      <c r="M55" s="18" t="str">
        <f t="shared" si="9"/>
        <v/>
      </c>
      <c r="N55" s="15" t="str">
        <f t="shared" si="17"/>
        <v/>
      </c>
      <c r="O55" s="25" t="str">
        <f t="shared" si="18"/>
        <v/>
      </c>
      <c r="P55" s="27" t="str">
        <f>IF($C55="","",IF(AND(E55&gt;=CORTES!C56, G55&gt;=CORTES!C57,I55&gt;=CORTES!C58,K55&gt;=CORTES!C59,M55&gt;=CORTES!C60,O55&gt;=CORTES!$D$4),"SIM","NÃO"))</f>
        <v/>
      </c>
    </row>
    <row r="56" spans="1:16" ht="15.6" x14ac:dyDescent="0.3">
      <c r="A56" s="7">
        <v>54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17" t="str">
        <f t="shared" si="0"/>
        <v/>
      </c>
      <c r="E56" s="18" t="str">
        <f t="shared" si="11"/>
        <v/>
      </c>
      <c r="F56" s="17" t="str">
        <f t="shared" si="2"/>
        <v/>
      </c>
      <c r="G56" s="18" t="str">
        <f t="shared" si="12"/>
        <v/>
      </c>
      <c r="H56" s="17" t="str">
        <f t="shared" si="4"/>
        <v/>
      </c>
      <c r="I56" s="18" t="str">
        <f t="shared" si="13"/>
        <v/>
      </c>
      <c r="J56" s="17" t="str">
        <f t="shared" si="6"/>
        <v/>
      </c>
      <c r="K56" s="18" t="str">
        <f t="shared" si="14"/>
        <v/>
      </c>
      <c r="L56" s="17" t="str">
        <f t="shared" si="8"/>
        <v/>
      </c>
      <c r="M56" s="18" t="str">
        <f t="shared" si="9"/>
        <v/>
      </c>
      <c r="N56" s="15" t="str">
        <f t="shared" si="17"/>
        <v/>
      </c>
      <c r="O56" s="25" t="str">
        <f t="shared" si="18"/>
        <v/>
      </c>
      <c r="P56" s="27" t="str">
        <f>IF($C56="","",IF(AND(E56&gt;=CORTES!C57, G56&gt;=CORTES!C58,I56&gt;=CORTES!C59,K56&gt;=CORTES!C60,M56&gt;=CORTES!C61,O56&gt;=CORTES!$D$4),"SIM","NÃO"))</f>
        <v/>
      </c>
    </row>
    <row r="57" spans="1:16" ht="15.6" x14ac:dyDescent="0.3">
      <c r="A57" s="7">
        <v>55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17" t="str">
        <f t="shared" si="0"/>
        <v/>
      </c>
      <c r="E57" s="18" t="str">
        <f t="shared" si="11"/>
        <v/>
      </c>
      <c r="F57" s="17" t="str">
        <f t="shared" si="2"/>
        <v/>
      </c>
      <c r="G57" s="18" t="str">
        <f t="shared" si="12"/>
        <v/>
      </c>
      <c r="H57" s="17" t="str">
        <f t="shared" si="4"/>
        <v/>
      </c>
      <c r="I57" s="18" t="str">
        <f t="shared" si="13"/>
        <v/>
      </c>
      <c r="J57" s="17" t="str">
        <f t="shared" si="6"/>
        <v/>
      </c>
      <c r="K57" s="18" t="str">
        <f t="shared" si="14"/>
        <v/>
      </c>
      <c r="L57" s="17" t="str">
        <f t="shared" si="8"/>
        <v/>
      </c>
      <c r="M57" s="18" t="str">
        <f t="shared" si="9"/>
        <v/>
      </c>
      <c r="N57" s="15" t="str">
        <f t="shared" si="17"/>
        <v/>
      </c>
      <c r="O57" s="25" t="str">
        <f t="shared" si="18"/>
        <v/>
      </c>
      <c r="P57" s="27" t="str">
        <f>IF($C57="","",IF(AND(E57&gt;=CORTES!C58, G57&gt;=CORTES!C59,I57&gt;=CORTES!C60,K57&gt;=CORTES!C61,M57&gt;=CORTES!C62,O57&gt;=CORTES!$D$4),"SIM","NÃO"))</f>
        <v/>
      </c>
    </row>
    <row r="58" spans="1:16" ht="15.6" x14ac:dyDescent="0.3">
      <c r="A58" s="7">
        <v>56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17" t="str">
        <f t="shared" si="0"/>
        <v/>
      </c>
      <c r="E58" s="18" t="str">
        <f t="shared" si="11"/>
        <v/>
      </c>
      <c r="F58" s="17" t="str">
        <f t="shared" si="2"/>
        <v/>
      </c>
      <c r="G58" s="18" t="str">
        <f t="shared" si="12"/>
        <v/>
      </c>
      <c r="H58" s="17" t="str">
        <f t="shared" si="4"/>
        <v/>
      </c>
      <c r="I58" s="18" t="str">
        <f t="shared" si="13"/>
        <v/>
      </c>
      <c r="J58" s="17" t="str">
        <f t="shared" si="6"/>
        <v/>
      </c>
      <c r="K58" s="18" t="str">
        <f t="shared" si="14"/>
        <v/>
      </c>
      <c r="L58" s="17" t="str">
        <f t="shared" si="8"/>
        <v/>
      </c>
      <c r="M58" s="18" t="str">
        <f t="shared" si="9"/>
        <v/>
      </c>
      <c r="N58" s="15" t="str">
        <f t="shared" si="17"/>
        <v/>
      </c>
      <c r="O58" s="25" t="str">
        <f t="shared" si="18"/>
        <v/>
      </c>
      <c r="P58" s="27" t="str">
        <f>IF($C58="","",IF(AND(E58&gt;=CORTES!C59, G58&gt;=CORTES!C60,I58&gt;=CORTES!C61,K58&gt;=CORTES!C62,M58&gt;=CORTES!C63,O58&gt;=CORTES!$D$4),"SIM","NÃO"))</f>
        <v/>
      </c>
    </row>
    <row r="59" spans="1:16" ht="15.6" x14ac:dyDescent="0.3">
      <c r="A59" s="7">
        <v>57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17" t="str">
        <f t="shared" si="0"/>
        <v/>
      </c>
      <c r="E59" s="18" t="str">
        <f t="shared" si="11"/>
        <v/>
      </c>
      <c r="F59" s="17" t="str">
        <f t="shared" si="2"/>
        <v/>
      </c>
      <c r="G59" s="18" t="str">
        <f t="shared" si="12"/>
        <v/>
      </c>
      <c r="H59" s="17" t="str">
        <f t="shared" si="4"/>
        <v/>
      </c>
      <c r="I59" s="18" t="str">
        <f t="shared" si="13"/>
        <v/>
      </c>
      <c r="J59" s="17" t="str">
        <f t="shared" si="6"/>
        <v/>
      </c>
      <c r="K59" s="18" t="str">
        <f t="shared" si="14"/>
        <v/>
      </c>
      <c r="L59" s="17" t="str">
        <f t="shared" si="8"/>
        <v/>
      </c>
      <c r="M59" s="18" t="str">
        <f t="shared" si="9"/>
        <v/>
      </c>
      <c r="N59" s="15" t="str">
        <f t="shared" si="17"/>
        <v/>
      </c>
      <c r="O59" s="25" t="str">
        <f t="shared" si="18"/>
        <v/>
      </c>
      <c r="P59" s="27" t="str">
        <f>IF($C59="","",IF(AND(E59&gt;=CORTES!C60, G59&gt;=CORTES!C61,I59&gt;=CORTES!C62,K59&gt;=CORTES!C63,M59&gt;=CORTES!C64,O59&gt;=CORTES!$D$4),"SIM","NÃO"))</f>
        <v/>
      </c>
    </row>
    <row r="60" spans="1:16" ht="15.6" x14ac:dyDescent="0.3">
      <c r="A60" s="7">
        <v>58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17" t="str">
        <f t="shared" si="0"/>
        <v/>
      </c>
      <c r="E60" s="18" t="str">
        <f t="shared" si="11"/>
        <v/>
      </c>
      <c r="F60" s="17" t="str">
        <f t="shared" si="2"/>
        <v/>
      </c>
      <c r="G60" s="18" t="str">
        <f t="shared" si="12"/>
        <v/>
      </c>
      <c r="H60" s="17" t="str">
        <f t="shared" si="4"/>
        <v/>
      </c>
      <c r="I60" s="18" t="str">
        <f t="shared" si="13"/>
        <v/>
      </c>
      <c r="J60" s="17" t="str">
        <f t="shared" si="6"/>
        <v/>
      </c>
      <c r="K60" s="18" t="str">
        <f t="shared" si="14"/>
        <v/>
      </c>
      <c r="L60" s="17" t="str">
        <f t="shared" si="8"/>
        <v/>
      </c>
      <c r="M60" s="18" t="str">
        <f t="shared" si="9"/>
        <v/>
      </c>
      <c r="N60" s="15" t="str">
        <f t="shared" si="17"/>
        <v/>
      </c>
      <c r="O60" s="25" t="str">
        <f t="shared" si="18"/>
        <v/>
      </c>
      <c r="P60" s="27" t="str">
        <f>IF($C60="","",IF(AND(E60&gt;=CORTES!C61, G60&gt;=CORTES!C62,I60&gt;=CORTES!C63,K60&gt;=CORTES!C64,M60&gt;=CORTES!C65,O60&gt;=CORTES!$D$4),"SIM","NÃO"))</f>
        <v/>
      </c>
    </row>
    <row r="61" spans="1:16" ht="15.6" x14ac:dyDescent="0.3">
      <c r="A61" s="7">
        <v>59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17" t="str">
        <f t="shared" si="0"/>
        <v/>
      </c>
      <c r="E61" s="18" t="str">
        <f t="shared" si="11"/>
        <v/>
      </c>
      <c r="F61" s="17" t="str">
        <f t="shared" si="2"/>
        <v/>
      </c>
      <c r="G61" s="18" t="str">
        <f t="shared" si="12"/>
        <v/>
      </c>
      <c r="H61" s="17" t="str">
        <f t="shared" si="4"/>
        <v/>
      </c>
      <c r="I61" s="18" t="str">
        <f t="shared" si="13"/>
        <v/>
      </c>
      <c r="J61" s="17" t="str">
        <f t="shared" si="6"/>
        <v/>
      </c>
      <c r="K61" s="18" t="str">
        <f t="shared" si="14"/>
        <v/>
      </c>
      <c r="L61" s="17" t="str">
        <f t="shared" si="8"/>
        <v/>
      </c>
      <c r="M61" s="18" t="str">
        <f t="shared" si="9"/>
        <v/>
      </c>
      <c r="N61" s="15" t="str">
        <f t="shared" si="17"/>
        <v/>
      </c>
      <c r="O61" s="25" t="str">
        <f t="shared" si="18"/>
        <v/>
      </c>
      <c r="P61" s="27" t="str">
        <f>IF($C61="","",IF(AND(E61&gt;=CORTES!C62, G61&gt;=CORTES!C63,I61&gt;=CORTES!C64,K61&gt;=CORTES!C65,M61&gt;=CORTES!C66,O61&gt;=CORTES!$D$4),"SIM","NÃO"))</f>
        <v/>
      </c>
    </row>
    <row r="62" spans="1:16" ht="15.6" x14ac:dyDescent="0.3">
      <c r="A62" s="7">
        <v>60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17" t="str">
        <f t="shared" si="0"/>
        <v/>
      </c>
      <c r="E62" s="18" t="str">
        <f t="shared" si="11"/>
        <v/>
      </c>
      <c r="F62" s="17" t="str">
        <f t="shared" si="2"/>
        <v/>
      </c>
      <c r="G62" s="18" t="str">
        <f t="shared" si="12"/>
        <v/>
      </c>
      <c r="H62" s="17" t="str">
        <f t="shared" si="4"/>
        <v/>
      </c>
      <c r="I62" s="18" t="str">
        <f t="shared" si="13"/>
        <v/>
      </c>
      <c r="J62" s="17" t="str">
        <f t="shared" si="6"/>
        <v/>
      </c>
      <c r="K62" s="18" t="str">
        <f t="shared" si="14"/>
        <v/>
      </c>
      <c r="L62" s="17" t="str">
        <f t="shared" si="8"/>
        <v/>
      </c>
      <c r="M62" s="18" t="str">
        <f t="shared" si="9"/>
        <v/>
      </c>
      <c r="N62" s="15" t="str">
        <f t="shared" si="17"/>
        <v/>
      </c>
      <c r="O62" s="25" t="str">
        <f t="shared" si="18"/>
        <v/>
      </c>
      <c r="P62" s="27" t="str">
        <f>IF($C62="","",IF(AND(E62&gt;=CORTES!C63, G62&gt;=CORTES!C64,I62&gt;=CORTES!C65,K62&gt;=CORTES!C66,M62&gt;=CORTES!C67,O62&gt;=CORTES!$D$4),"SIM","NÃO"))</f>
        <v/>
      </c>
    </row>
    <row r="63" spans="1:16" ht="15.6" x14ac:dyDescent="0.3">
      <c r="A63" s="7">
        <v>61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17" t="str">
        <f t="shared" si="0"/>
        <v/>
      </c>
      <c r="E63" s="18" t="str">
        <f t="shared" si="11"/>
        <v/>
      </c>
      <c r="F63" s="17" t="str">
        <f t="shared" si="2"/>
        <v/>
      </c>
      <c r="G63" s="18" t="str">
        <f t="shared" si="12"/>
        <v/>
      </c>
      <c r="H63" s="17" t="str">
        <f t="shared" si="4"/>
        <v/>
      </c>
      <c r="I63" s="18" t="str">
        <f t="shared" si="13"/>
        <v/>
      </c>
      <c r="J63" s="17" t="str">
        <f t="shared" si="6"/>
        <v/>
      </c>
      <c r="K63" s="18" t="str">
        <f t="shared" si="14"/>
        <v/>
      </c>
      <c r="L63" s="17" t="str">
        <f t="shared" si="8"/>
        <v/>
      </c>
      <c r="M63" s="18" t="str">
        <f t="shared" si="9"/>
        <v/>
      </c>
      <c r="N63" s="15" t="str">
        <f t="shared" si="17"/>
        <v/>
      </c>
      <c r="O63" s="25" t="str">
        <f t="shared" si="18"/>
        <v/>
      </c>
      <c r="P63" s="27" t="str">
        <f>IF($C63="","",IF(AND(E63&gt;=CORTES!C64, G63&gt;=CORTES!C65,I63&gt;=CORTES!C66,K63&gt;=CORTES!C67,M63&gt;=CORTES!C68,O63&gt;=CORTES!$D$4),"SIM","NÃO"))</f>
        <v/>
      </c>
    </row>
    <row r="64" spans="1:16" ht="15.6" x14ac:dyDescent="0.3">
      <c r="A64" s="7">
        <v>62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17" t="str">
        <f t="shared" si="0"/>
        <v/>
      </c>
      <c r="E64" s="18" t="str">
        <f t="shared" si="11"/>
        <v/>
      </c>
      <c r="F64" s="17" t="str">
        <f t="shared" si="2"/>
        <v/>
      </c>
      <c r="G64" s="18" t="str">
        <f t="shared" si="12"/>
        <v/>
      </c>
      <c r="H64" s="17" t="str">
        <f t="shared" si="4"/>
        <v/>
      </c>
      <c r="I64" s="18" t="str">
        <f t="shared" si="13"/>
        <v/>
      </c>
      <c r="J64" s="17" t="str">
        <f t="shared" si="6"/>
        <v/>
      </c>
      <c r="K64" s="18" t="str">
        <f t="shared" si="14"/>
        <v/>
      </c>
      <c r="L64" s="17" t="str">
        <f t="shared" si="8"/>
        <v/>
      </c>
      <c r="M64" s="18" t="str">
        <f t="shared" si="9"/>
        <v/>
      </c>
      <c r="N64" s="15" t="str">
        <f t="shared" si="17"/>
        <v/>
      </c>
      <c r="O64" s="25" t="str">
        <f t="shared" si="18"/>
        <v/>
      </c>
      <c r="P64" s="27" t="str">
        <f>IF($C64="","",IF(AND(E64&gt;=CORTES!C65, G64&gt;=CORTES!C66,I64&gt;=CORTES!C67,K64&gt;=CORTES!C68,M64&gt;=CORTES!C69,O64&gt;=CORTES!$D$4),"SIM","NÃO"))</f>
        <v/>
      </c>
    </row>
    <row r="65" spans="1:16" ht="15.6" x14ac:dyDescent="0.3">
      <c r="A65" s="7">
        <v>63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17" t="str">
        <f t="shared" si="0"/>
        <v/>
      </c>
      <c r="E65" s="18" t="str">
        <f t="shared" si="11"/>
        <v/>
      </c>
      <c r="F65" s="17" t="str">
        <f t="shared" si="2"/>
        <v/>
      </c>
      <c r="G65" s="18" t="str">
        <f t="shared" si="12"/>
        <v/>
      </c>
      <c r="H65" s="17" t="str">
        <f t="shared" si="4"/>
        <v/>
      </c>
      <c r="I65" s="18" t="str">
        <f t="shared" si="13"/>
        <v/>
      </c>
      <c r="J65" s="17" t="str">
        <f t="shared" si="6"/>
        <v/>
      </c>
      <c r="K65" s="18" t="str">
        <f t="shared" si="14"/>
        <v/>
      </c>
      <c r="L65" s="17" t="str">
        <f t="shared" si="8"/>
        <v/>
      </c>
      <c r="M65" s="18" t="str">
        <f t="shared" si="9"/>
        <v/>
      </c>
      <c r="N65" s="15" t="str">
        <f t="shared" si="17"/>
        <v/>
      </c>
      <c r="O65" s="25" t="str">
        <f t="shared" si="18"/>
        <v/>
      </c>
      <c r="P65" s="27" t="str">
        <f>IF($C65="","",IF(AND(E65&gt;=CORTES!C66, G65&gt;=CORTES!C67,I65&gt;=CORTES!C68,K65&gt;=CORTES!C69,M65&gt;=CORTES!C70,O65&gt;=CORTES!$D$4),"SIM","NÃO"))</f>
        <v/>
      </c>
    </row>
    <row r="66" spans="1:16" ht="15.6" x14ac:dyDescent="0.3">
      <c r="A66" s="7">
        <v>64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17" t="str">
        <f t="shared" si="0"/>
        <v/>
      </c>
      <c r="E66" s="18" t="str">
        <f t="shared" si="11"/>
        <v/>
      </c>
      <c r="F66" s="17" t="str">
        <f t="shared" si="2"/>
        <v/>
      </c>
      <c r="G66" s="18" t="str">
        <f t="shared" si="12"/>
        <v/>
      </c>
      <c r="H66" s="17" t="str">
        <f t="shared" si="4"/>
        <v/>
      </c>
      <c r="I66" s="18" t="str">
        <f t="shared" si="13"/>
        <v/>
      </c>
      <c r="J66" s="17" t="str">
        <f t="shared" si="6"/>
        <v/>
      </c>
      <c r="K66" s="18" t="str">
        <f t="shared" si="14"/>
        <v/>
      </c>
      <c r="L66" s="17" t="str">
        <f t="shared" si="8"/>
        <v/>
      </c>
      <c r="M66" s="18" t="str">
        <f t="shared" si="9"/>
        <v/>
      </c>
      <c r="N66" s="15" t="str">
        <f t="shared" si="17"/>
        <v/>
      </c>
      <c r="O66" s="25" t="str">
        <f t="shared" si="18"/>
        <v/>
      </c>
      <c r="P66" s="27" t="str">
        <f>IF($C66="","",IF(AND(E66&gt;=CORTES!C67, G66&gt;=CORTES!C68,I66&gt;=CORTES!C69,K66&gt;=CORTES!C70,M66&gt;=CORTES!C71,O66&gt;=CORTES!$D$4),"SIM","NÃO"))</f>
        <v/>
      </c>
    </row>
    <row r="67" spans="1:16" ht="15.6" x14ac:dyDescent="0.3">
      <c r="A67" s="7">
        <v>65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17" t="str">
        <f t="shared" si="0"/>
        <v/>
      </c>
      <c r="E67" s="18" t="str">
        <f t="shared" si="11"/>
        <v/>
      </c>
      <c r="F67" s="17" t="str">
        <f t="shared" si="2"/>
        <v/>
      </c>
      <c r="G67" s="18" t="str">
        <f t="shared" si="12"/>
        <v/>
      </c>
      <c r="H67" s="17" t="str">
        <f t="shared" si="4"/>
        <v/>
      </c>
      <c r="I67" s="18" t="str">
        <f t="shared" si="13"/>
        <v/>
      </c>
      <c r="J67" s="17" t="str">
        <f t="shared" si="6"/>
        <v/>
      </c>
      <c r="K67" s="18" t="str">
        <f t="shared" si="14"/>
        <v/>
      </c>
      <c r="L67" s="17" t="str">
        <f t="shared" si="8"/>
        <v/>
      </c>
      <c r="M67" s="18" t="str">
        <f t="shared" si="9"/>
        <v/>
      </c>
      <c r="N67" s="15" t="str">
        <f t="shared" si="17"/>
        <v/>
      </c>
      <c r="O67" s="25" t="str">
        <f t="shared" si="18"/>
        <v/>
      </c>
      <c r="P67" s="27" t="str">
        <f>IF($C67="","",IF(AND(E67&gt;=CORTES!C68, G67&gt;=CORTES!C69,I67&gt;=CORTES!C70,K67&gt;=CORTES!C71,M67&gt;=CORTES!C72,O67&gt;=CORTES!$D$4),"SIM","NÃO"))</f>
        <v/>
      </c>
    </row>
    <row r="68" spans="1:16" ht="15.6" x14ac:dyDescent="0.3">
      <c r="A68" s="7">
        <v>66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17" t="str">
        <f t="shared" ref="D68:D100" si="19">IF($C68="","",0)</f>
        <v/>
      </c>
      <c r="E68" s="18" t="str">
        <f t="shared" ref="E68:E100" si="20">IF($C68="","",((10*D68)/15))</f>
        <v/>
      </c>
      <c r="F68" s="17" t="str">
        <f t="shared" ref="F68:F100" si="21">IF($C68="","",0)</f>
        <v/>
      </c>
      <c r="G68" s="18" t="str">
        <f t="shared" ref="G68:G100" si="22">IF($C68="","",((10*F68)/15))</f>
        <v/>
      </c>
      <c r="H68" s="17" t="str">
        <f t="shared" ref="H68:H100" si="23">IF($C68="","",0)</f>
        <v/>
      </c>
      <c r="I68" s="18" t="str">
        <f t="shared" ref="I68:I100" si="24">IF($C68="","",(H68))</f>
        <v/>
      </c>
      <c r="J68" s="17" t="str">
        <f t="shared" ref="J68:J100" si="25">IF($C68="","",0)</f>
        <v/>
      </c>
      <c r="K68" s="18" t="str">
        <f t="shared" ref="K68:K100" si="26">IF($C68="","",((10*J68)/15))</f>
        <v/>
      </c>
      <c r="L68" s="17" t="str">
        <f t="shared" ref="L68:L100" si="27">IF($C68="","",0)</f>
        <v/>
      </c>
      <c r="M68" s="18" t="str">
        <f t="shared" ref="M68:M100" si="28">IF($C68="","",((10*L68)/15))</f>
        <v/>
      </c>
      <c r="N68" s="15" t="str">
        <f t="shared" si="17"/>
        <v/>
      </c>
      <c r="O68" s="25" t="str">
        <f t="shared" si="18"/>
        <v/>
      </c>
      <c r="P68" s="27" t="str">
        <f>IF($C68="","",IF(AND(E68&gt;=CORTES!C69, G68&gt;=CORTES!C70,I68&gt;=CORTES!C71,K68&gt;=CORTES!C72,M68&gt;=CORTES!C73,O68&gt;=CORTES!$D$4),"SIM","NÃO"))</f>
        <v/>
      </c>
    </row>
    <row r="69" spans="1:16" ht="15.6" x14ac:dyDescent="0.3">
      <c r="A69" s="7">
        <v>67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17" t="str">
        <f t="shared" si="19"/>
        <v/>
      </c>
      <c r="E69" s="18" t="str">
        <f t="shared" si="20"/>
        <v/>
      </c>
      <c r="F69" s="17" t="str">
        <f t="shared" si="21"/>
        <v/>
      </c>
      <c r="G69" s="18" t="str">
        <f t="shared" si="22"/>
        <v/>
      </c>
      <c r="H69" s="17" t="str">
        <f t="shared" si="23"/>
        <v/>
      </c>
      <c r="I69" s="18" t="str">
        <f t="shared" si="24"/>
        <v/>
      </c>
      <c r="J69" s="17" t="str">
        <f t="shared" si="25"/>
        <v/>
      </c>
      <c r="K69" s="18" t="str">
        <f t="shared" si="26"/>
        <v/>
      </c>
      <c r="L69" s="17" t="str">
        <f t="shared" si="27"/>
        <v/>
      </c>
      <c r="M69" s="18" t="str">
        <f t="shared" si="28"/>
        <v/>
      </c>
      <c r="N69" s="15" t="str">
        <f t="shared" si="17"/>
        <v/>
      </c>
      <c r="O69" s="25" t="str">
        <f t="shared" si="18"/>
        <v/>
      </c>
      <c r="P69" s="27" t="str">
        <f>IF($C69="","",IF(AND(E69&gt;=CORTES!C70, G69&gt;=CORTES!C71,I69&gt;=CORTES!C72,K69&gt;=CORTES!C73,M69&gt;=CORTES!C74,O69&gt;=CORTES!$D$4),"SIM","NÃO"))</f>
        <v/>
      </c>
    </row>
    <row r="70" spans="1:16" ht="15.6" x14ac:dyDescent="0.3">
      <c r="A70" s="7">
        <v>68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17" t="str">
        <f t="shared" si="19"/>
        <v/>
      </c>
      <c r="E70" s="18" t="str">
        <f t="shared" si="20"/>
        <v/>
      </c>
      <c r="F70" s="17" t="str">
        <f t="shared" si="21"/>
        <v/>
      </c>
      <c r="G70" s="18" t="str">
        <f t="shared" si="22"/>
        <v/>
      </c>
      <c r="H70" s="17" t="str">
        <f t="shared" si="23"/>
        <v/>
      </c>
      <c r="I70" s="18" t="str">
        <f t="shared" si="24"/>
        <v/>
      </c>
      <c r="J70" s="17" t="str">
        <f t="shared" si="25"/>
        <v/>
      </c>
      <c r="K70" s="18" t="str">
        <f t="shared" si="26"/>
        <v/>
      </c>
      <c r="L70" s="17" t="str">
        <f t="shared" si="27"/>
        <v/>
      </c>
      <c r="M70" s="18" t="str">
        <f t="shared" si="28"/>
        <v/>
      </c>
      <c r="N70" s="15" t="str">
        <f t="shared" si="17"/>
        <v/>
      </c>
      <c r="O70" s="25" t="str">
        <f t="shared" si="18"/>
        <v/>
      </c>
      <c r="P70" s="27" t="str">
        <f>IF($C70="","",IF(AND(E70&gt;=CORTES!C71, G70&gt;=CORTES!C72,I70&gt;=CORTES!C73,K70&gt;=CORTES!C74,M70&gt;=CORTES!C75,O70&gt;=CORTES!$D$4),"SIM","NÃO"))</f>
        <v/>
      </c>
    </row>
    <row r="71" spans="1:16" ht="15.6" x14ac:dyDescent="0.3">
      <c r="A71" s="7">
        <v>69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17" t="str">
        <f t="shared" si="19"/>
        <v/>
      </c>
      <c r="E71" s="18" t="str">
        <f t="shared" si="20"/>
        <v/>
      </c>
      <c r="F71" s="17" t="str">
        <f t="shared" si="21"/>
        <v/>
      </c>
      <c r="G71" s="18" t="str">
        <f t="shared" si="22"/>
        <v/>
      </c>
      <c r="H71" s="17" t="str">
        <f t="shared" si="23"/>
        <v/>
      </c>
      <c r="I71" s="18" t="str">
        <f t="shared" si="24"/>
        <v/>
      </c>
      <c r="J71" s="17" t="str">
        <f t="shared" si="25"/>
        <v/>
      </c>
      <c r="K71" s="18" t="str">
        <f t="shared" si="26"/>
        <v/>
      </c>
      <c r="L71" s="17" t="str">
        <f t="shared" si="27"/>
        <v/>
      </c>
      <c r="M71" s="18" t="str">
        <f t="shared" si="28"/>
        <v/>
      </c>
      <c r="N71" s="15" t="str">
        <f t="shared" si="17"/>
        <v/>
      </c>
      <c r="O71" s="25" t="str">
        <f t="shared" si="18"/>
        <v/>
      </c>
      <c r="P71" s="27" t="str">
        <f>IF($C71="","",IF(AND(E71&gt;=CORTES!C72, G71&gt;=CORTES!C73,I71&gt;=CORTES!C74,K71&gt;=CORTES!C75,M71&gt;=CORTES!C76,O71&gt;=CORTES!$D$4),"SIM","NÃO"))</f>
        <v/>
      </c>
    </row>
    <row r="72" spans="1:16" ht="15.6" x14ac:dyDescent="0.3">
      <c r="A72" s="7">
        <v>70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17" t="str">
        <f t="shared" si="19"/>
        <v/>
      </c>
      <c r="E72" s="18" t="str">
        <f t="shared" si="20"/>
        <v/>
      </c>
      <c r="F72" s="17" t="str">
        <f t="shared" si="21"/>
        <v/>
      </c>
      <c r="G72" s="18" t="str">
        <f t="shared" si="22"/>
        <v/>
      </c>
      <c r="H72" s="17" t="str">
        <f t="shared" si="23"/>
        <v/>
      </c>
      <c r="I72" s="18" t="str">
        <f t="shared" si="24"/>
        <v/>
      </c>
      <c r="J72" s="17" t="str">
        <f t="shared" si="25"/>
        <v/>
      </c>
      <c r="K72" s="18" t="str">
        <f t="shared" si="26"/>
        <v/>
      </c>
      <c r="L72" s="17" t="str">
        <f t="shared" si="27"/>
        <v/>
      </c>
      <c r="M72" s="18" t="str">
        <f t="shared" si="28"/>
        <v/>
      </c>
      <c r="N72" s="15" t="str">
        <f t="shared" si="17"/>
        <v/>
      </c>
      <c r="O72" s="25" t="str">
        <f t="shared" si="18"/>
        <v/>
      </c>
      <c r="P72" s="27" t="str">
        <f>IF($C72="","",IF(AND(E72&gt;=CORTES!C73, G72&gt;=CORTES!C74,I72&gt;=CORTES!C75,K72&gt;=CORTES!C76,M72&gt;=CORTES!C77,O72&gt;=CORTES!$D$4),"SIM","NÃO"))</f>
        <v/>
      </c>
    </row>
    <row r="73" spans="1:16" ht="15.6" x14ac:dyDescent="0.3">
      <c r="A73" s="7">
        <v>71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17" t="str">
        <f t="shared" si="19"/>
        <v/>
      </c>
      <c r="E73" s="18" t="str">
        <f t="shared" si="20"/>
        <v/>
      </c>
      <c r="F73" s="17" t="str">
        <f t="shared" si="21"/>
        <v/>
      </c>
      <c r="G73" s="18" t="str">
        <f t="shared" si="22"/>
        <v/>
      </c>
      <c r="H73" s="17" t="str">
        <f t="shared" si="23"/>
        <v/>
      </c>
      <c r="I73" s="18" t="str">
        <f t="shared" si="24"/>
        <v/>
      </c>
      <c r="J73" s="17" t="str">
        <f t="shared" si="25"/>
        <v/>
      </c>
      <c r="K73" s="18" t="str">
        <f t="shared" si="26"/>
        <v/>
      </c>
      <c r="L73" s="17" t="str">
        <f t="shared" si="27"/>
        <v/>
      </c>
      <c r="M73" s="18" t="str">
        <f t="shared" si="28"/>
        <v/>
      </c>
      <c r="N73" s="15" t="str">
        <f t="shared" si="17"/>
        <v/>
      </c>
      <c r="O73" s="25" t="str">
        <f t="shared" si="18"/>
        <v/>
      </c>
      <c r="P73" s="27" t="str">
        <f>IF($C73="","",IF(AND(E73&gt;=CORTES!C74, G73&gt;=CORTES!C75,I73&gt;=CORTES!C76,K73&gt;=CORTES!C77,M73&gt;=CORTES!C78,O73&gt;=CORTES!$D$4),"SIM","NÃO"))</f>
        <v/>
      </c>
    </row>
    <row r="74" spans="1:16" ht="15.6" x14ac:dyDescent="0.3">
      <c r="A74" s="7">
        <v>72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17" t="str">
        <f t="shared" si="19"/>
        <v/>
      </c>
      <c r="E74" s="18" t="str">
        <f t="shared" si="20"/>
        <v/>
      </c>
      <c r="F74" s="17" t="str">
        <f t="shared" si="21"/>
        <v/>
      </c>
      <c r="G74" s="18" t="str">
        <f t="shared" si="22"/>
        <v/>
      </c>
      <c r="H74" s="17" t="str">
        <f t="shared" si="23"/>
        <v/>
      </c>
      <c r="I74" s="18" t="str">
        <f t="shared" si="24"/>
        <v/>
      </c>
      <c r="J74" s="17" t="str">
        <f t="shared" si="25"/>
        <v/>
      </c>
      <c r="K74" s="18" t="str">
        <f t="shared" si="26"/>
        <v/>
      </c>
      <c r="L74" s="17" t="str">
        <f t="shared" si="27"/>
        <v/>
      </c>
      <c r="M74" s="18" t="str">
        <f t="shared" si="28"/>
        <v/>
      </c>
      <c r="N74" s="15" t="str">
        <f t="shared" si="17"/>
        <v/>
      </c>
      <c r="O74" s="25" t="str">
        <f t="shared" si="18"/>
        <v/>
      </c>
      <c r="P74" s="27" t="str">
        <f>IF($C74="","",IF(AND(E74&gt;=CORTES!C75, G74&gt;=CORTES!C76,I74&gt;=CORTES!C77,K74&gt;=CORTES!C78,M74&gt;=CORTES!C79,O74&gt;=CORTES!$D$4),"SIM","NÃO"))</f>
        <v/>
      </c>
    </row>
    <row r="75" spans="1:16" ht="15.6" x14ac:dyDescent="0.3">
      <c r="A75" s="7">
        <v>73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17" t="str">
        <f t="shared" si="19"/>
        <v/>
      </c>
      <c r="E75" s="18" t="str">
        <f t="shared" si="20"/>
        <v/>
      </c>
      <c r="F75" s="17" t="str">
        <f t="shared" si="21"/>
        <v/>
      </c>
      <c r="G75" s="18" t="str">
        <f t="shared" si="22"/>
        <v/>
      </c>
      <c r="H75" s="17" t="str">
        <f t="shared" si="23"/>
        <v/>
      </c>
      <c r="I75" s="18" t="str">
        <f t="shared" si="24"/>
        <v/>
      </c>
      <c r="J75" s="17" t="str">
        <f t="shared" si="25"/>
        <v/>
      </c>
      <c r="K75" s="18" t="str">
        <f t="shared" si="26"/>
        <v/>
      </c>
      <c r="L75" s="17" t="str">
        <f t="shared" si="27"/>
        <v/>
      </c>
      <c r="M75" s="18" t="str">
        <f t="shared" si="28"/>
        <v/>
      </c>
      <c r="N75" s="15" t="str">
        <f t="shared" si="17"/>
        <v/>
      </c>
      <c r="O75" s="25" t="str">
        <f t="shared" si="18"/>
        <v/>
      </c>
      <c r="P75" s="27" t="str">
        <f>IF($C75="","",IF(AND(E75&gt;=CORTES!C76, G75&gt;=CORTES!C77,I75&gt;=CORTES!C78,K75&gt;=CORTES!C79,M75&gt;=CORTES!C80,O75&gt;=CORTES!$D$4),"SIM","NÃO"))</f>
        <v/>
      </c>
    </row>
    <row r="76" spans="1:16" ht="15.6" x14ac:dyDescent="0.3">
      <c r="A76" s="7">
        <v>74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17" t="str">
        <f t="shared" si="19"/>
        <v/>
      </c>
      <c r="E76" s="18" t="str">
        <f t="shared" si="20"/>
        <v/>
      </c>
      <c r="F76" s="17" t="str">
        <f t="shared" si="21"/>
        <v/>
      </c>
      <c r="G76" s="18" t="str">
        <f t="shared" si="22"/>
        <v/>
      </c>
      <c r="H76" s="17" t="str">
        <f t="shared" si="23"/>
        <v/>
      </c>
      <c r="I76" s="18" t="str">
        <f t="shared" si="24"/>
        <v/>
      </c>
      <c r="J76" s="17" t="str">
        <f t="shared" si="25"/>
        <v/>
      </c>
      <c r="K76" s="18" t="str">
        <f t="shared" si="26"/>
        <v/>
      </c>
      <c r="L76" s="17" t="str">
        <f t="shared" si="27"/>
        <v/>
      </c>
      <c r="M76" s="18" t="str">
        <f t="shared" si="28"/>
        <v/>
      </c>
      <c r="N76" s="15" t="str">
        <f t="shared" si="17"/>
        <v/>
      </c>
      <c r="O76" s="25" t="str">
        <f t="shared" si="18"/>
        <v/>
      </c>
      <c r="P76" s="27" t="str">
        <f>IF($C76="","",IF(AND(E76&gt;=CORTES!C77, G76&gt;=CORTES!C78,I76&gt;=CORTES!C79,K76&gt;=CORTES!C80,M76&gt;=CORTES!C81,O76&gt;=CORTES!$D$4),"SIM","NÃO"))</f>
        <v/>
      </c>
    </row>
    <row r="77" spans="1:16" ht="15.6" x14ac:dyDescent="0.3">
      <c r="A77" s="7">
        <v>75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17" t="str">
        <f t="shared" si="19"/>
        <v/>
      </c>
      <c r="E77" s="18" t="str">
        <f t="shared" si="20"/>
        <v/>
      </c>
      <c r="F77" s="17" t="str">
        <f t="shared" si="21"/>
        <v/>
      </c>
      <c r="G77" s="18" t="str">
        <f t="shared" si="22"/>
        <v/>
      </c>
      <c r="H77" s="17" t="str">
        <f t="shared" si="23"/>
        <v/>
      </c>
      <c r="I77" s="18" t="str">
        <f t="shared" si="24"/>
        <v/>
      </c>
      <c r="J77" s="17" t="str">
        <f t="shared" si="25"/>
        <v/>
      </c>
      <c r="K77" s="18" t="str">
        <f t="shared" si="26"/>
        <v/>
      </c>
      <c r="L77" s="17" t="str">
        <f t="shared" si="27"/>
        <v/>
      </c>
      <c r="M77" s="18" t="str">
        <f t="shared" si="28"/>
        <v/>
      </c>
      <c r="N77" s="15" t="str">
        <f t="shared" si="17"/>
        <v/>
      </c>
      <c r="O77" s="25" t="str">
        <f t="shared" si="18"/>
        <v/>
      </c>
      <c r="P77" s="27" t="str">
        <f>IF($C77="","",IF(AND(E77&gt;=CORTES!C78, G77&gt;=CORTES!C79,I77&gt;=CORTES!C80,K77&gt;=CORTES!C81,M77&gt;=CORTES!C82,O77&gt;=CORTES!$D$4),"SIM","NÃO"))</f>
        <v/>
      </c>
    </row>
    <row r="78" spans="1:16" ht="15.6" x14ac:dyDescent="0.3">
      <c r="A78" s="7">
        <v>76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17" t="str">
        <f t="shared" si="19"/>
        <v/>
      </c>
      <c r="E78" s="18" t="str">
        <f t="shared" si="20"/>
        <v/>
      </c>
      <c r="F78" s="17" t="str">
        <f t="shared" si="21"/>
        <v/>
      </c>
      <c r="G78" s="18" t="str">
        <f t="shared" si="22"/>
        <v/>
      </c>
      <c r="H78" s="17" t="str">
        <f t="shared" si="23"/>
        <v/>
      </c>
      <c r="I78" s="18" t="str">
        <f t="shared" si="24"/>
        <v/>
      </c>
      <c r="J78" s="17" t="str">
        <f t="shared" si="25"/>
        <v/>
      </c>
      <c r="K78" s="18" t="str">
        <f t="shared" si="26"/>
        <v/>
      </c>
      <c r="L78" s="17" t="str">
        <f t="shared" si="27"/>
        <v/>
      </c>
      <c r="M78" s="18" t="str">
        <f t="shared" si="28"/>
        <v/>
      </c>
      <c r="N78" s="15" t="str">
        <f t="shared" si="17"/>
        <v/>
      </c>
      <c r="O78" s="25" t="str">
        <f t="shared" si="18"/>
        <v/>
      </c>
      <c r="P78" s="27" t="str">
        <f>IF($C78="","",IF(AND(E78&gt;=CORTES!C79, G78&gt;=CORTES!C80,I78&gt;=CORTES!C81,K78&gt;=CORTES!C82,M78&gt;=CORTES!C83,O78&gt;=CORTES!$D$4),"SIM","NÃO"))</f>
        <v/>
      </c>
    </row>
    <row r="79" spans="1:16" ht="15.6" x14ac:dyDescent="0.3">
      <c r="A79" s="7">
        <v>77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17" t="str">
        <f t="shared" si="19"/>
        <v/>
      </c>
      <c r="E79" s="18" t="str">
        <f t="shared" si="20"/>
        <v/>
      </c>
      <c r="F79" s="17" t="str">
        <f t="shared" si="21"/>
        <v/>
      </c>
      <c r="G79" s="18" t="str">
        <f t="shared" si="22"/>
        <v/>
      </c>
      <c r="H79" s="17" t="str">
        <f t="shared" si="23"/>
        <v/>
      </c>
      <c r="I79" s="18" t="str">
        <f t="shared" si="24"/>
        <v/>
      </c>
      <c r="J79" s="17" t="str">
        <f t="shared" si="25"/>
        <v/>
      </c>
      <c r="K79" s="18" t="str">
        <f t="shared" si="26"/>
        <v/>
      </c>
      <c r="L79" s="17" t="str">
        <f t="shared" si="27"/>
        <v/>
      </c>
      <c r="M79" s="18" t="str">
        <f t="shared" si="28"/>
        <v/>
      </c>
      <c r="N79" s="15" t="str">
        <f t="shared" si="17"/>
        <v/>
      </c>
      <c r="O79" s="25" t="str">
        <f t="shared" si="18"/>
        <v/>
      </c>
      <c r="P79" s="27" t="str">
        <f>IF($C79="","",IF(AND(E79&gt;=CORTES!C80, G79&gt;=CORTES!C81,I79&gt;=CORTES!C82,K79&gt;=CORTES!C83,M79&gt;=CORTES!C84,O79&gt;=CORTES!$D$4),"SIM","NÃO"))</f>
        <v/>
      </c>
    </row>
    <row r="80" spans="1:16" ht="15.6" x14ac:dyDescent="0.3">
      <c r="A80" s="7">
        <v>78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17" t="str">
        <f t="shared" si="19"/>
        <v/>
      </c>
      <c r="E80" s="18" t="str">
        <f t="shared" si="20"/>
        <v/>
      </c>
      <c r="F80" s="17" t="str">
        <f t="shared" si="21"/>
        <v/>
      </c>
      <c r="G80" s="18" t="str">
        <f t="shared" si="22"/>
        <v/>
      </c>
      <c r="H80" s="17" t="str">
        <f t="shared" si="23"/>
        <v/>
      </c>
      <c r="I80" s="18" t="str">
        <f t="shared" si="24"/>
        <v/>
      </c>
      <c r="J80" s="17" t="str">
        <f t="shared" si="25"/>
        <v/>
      </c>
      <c r="K80" s="18" t="str">
        <f t="shared" si="26"/>
        <v/>
      </c>
      <c r="L80" s="17" t="str">
        <f t="shared" si="27"/>
        <v/>
      </c>
      <c r="M80" s="18" t="str">
        <f t="shared" si="28"/>
        <v/>
      </c>
      <c r="N80" s="15" t="str">
        <f t="shared" si="17"/>
        <v/>
      </c>
      <c r="O80" s="25" t="str">
        <f t="shared" si="18"/>
        <v/>
      </c>
      <c r="P80" s="27" t="str">
        <f>IF($C80="","",IF(AND(E80&gt;=CORTES!C81, G80&gt;=CORTES!C82,I80&gt;=CORTES!C83,K80&gt;=CORTES!C84,M80&gt;=CORTES!C85,O80&gt;=CORTES!$D$4),"SIM","NÃO"))</f>
        <v/>
      </c>
    </row>
    <row r="81" spans="1:16" ht="15.6" x14ac:dyDescent="0.3">
      <c r="A81" s="7">
        <v>79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17" t="str">
        <f t="shared" si="19"/>
        <v/>
      </c>
      <c r="E81" s="18" t="str">
        <f t="shared" si="20"/>
        <v/>
      </c>
      <c r="F81" s="17" t="str">
        <f t="shared" si="21"/>
        <v/>
      </c>
      <c r="G81" s="18" t="str">
        <f t="shared" si="22"/>
        <v/>
      </c>
      <c r="H81" s="17" t="str">
        <f t="shared" si="23"/>
        <v/>
      </c>
      <c r="I81" s="18" t="str">
        <f t="shared" si="24"/>
        <v/>
      </c>
      <c r="J81" s="17" t="str">
        <f t="shared" si="25"/>
        <v/>
      </c>
      <c r="K81" s="18" t="str">
        <f t="shared" si="26"/>
        <v/>
      </c>
      <c r="L81" s="17" t="str">
        <f t="shared" si="27"/>
        <v/>
      </c>
      <c r="M81" s="18" t="str">
        <f t="shared" si="28"/>
        <v/>
      </c>
      <c r="N81" s="15" t="str">
        <f t="shared" si="17"/>
        <v/>
      </c>
      <c r="O81" s="25" t="str">
        <f t="shared" si="18"/>
        <v/>
      </c>
      <c r="P81" s="27" t="str">
        <f>IF($C81="","",IF(AND(E81&gt;=CORTES!C82, G81&gt;=CORTES!C83,I81&gt;=CORTES!C84,K81&gt;=CORTES!C85,M81&gt;=CORTES!C86,O81&gt;=CORTES!$D$4),"SIM","NÃO"))</f>
        <v/>
      </c>
    </row>
    <row r="82" spans="1:16" ht="15.6" x14ac:dyDescent="0.3">
      <c r="A82" s="7">
        <v>80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17" t="str">
        <f t="shared" si="19"/>
        <v/>
      </c>
      <c r="E82" s="18" t="str">
        <f t="shared" si="20"/>
        <v/>
      </c>
      <c r="F82" s="17" t="str">
        <f t="shared" si="21"/>
        <v/>
      </c>
      <c r="G82" s="18" t="str">
        <f t="shared" si="22"/>
        <v/>
      </c>
      <c r="H82" s="17" t="str">
        <f t="shared" si="23"/>
        <v/>
      </c>
      <c r="I82" s="18" t="str">
        <f t="shared" si="24"/>
        <v/>
      </c>
      <c r="J82" s="17" t="str">
        <f t="shared" si="25"/>
        <v/>
      </c>
      <c r="K82" s="18" t="str">
        <f t="shared" si="26"/>
        <v/>
      </c>
      <c r="L82" s="17" t="str">
        <f t="shared" si="27"/>
        <v/>
      </c>
      <c r="M82" s="18" t="str">
        <f t="shared" si="28"/>
        <v/>
      </c>
      <c r="N82" s="15" t="str">
        <f t="shared" si="17"/>
        <v/>
      </c>
      <c r="O82" s="25" t="str">
        <f t="shared" si="18"/>
        <v/>
      </c>
      <c r="P82" s="27" t="str">
        <f>IF($C82="","",IF(AND(E82&gt;=CORTES!C83, G82&gt;=CORTES!C84,I82&gt;=CORTES!C85,K82&gt;=CORTES!C86,M82&gt;=CORTES!C87,O82&gt;=CORTES!$D$4),"SIM","NÃO"))</f>
        <v/>
      </c>
    </row>
    <row r="83" spans="1:16" ht="15.6" x14ac:dyDescent="0.3">
      <c r="A83" s="7">
        <v>81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17" t="str">
        <f t="shared" si="19"/>
        <v/>
      </c>
      <c r="E83" s="18" t="str">
        <f t="shared" si="20"/>
        <v/>
      </c>
      <c r="F83" s="17" t="str">
        <f t="shared" si="21"/>
        <v/>
      </c>
      <c r="G83" s="18" t="str">
        <f t="shared" si="22"/>
        <v/>
      </c>
      <c r="H83" s="17" t="str">
        <f t="shared" si="23"/>
        <v/>
      </c>
      <c r="I83" s="18" t="str">
        <f t="shared" si="24"/>
        <v/>
      </c>
      <c r="J83" s="17" t="str">
        <f t="shared" si="25"/>
        <v/>
      </c>
      <c r="K83" s="18" t="str">
        <f t="shared" si="26"/>
        <v/>
      </c>
      <c r="L83" s="17" t="str">
        <f t="shared" si="27"/>
        <v/>
      </c>
      <c r="M83" s="18" t="str">
        <f t="shared" si="28"/>
        <v/>
      </c>
      <c r="N83" s="15" t="str">
        <f t="shared" si="17"/>
        <v/>
      </c>
      <c r="O83" s="25" t="str">
        <f t="shared" si="18"/>
        <v/>
      </c>
      <c r="P83" s="27" t="str">
        <f>IF($C83="","",IF(AND(E83&gt;=CORTES!C84, G83&gt;=CORTES!C85,I83&gt;=CORTES!C86,K83&gt;=CORTES!C87,M83&gt;=CORTES!C88,O83&gt;=CORTES!$D$4),"SIM","NÃO"))</f>
        <v/>
      </c>
    </row>
    <row r="84" spans="1:16" ht="15.6" x14ac:dyDescent="0.3">
      <c r="A84" s="7">
        <v>82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17" t="str">
        <f t="shared" si="19"/>
        <v/>
      </c>
      <c r="E84" s="18" t="str">
        <f t="shared" si="20"/>
        <v/>
      </c>
      <c r="F84" s="17" t="str">
        <f t="shared" si="21"/>
        <v/>
      </c>
      <c r="G84" s="18" t="str">
        <f t="shared" si="22"/>
        <v/>
      </c>
      <c r="H84" s="17" t="str">
        <f t="shared" si="23"/>
        <v/>
      </c>
      <c r="I84" s="18" t="str">
        <f t="shared" si="24"/>
        <v/>
      </c>
      <c r="J84" s="17" t="str">
        <f t="shared" si="25"/>
        <v/>
      </c>
      <c r="K84" s="18" t="str">
        <f t="shared" si="26"/>
        <v/>
      </c>
      <c r="L84" s="17" t="str">
        <f t="shared" si="27"/>
        <v/>
      </c>
      <c r="M84" s="18" t="str">
        <f t="shared" si="28"/>
        <v/>
      </c>
      <c r="N84" s="15" t="str">
        <f t="shared" si="17"/>
        <v/>
      </c>
      <c r="O84" s="25" t="str">
        <f t="shared" si="18"/>
        <v/>
      </c>
      <c r="P84" s="27" t="str">
        <f>IF($C84="","",IF(AND(E84&gt;=CORTES!C85, G84&gt;=CORTES!C86,I84&gt;=CORTES!C87,K84&gt;=CORTES!C88,M84&gt;=CORTES!C89,O84&gt;=CORTES!$D$4),"SIM","NÃO"))</f>
        <v/>
      </c>
    </row>
    <row r="85" spans="1:16" ht="15.6" x14ac:dyDescent="0.3">
      <c r="A85" s="7">
        <v>83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17" t="str">
        <f t="shared" si="19"/>
        <v/>
      </c>
      <c r="E85" s="18" t="str">
        <f t="shared" si="20"/>
        <v/>
      </c>
      <c r="F85" s="17" t="str">
        <f t="shared" si="21"/>
        <v/>
      </c>
      <c r="G85" s="18" t="str">
        <f t="shared" si="22"/>
        <v/>
      </c>
      <c r="H85" s="17" t="str">
        <f t="shared" si="23"/>
        <v/>
      </c>
      <c r="I85" s="18" t="str">
        <f t="shared" si="24"/>
        <v/>
      </c>
      <c r="J85" s="17" t="str">
        <f t="shared" si="25"/>
        <v/>
      </c>
      <c r="K85" s="18" t="str">
        <f t="shared" si="26"/>
        <v/>
      </c>
      <c r="L85" s="17" t="str">
        <f t="shared" si="27"/>
        <v/>
      </c>
      <c r="M85" s="18" t="str">
        <f t="shared" si="28"/>
        <v/>
      </c>
      <c r="N85" s="15" t="str">
        <f t="shared" si="17"/>
        <v/>
      </c>
      <c r="O85" s="25" t="str">
        <f t="shared" si="18"/>
        <v/>
      </c>
      <c r="P85" s="27" t="str">
        <f>IF($C85="","",IF(AND(E85&gt;=CORTES!C86, G85&gt;=CORTES!C87,I85&gt;=CORTES!C88,K85&gt;=CORTES!C89,M85&gt;=CORTES!C90,O85&gt;=CORTES!$D$4),"SIM","NÃO"))</f>
        <v/>
      </c>
    </row>
    <row r="86" spans="1:16" ht="15.6" x14ac:dyDescent="0.3">
      <c r="A86" s="7">
        <v>84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17" t="str">
        <f t="shared" si="19"/>
        <v/>
      </c>
      <c r="E86" s="18" t="str">
        <f t="shared" si="20"/>
        <v/>
      </c>
      <c r="F86" s="17" t="str">
        <f t="shared" si="21"/>
        <v/>
      </c>
      <c r="G86" s="18" t="str">
        <f t="shared" si="22"/>
        <v/>
      </c>
      <c r="H86" s="17" t="str">
        <f t="shared" si="23"/>
        <v/>
      </c>
      <c r="I86" s="18" t="str">
        <f t="shared" si="24"/>
        <v/>
      </c>
      <c r="J86" s="17" t="str">
        <f t="shared" si="25"/>
        <v/>
      </c>
      <c r="K86" s="18" t="str">
        <f t="shared" si="26"/>
        <v/>
      </c>
      <c r="L86" s="17" t="str">
        <f t="shared" si="27"/>
        <v/>
      </c>
      <c r="M86" s="18" t="str">
        <f t="shared" si="28"/>
        <v/>
      </c>
      <c r="N86" s="15" t="str">
        <f t="shared" si="17"/>
        <v/>
      </c>
      <c r="O86" s="25" t="str">
        <f t="shared" si="18"/>
        <v/>
      </c>
      <c r="P86" s="27" t="str">
        <f>IF($C86="","",IF(AND(E86&gt;=CORTES!C87, G86&gt;=CORTES!C88,I86&gt;=CORTES!C89,K86&gt;=CORTES!C90,M86&gt;=CORTES!C91,O86&gt;=CORTES!$D$4),"SIM","NÃO"))</f>
        <v/>
      </c>
    </row>
    <row r="87" spans="1:16" ht="15.6" x14ac:dyDescent="0.3">
      <c r="A87" s="7">
        <v>85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17" t="str">
        <f t="shared" si="19"/>
        <v/>
      </c>
      <c r="E87" s="18" t="str">
        <f t="shared" si="20"/>
        <v/>
      </c>
      <c r="F87" s="17" t="str">
        <f t="shared" si="21"/>
        <v/>
      </c>
      <c r="G87" s="18" t="str">
        <f t="shared" si="22"/>
        <v/>
      </c>
      <c r="H87" s="17" t="str">
        <f t="shared" si="23"/>
        <v/>
      </c>
      <c r="I87" s="18" t="str">
        <f t="shared" si="24"/>
        <v/>
      </c>
      <c r="J87" s="17" t="str">
        <f t="shared" si="25"/>
        <v/>
      </c>
      <c r="K87" s="18" t="str">
        <f t="shared" si="26"/>
        <v/>
      </c>
      <c r="L87" s="17" t="str">
        <f t="shared" si="27"/>
        <v/>
      </c>
      <c r="M87" s="18" t="str">
        <f t="shared" si="28"/>
        <v/>
      </c>
      <c r="N87" s="15" t="str">
        <f t="shared" si="17"/>
        <v/>
      </c>
      <c r="O87" s="25" t="str">
        <f t="shared" si="18"/>
        <v/>
      </c>
      <c r="P87" s="27" t="str">
        <f>IF($C87="","",IF(AND(E87&gt;=CORTES!C88, G87&gt;=CORTES!C89,I87&gt;=CORTES!C90,K87&gt;=CORTES!C91,M87&gt;=CORTES!C92,O87&gt;=CORTES!$D$4),"SIM","NÃO"))</f>
        <v/>
      </c>
    </row>
    <row r="88" spans="1:16" ht="15.6" x14ac:dyDescent="0.3">
      <c r="A88" s="7">
        <v>86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17" t="str">
        <f t="shared" si="19"/>
        <v/>
      </c>
      <c r="E88" s="18" t="str">
        <f t="shared" si="20"/>
        <v/>
      </c>
      <c r="F88" s="17" t="str">
        <f t="shared" si="21"/>
        <v/>
      </c>
      <c r="G88" s="18" t="str">
        <f t="shared" si="22"/>
        <v/>
      </c>
      <c r="H88" s="17" t="str">
        <f t="shared" si="23"/>
        <v/>
      </c>
      <c r="I88" s="18" t="str">
        <f t="shared" si="24"/>
        <v/>
      </c>
      <c r="J88" s="17" t="str">
        <f t="shared" si="25"/>
        <v/>
      </c>
      <c r="K88" s="18" t="str">
        <f t="shared" si="26"/>
        <v/>
      </c>
      <c r="L88" s="17" t="str">
        <f t="shared" si="27"/>
        <v/>
      </c>
      <c r="M88" s="18" t="str">
        <f t="shared" si="28"/>
        <v/>
      </c>
      <c r="N88" s="15" t="str">
        <f t="shared" si="17"/>
        <v/>
      </c>
      <c r="O88" s="25" t="str">
        <f t="shared" si="18"/>
        <v/>
      </c>
      <c r="P88" s="27" t="str">
        <f>IF($C88="","",IF(AND(E88&gt;=CORTES!C89, G88&gt;=CORTES!C90,I88&gt;=CORTES!C91,K88&gt;=CORTES!C92,M88&gt;=CORTES!C93,O88&gt;=CORTES!$D$4),"SIM","NÃO"))</f>
        <v/>
      </c>
    </row>
    <row r="89" spans="1:16" ht="15.6" x14ac:dyDescent="0.3">
      <c r="A89" s="7">
        <v>87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17" t="str">
        <f t="shared" si="19"/>
        <v/>
      </c>
      <c r="E89" s="18" t="str">
        <f t="shared" si="20"/>
        <v/>
      </c>
      <c r="F89" s="17" t="str">
        <f t="shared" si="21"/>
        <v/>
      </c>
      <c r="G89" s="18" t="str">
        <f t="shared" si="22"/>
        <v/>
      </c>
      <c r="H89" s="17" t="str">
        <f t="shared" si="23"/>
        <v/>
      </c>
      <c r="I89" s="18" t="str">
        <f t="shared" si="24"/>
        <v/>
      </c>
      <c r="J89" s="17" t="str">
        <f t="shared" si="25"/>
        <v/>
      </c>
      <c r="K89" s="18" t="str">
        <f t="shared" si="26"/>
        <v/>
      </c>
      <c r="L89" s="17" t="str">
        <f t="shared" si="27"/>
        <v/>
      </c>
      <c r="M89" s="18" t="str">
        <f t="shared" si="28"/>
        <v/>
      </c>
      <c r="N89" s="15" t="str">
        <f t="shared" si="17"/>
        <v/>
      </c>
      <c r="O89" s="25" t="str">
        <f t="shared" si="18"/>
        <v/>
      </c>
      <c r="P89" s="27" t="str">
        <f>IF($C89="","",IF(AND(E89&gt;=CORTES!C90, G89&gt;=CORTES!C91,I89&gt;=CORTES!C92,K89&gt;=CORTES!C93,M89&gt;=CORTES!C94,O89&gt;=CORTES!$D$4),"SIM","NÃO"))</f>
        <v/>
      </c>
    </row>
    <row r="90" spans="1:16" ht="15.6" x14ac:dyDescent="0.3">
      <c r="A90" s="7">
        <v>88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17" t="str">
        <f t="shared" si="19"/>
        <v/>
      </c>
      <c r="E90" s="18" t="str">
        <f t="shared" si="20"/>
        <v/>
      </c>
      <c r="F90" s="17" t="str">
        <f t="shared" si="21"/>
        <v/>
      </c>
      <c r="G90" s="18" t="str">
        <f t="shared" si="22"/>
        <v/>
      </c>
      <c r="H90" s="17" t="str">
        <f t="shared" si="23"/>
        <v/>
      </c>
      <c r="I90" s="18" t="str">
        <f t="shared" si="24"/>
        <v/>
      </c>
      <c r="J90" s="17" t="str">
        <f t="shared" si="25"/>
        <v/>
      </c>
      <c r="K90" s="18" t="str">
        <f t="shared" si="26"/>
        <v/>
      </c>
      <c r="L90" s="17" t="str">
        <f t="shared" si="27"/>
        <v/>
      </c>
      <c r="M90" s="18" t="str">
        <f t="shared" si="28"/>
        <v/>
      </c>
      <c r="N90" s="15" t="str">
        <f t="shared" si="17"/>
        <v/>
      </c>
      <c r="O90" s="25" t="str">
        <f t="shared" si="18"/>
        <v/>
      </c>
      <c r="P90" s="27" t="str">
        <f>IF($C90="","",IF(AND(E90&gt;=CORTES!C91, G90&gt;=CORTES!C92,I90&gt;=CORTES!C93,K90&gt;=CORTES!C94,M90&gt;=CORTES!C95,O90&gt;=CORTES!$D$4),"SIM","NÃO"))</f>
        <v/>
      </c>
    </row>
    <row r="91" spans="1:16" ht="15.6" x14ac:dyDescent="0.3">
      <c r="A91" s="7">
        <v>89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17" t="str">
        <f t="shared" si="19"/>
        <v/>
      </c>
      <c r="E91" s="18" t="str">
        <f t="shared" si="20"/>
        <v/>
      </c>
      <c r="F91" s="17" t="str">
        <f t="shared" si="21"/>
        <v/>
      </c>
      <c r="G91" s="18" t="str">
        <f t="shared" si="22"/>
        <v/>
      </c>
      <c r="H91" s="17" t="str">
        <f t="shared" si="23"/>
        <v/>
      </c>
      <c r="I91" s="18" t="str">
        <f t="shared" si="24"/>
        <v/>
      </c>
      <c r="J91" s="17" t="str">
        <f t="shared" si="25"/>
        <v/>
      </c>
      <c r="K91" s="18" t="str">
        <f t="shared" si="26"/>
        <v/>
      </c>
      <c r="L91" s="17" t="str">
        <f t="shared" si="27"/>
        <v/>
      </c>
      <c r="M91" s="18" t="str">
        <f t="shared" si="28"/>
        <v/>
      </c>
      <c r="N91" s="15" t="str">
        <f t="shared" si="17"/>
        <v/>
      </c>
      <c r="O91" s="25" t="str">
        <f t="shared" si="18"/>
        <v/>
      </c>
      <c r="P91" s="27" t="str">
        <f>IF($C91="","",IF(AND(E91&gt;=CORTES!C92, G91&gt;=CORTES!C93,I91&gt;=CORTES!C94,K91&gt;=CORTES!C95,M91&gt;=CORTES!C96,O91&gt;=CORTES!$D$4),"SIM","NÃO"))</f>
        <v/>
      </c>
    </row>
    <row r="92" spans="1:16" ht="15.6" x14ac:dyDescent="0.3">
      <c r="A92" s="7">
        <v>90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17" t="str">
        <f t="shared" si="19"/>
        <v/>
      </c>
      <c r="E92" s="18" t="str">
        <f t="shared" si="20"/>
        <v/>
      </c>
      <c r="F92" s="17" t="str">
        <f t="shared" si="21"/>
        <v/>
      </c>
      <c r="G92" s="18" t="str">
        <f t="shared" si="22"/>
        <v/>
      </c>
      <c r="H92" s="17" t="str">
        <f t="shared" si="23"/>
        <v/>
      </c>
      <c r="I92" s="18" t="str">
        <f t="shared" si="24"/>
        <v/>
      </c>
      <c r="J92" s="17" t="str">
        <f t="shared" si="25"/>
        <v/>
      </c>
      <c r="K92" s="18" t="str">
        <f t="shared" si="26"/>
        <v/>
      </c>
      <c r="L92" s="17" t="str">
        <f t="shared" si="27"/>
        <v/>
      </c>
      <c r="M92" s="18" t="str">
        <f t="shared" si="28"/>
        <v/>
      </c>
      <c r="N92" s="15" t="str">
        <f t="shared" si="17"/>
        <v/>
      </c>
      <c r="O92" s="25" t="str">
        <f t="shared" si="18"/>
        <v/>
      </c>
      <c r="P92" s="27" t="str">
        <f>IF($C92="","",IF(AND(E92&gt;=CORTES!C93, G92&gt;=CORTES!C94,I92&gt;=CORTES!C95,K92&gt;=CORTES!C96,M92&gt;=CORTES!C97,O92&gt;=CORTES!$D$4),"SIM","NÃO"))</f>
        <v/>
      </c>
    </row>
    <row r="93" spans="1:16" ht="15.6" x14ac:dyDescent="0.3">
      <c r="A93" s="7">
        <v>91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17" t="str">
        <f t="shared" si="19"/>
        <v/>
      </c>
      <c r="E93" s="18" t="str">
        <f t="shared" si="20"/>
        <v/>
      </c>
      <c r="F93" s="17" t="str">
        <f t="shared" si="21"/>
        <v/>
      </c>
      <c r="G93" s="18" t="str">
        <f t="shared" si="22"/>
        <v/>
      </c>
      <c r="H93" s="17" t="str">
        <f t="shared" si="23"/>
        <v/>
      </c>
      <c r="I93" s="18" t="str">
        <f t="shared" si="24"/>
        <v/>
      </c>
      <c r="J93" s="17" t="str">
        <f t="shared" si="25"/>
        <v/>
      </c>
      <c r="K93" s="18" t="str">
        <f t="shared" si="26"/>
        <v/>
      </c>
      <c r="L93" s="17" t="str">
        <f t="shared" si="27"/>
        <v/>
      </c>
      <c r="M93" s="18" t="str">
        <f t="shared" si="28"/>
        <v/>
      </c>
      <c r="N93" s="15" t="str">
        <f t="shared" si="17"/>
        <v/>
      </c>
      <c r="O93" s="25" t="str">
        <f t="shared" si="18"/>
        <v/>
      </c>
      <c r="P93" s="27" t="str">
        <f>IF($C93="","",IF(AND(E93&gt;=CORTES!C94, G93&gt;=CORTES!C95,I93&gt;=CORTES!C96,K93&gt;=CORTES!C97,M93&gt;=CORTES!C98,O93&gt;=CORTES!$D$4),"SIM","NÃO"))</f>
        <v/>
      </c>
    </row>
    <row r="94" spans="1:16" ht="15.6" x14ac:dyDescent="0.3">
      <c r="A94" s="7">
        <v>92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17" t="str">
        <f t="shared" si="19"/>
        <v/>
      </c>
      <c r="E94" s="18" t="str">
        <f t="shared" si="20"/>
        <v/>
      </c>
      <c r="F94" s="17" t="str">
        <f t="shared" si="21"/>
        <v/>
      </c>
      <c r="G94" s="18" t="str">
        <f t="shared" si="22"/>
        <v/>
      </c>
      <c r="H94" s="17" t="str">
        <f t="shared" si="23"/>
        <v/>
      </c>
      <c r="I94" s="18" t="str">
        <f t="shared" si="24"/>
        <v/>
      </c>
      <c r="J94" s="17" t="str">
        <f t="shared" si="25"/>
        <v/>
      </c>
      <c r="K94" s="18" t="str">
        <f t="shared" si="26"/>
        <v/>
      </c>
      <c r="L94" s="17" t="str">
        <f t="shared" si="27"/>
        <v/>
      </c>
      <c r="M94" s="18" t="str">
        <f t="shared" si="28"/>
        <v/>
      </c>
      <c r="N94" s="15" t="str">
        <f t="shared" si="17"/>
        <v/>
      </c>
      <c r="O94" s="25" t="str">
        <f t="shared" si="18"/>
        <v/>
      </c>
      <c r="P94" s="27" t="str">
        <f>IF($C94="","",IF(AND(E94&gt;=CORTES!C95, G94&gt;=CORTES!C96,I94&gt;=CORTES!C97,K94&gt;=CORTES!C98,M94&gt;=CORTES!C99,O94&gt;=CORTES!$D$4),"SIM","NÃO"))</f>
        <v/>
      </c>
    </row>
    <row r="95" spans="1:16" ht="15.6" x14ac:dyDescent="0.3">
      <c r="A95" s="7">
        <v>93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17" t="str">
        <f t="shared" si="19"/>
        <v/>
      </c>
      <c r="E95" s="18" t="str">
        <f t="shared" si="20"/>
        <v/>
      </c>
      <c r="F95" s="17" t="str">
        <f t="shared" si="21"/>
        <v/>
      </c>
      <c r="G95" s="18" t="str">
        <f t="shared" si="22"/>
        <v/>
      </c>
      <c r="H95" s="17" t="str">
        <f t="shared" si="23"/>
        <v/>
      </c>
      <c r="I95" s="18" t="str">
        <f t="shared" si="24"/>
        <v/>
      </c>
      <c r="J95" s="17" t="str">
        <f t="shared" si="25"/>
        <v/>
      </c>
      <c r="K95" s="18" t="str">
        <f t="shared" si="26"/>
        <v/>
      </c>
      <c r="L95" s="17" t="str">
        <f t="shared" si="27"/>
        <v/>
      </c>
      <c r="M95" s="18" t="str">
        <f t="shared" si="28"/>
        <v/>
      </c>
      <c r="N95" s="15" t="str">
        <f t="shared" si="17"/>
        <v/>
      </c>
      <c r="O95" s="25" t="str">
        <f t="shared" si="18"/>
        <v/>
      </c>
      <c r="P95" s="27" t="str">
        <f>IF($C95="","",IF(AND(E95&gt;=CORTES!C96, G95&gt;=CORTES!C97,I95&gt;=CORTES!C98,K95&gt;=CORTES!C99,M95&gt;=CORTES!C100,O95&gt;=CORTES!$D$4),"SIM","NÃO"))</f>
        <v/>
      </c>
    </row>
    <row r="96" spans="1:16" ht="15.6" x14ac:dyDescent="0.3">
      <c r="A96" s="7">
        <v>94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17" t="str">
        <f t="shared" si="19"/>
        <v/>
      </c>
      <c r="E96" s="18" t="str">
        <f t="shared" si="20"/>
        <v/>
      </c>
      <c r="F96" s="17" t="str">
        <f t="shared" si="21"/>
        <v/>
      </c>
      <c r="G96" s="18" t="str">
        <f t="shared" si="22"/>
        <v/>
      </c>
      <c r="H96" s="17" t="str">
        <f t="shared" si="23"/>
        <v/>
      </c>
      <c r="I96" s="18" t="str">
        <f t="shared" si="24"/>
        <v/>
      </c>
      <c r="J96" s="17" t="str">
        <f t="shared" si="25"/>
        <v/>
      </c>
      <c r="K96" s="18" t="str">
        <f t="shared" si="26"/>
        <v/>
      </c>
      <c r="L96" s="17" t="str">
        <f t="shared" si="27"/>
        <v/>
      </c>
      <c r="M96" s="18" t="str">
        <f t="shared" si="28"/>
        <v/>
      </c>
      <c r="N96" s="15" t="str">
        <f t="shared" ref="N96:N100" si="29">IF($C96="","",(D96+F96+H96+J96+L96))</f>
        <v/>
      </c>
      <c r="O96" s="25" t="str">
        <f t="shared" ref="O96:O100" si="30">IF($C96="","",((E96+G96+K96+M96)/4))</f>
        <v/>
      </c>
      <c r="P96" s="27" t="str">
        <f>IF($C96="","",IF(AND(E96&gt;=CORTES!C97, G96&gt;=CORTES!C98,I96&gt;=CORTES!C99,K96&gt;=CORTES!C100,M96&gt;=CORTES!C101,O96&gt;=CORTES!$D$4),"SIM","NÃO"))</f>
        <v/>
      </c>
    </row>
    <row r="97" spans="1:16" ht="15.6" x14ac:dyDescent="0.3">
      <c r="A97" s="7">
        <v>95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17" t="str">
        <f t="shared" si="19"/>
        <v/>
      </c>
      <c r="E97" s="18" t="str">
        <f t="shared" si="20"/>
        <v/>
      </c>
      <c r="F97" s="17" t="str">
        <f t="shared" si="21"/>
        <v/>
      </c>
      <c r="G97" s="18" t="str">
        <f t="shared" si="22"/>
        <v/>
      </c>
      <c r="H97" s="17" t="str">
        <f t="shared" si="23"/>
        <v/>
      </c>
      <c r="I97" s="18" t="str">
        <f t="shared" si="24"/>
        <v/>
      </c>
      <c r="J97" s="17" t="str">
        <f t="shared" si="25"/>
        <v/>
      </c>
      <c r="K97" s="18" t="str">
        <f t="shared" si="26"/>
        <v/>
      </c>
      <c r="L97" s="17" t="str">
        <f t="shared" si="27"/>
        <v/>
      </c>
      <c r="M97" s="18" t="str">
        <f t="shared" si="28"/>
        <v/>
      </c>
      <c r="N97" s="15" t="str">
        <f t="shared" si="29"/>
        <v/>
      </c>
      <c r="O97" s="25" t="str">
        <f t="shared" si="30"/>
        <v/>
      </c>
      <c r="P97" s="27" t="str">
        <f>IF($C97="","",IF(AND(E97&gt;=CORTES!C98, G97&gt;=CORTES!C99,I97&gt;=CORTES!C100,K97&gt;=CORTES!C101,M97&gt;=CORTES!C102,O97&gt;=CORTES!$D$4),"SIM","NÃO"))</f>
        <v/>
      </c>
    </row>
    <row r="98" spans="1:16" ht="15.6" x14ac:dyDescent="0.3">
      <c r="A98" s="7">
        <v>96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17" t="str">
        <f t="shared" si="19"/>
        <v/>
      </c>
      <c r="E98" s="18" t="str">
        <f t="shared" si="20"/>
        <v/>
      </c>
      <c r="F98" s="17" t="str">
        <f t="shared" si="21"/>
        <v/>
      </c>
      <c r="G98" s="18" t="str">
        <f t="shared" si="22"/>
        <v/>
      </c>
      <c r="H98" s="17" t="str">
        <f t="shared" si="23"/>
        <v/>
      </c>
      <c r="I98" s="18" t="str">
        <f t="shared" si="24"/>
        <v/>
      </c>
      <c r="J98" s="17" t="str">
        <f t="shared" si="25"/>
        <v/>
      </c>
      <c r="K98" s="18" t="str">
        <f t="shared" si="26"/>
        <v/>
      </c>
      <c r="L98" s="17" t="str">
        <f t="shared" si="27"/>
        <v/>
      </c>
      <c r="M98" s="18" t="str">
        <f t="shared" si="28"/>
        <v/>
      </c>
      <c r="N98" s="15" t="str">
        <f t="shared" si="29"/>
        <v/>
      </c>
      <c r="O98" s="25" t="str">
        <f t="shared" si="30"/>
        <v/>
      </c>
      <c r="P98" s="27" t="str">
        <f>IF($C98="","",IF(AND(E98&gt;=CORTES!C99, G98&gt;=CORTES!C100,I98&gt;=CORTES!C101,K98&gt;=CORTES!C102,M98&gt;=CORTES!C103,O98&gt;=CORTES!$D$4),"SIM","NÃO"))</f>
        <v/>
      </c>
    </row>
    <row r="99" spans="1:16" ht="15.6" x14ac:dyDescent="0.3">
      <c r="A99" s="7">
        <v>97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17" t="str">
        <f t="shared" si="19"/>
        <v/>
      </c>
      <c r="E99" s="18" t="str">
        <f t="shared" si="20"/>
        <v/>
      </c>
      <c r="F99" s="17" t="str">
        <f t="shared" si="21"/>
        <v/>
      </c>
      <c r="G99" s="18" t="str">
        <f t="shared" si="22"/>
        <v/>
      </c>
      <c r="H99" s="17" t="str">
        <f t="shared" si="23"/>
        <v/>
      </c>
      <c r="I99" s="18" t="str">
        <f t="shared" si="24"/>
        <v/>
      </c>
      <c r="J99" s="17" t="str">
        <f t="shared" si="25"/>
        <v/>
      </c>
      <c r="K99" s="18" t="str">
        <f t="shared" si="26"/>
        <v/>
      </c>
      <c r="L99" s="17" t="str">
        <f t="shared" si="27"/>
        <v/>
      </c>
      <c r="M99" s="18" t="str">
        <f t="shared" si="28"/>
        <v/>
      </c>
      <c r="N99" s="15" t="str">
        <f t="shared" si="29"/>
        <v/>
      </c>
      <c r="O99" s="25" t="str">
        <f t="shared" si="30"/>
        <v/>
      </c>
      <c r="P99" s="27" t="str">
        <f>IF($C99="","",IF(AND(E99&gt;=CORTES!C100, G99&gt;=CORTES!C101,I99&gt;=CORTES!C102,K99&gt;=CORTES!C103,M99&gt;=CORTES!C104,O99&gt;=CORTES!$D$4),"SIM","NÃO"))</f>
        <v/>
      </c>
    </row>
    <row r="100" spans="1:16" ht="15.6" x14ac:dyDescent="0.3">
      <c r="A100" s="7">
        <v>98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17" t="str">
        <f t="shared" si="19"/>
        <v/>
      </c>
      <c r="E100" s="18" t="str">
        <f t="shared" si="20"/>
        <v/>
      </c>
      <c r="F100" s="17" t="str">
        <f t="shared" si="21"/>
        <v/>
      </c>
      <c r="G100" s="18" t="str">
        <f t="shared" si="22"/>
        <v/>
      </c>
      <c r="H100" s="17" t="str">
        <f t="shared" si="23"/>
        <v/>
      </c>
      <c r="I100" s="18" t="str">
        <f t="shared" si="24"/>
        <v/>
      </c>
      <c r="J100" s="17" t="str">
        <f t="shared" si="25"/>
        <v/>
      </c>
      <c r="K100" s="18" t="str">
        <f t="shared" si="26"/>
        <v/>
      </c>
      <c r="L100" s="17" t="str">
        <f t="shared" si="27"/>
        <v/>
      </c>
      <c r="M100" s="18" t="str">
        <f t="shared" si="28"/>
        <v/>
      </c>
      <c r="N100" s="15" t="str">
        <f t="shared" si="29"/>
        <v/>
      </c>
      <c r="O100" s="25" t="str">
        <f t="shared" si="30"/>
        <v/>
      </c>
      <c r="P100" s="27" t="str">
        <f>IF($C100="","",IF(AND(E100&gt;=CORTES!C101, G100&gt;=CORTES!C102,I100&gt;=CORTES!C103,K100&gt;=CORTES!C104,M100&gt;=CORTES!C105,O100&gt;=CORTES!$D$4),"SIM","NÃO"))</f>
        <v/>
      </c>
    </row>
  </sheetData>
  <autoFilter ref="B2:P2" xr:uid="{7451312A-16A4-42B6-A2F1-B9DC620A9616}"/>
  <conditionalFormatting sqref="P3:P100">
    <cfRule type="cellIs" dxfId="2842" priority="23" operator="equal">
      <formula>"SIM"</formula>
    </cfRule>
    <cfRule type="cellIs" dxfId="2841" priority="25" operator="equal">
      <formula>"NÃO"</formula>
    </cfRule>
  </conditionalFormatting>
  <conditionalFormatting sqref="B3:P100">
    <cfRule type="cellIs" dxfId="2840" priority="1" operator="equal">
      <formula>""</formula>
    </cfRule>
  </conditionalFormatting>
  <conditionalFormatting sqref="B3:C100">
    <cfRule type="cellIs" dxfId="2839" priority="3" operator="notEqual">
      <formula>""</formula>
    </cfRule>
  </conditionalFormatting>
  <conditionalFormatting sqref="N3:N100 L3:L100 J3:J100 H3:H100 F3:F100 D3:D100">
    <cfRule type="cellIs" dxfId="2838" priority="2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E9:K100 E4 K4 L6:L100 G4 I4 E5:E7 K5:K7 I5:I7 E8 G8:K8 G5:G7 F4:F8 L4:L5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OrEqual" id="{28F81DE9-120C-4EB7-B210-B0D381F4181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" operator="lessThan" id="{927EA060-7471-41DB-8C99-79161E0E074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E3:E100</xm:sqref>
        </x14:conditionalFormatting>
        <x14:conditionalFormatting xmlns:xm="http://schemas.microsoft.com/office/excel/2006/main">
          <x14:cfRule type="cellIs" priority="6" operator="greaterThanOrEqual" id="{A47704D1-EB70-4085-BAC0-09570FB4A88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" operator="lessThan" id="{47AC3093-995D-468D-A781-CEDFAB1D36D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G3:G100</xm:sqref>
        </x14:conditionalFormatting>
        <x14:conditionalFormatting xmlns:xm="http://schemas.microsoft.com/office/excel/2006/main">
          <x14:cfRule type="cellIs" priority="8" operator="greaterThanOrEqual" id="{908C0C45-F1DA-4909-BB90-917F584DF2E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" operator="lessThan" id="{C1A736C7-956A-4ACB-AFBB-0E0D2D4B639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I3:I100</xm:sqref>
        </x14:conditionalFormatting>
        <x14:conditionalFormatting xmlns:xm="http://schemas.microsoft.com/office/excel/2006/main">
          <x14:cfRule type="cellIs" priority="11" operator="greaterThanOrEqual" id="{8A65B203-7351-4C12-AFB3-1413C81F673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" operator="lessThan" id="{19C01436-A952-40E4-9E83-1289E6E56BD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K3:K100</xm:sqref>
        </x14:conditionalFormatting>
        <x14:conditionalFormatting xmlns:xm="http://schemas.microsoft.com/office/excel/2006/main">
          <x14:cfRule type="cellIs" priority="14" operator="greaterThanOrEqual" id="{DC25F27D-054E-42B5-ABDD-72F7AE919D5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" operator="lessThan" id="{98BD458B-60EF-4A6E-BB7C-95FF77C66F7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M3:M100</xm:sqref>
        </x14:conditionalFormatting>
        <x14:conditionalFormatting xmlns:xm="http://schemas.microsoft.com/office/excel/2006/main">
          <x14:cfRule type="cellIs" priority="21" operator="greaterThanOrEqual" id="{901D6686-1EE6-450F-8C88-21C604D2E93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" operator="lessThan" id="{63CEAC50-AC52-4C03-A30E-F597E7BCDD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O3:O100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E6C0-E619-4BB4-9961-43A96E0602B8}">
  <sheetPr codeName="Planilha3"/>
  <dimension ref="A1:N123"/>
  <sheetViews>
    <sheetView topLeftCell="B4" zoomScaleNormal="100" workbookViewId="0">
      <selection activeCell="M26" sqref="D26:M26"/>
    </sheetView>
  </sheetViews>
  <sheetFormatPr defaultColWidth="9.109375" defaultRowHeight="13.8" x14ac:dyDescent="0.25"/>
  <cols>
    <col min="1" max="1" width="0" style="33" hidden="1" customWidth="1"/>
    <col min="2" max="2" width="13.77734375" style="33" bestFit="1" customWidth="1"/>
    <col min="3" max="3" width="43.77734375" style="33" customWidth="1"/>
    <col min="4" max="4" width="14.77734375" style="33" customWidth="1"/>
    <col min="5" max="5" width="14.44140625" style="33" customWidth="1"/>
    <col min="6" max="6" width="23.5546875" style="33" bestFit="1" customWidth="1"/>
    <col min="7" max="7" width="15.33203125" style="33" customWidth="1"/>
    <col min="8" max="8" width="15.77734375" style="33" customWidth="1"/>
    <col min="9" max="9" width="23.5546875" style="33" bestFit="1" customWidth="1"/>
    <col min="10" max="10" width="15.77734375" style="33" customWidth="1"/>
    <col min="11" max="11" width="16" style="33" customWidth="1"/>
    <col min="12" max="12" width="23.5546875" style="33" bestFit="1" customWidth="1"/>
    <col min="13" max="13" width="17.109375" style="33" customWidth="1"/>
    <col min="14" max="14" width="16.77734375" style="33" customWidth="1"/>
    <col min="15" max="15" width="9.109375" style="33"/>
    <col min="16" max="16" width="12.33203125" style="33" bestFit="1" customWidth="1"/>
    <col min="17" max="16384" width="9.109375" style="33"/>
  </cols>
  <sheetData>
    <row r="1" spans="2:13" ht="31.8" customHeight="1" x14ac:dyDescent="0.45">
      <c r="B1" s="52"/>
      <c r="C1" s="52"/>
      <c r="D1" s="52"/>
      <c r="E1" s="52" t="s">
        <v>80</v>
      </c>
      <c r="F1" s="52"/>
      <c r="G1" s="52"/>
      <c r="H1" s="52"/>
      <c r="I1" s="52"/>
      <c r="J1" s="52"/>
      <c r="K1" s="52"/>
      <c r="L1" s="52"/>
      <c r="M1" s="52"/>
    </row>
    <row r="2" spans="2:13" s="47" customFormat="1" ht="6" customHeight="1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2:13" s="47" customFormat="1" ht="6" customHeight="1" x14ac:dyDescent="0.25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2:13" x14ac:dyDescent="0.25">
      <c r="B4" s="67" t="e" cm="1">
        <f t="array" aca="1" ref="B4" ca="1">IF(INDEX(INDIRECT(_xlfn.CONCAT("ListaDeProf",RIGHT(CELL("nome.arquivo"),3))),((COLUMN()-1)/3+1))="","",INDEX(INDIRECT(_xlfn.CONCAT("ListaDeProf",RIGHT(CELL("nome.arquivo"),3))),((COLUMN()-1)/3+1)))</f>
        <v>#REF!</v>
      </c>
      <c r="C4" s="67"/>
      <c r="D4" s="67"/>
      <c r="E4" s="67" t="e" cm="1">
        <f t="array" aca="1" ref="E4" ca="1">IF(INDEX(INDIRECT(_xlfn.CONCAT("ListaDeProf",RIGHT(CELL("nome.arquivo"),3))),((COLUMN()-1)/3+1))="","",INDEX(INDIRECT(_xlfn.CONCAT("ListaDeProf",RIGHT(CELL("nome.arquivo"),3))),((COLUMN()-1)/3+1)))</f>
        <v>#REF!</v>
      </c>
      <c r="F4" s="67"/>
      <c r="G4" s="67"/>
      <c r="H4" s="67" t="e" cm="1">
        <f t="array" aca="1" ref="H4" ca="1">IF(INDEX(INDIRECT(_xlfn.CONCAT("ListaDeProf",RIGHT(CELL("nome.arquivo"),3))),((COLUMN()-1)/3+1))="","",INDEX(INDIRECT(_xlfn.CONCAT("ListaDeProf",RIGHT(CELL("nome.arquivo"),3))),((COLUMN()-1)/3+1)))</f>
        <v>#REF!</v>
      </c>
      <c r="I4" s="67"/>
      <c r="J4" s="67"/>
      <c r="K4" s="67" t="e" cm="1">
        <f t="array" aca="1" ref="K4" ca="1">IF(INDEX(INDIRECT(_xlfn.CONCAT("ListaDeProf",RIGHT(CELL("nome.arquivo"),3))),((COLUMN()-1)/3+1))="","",INDEX(INDIRECT(_xlfn.CONCAT("ListaDeProf",RIGHT(CELL("nome.arquivo"),3))),((COLUMN()-1)/3+1)))</f>
        <v>#REF!</v>
      </c>
      <c r="L4" s="67"/>
      <c r="M4" s="67"/>
    </row>
    <row r="5" spans="2:13" ht="14.4" thickBot="1" x14ac:dyDescent="0.3">
      <c r="B5" s="46" t="e">
        <f ca="1">IF(B4="","","Questão")</f>
        <v>#REF!</v>
      </c>
      <c r="C5" s="46" t="e">
        <f ca="1">IF(B4="","","Desempenho")</f>
        <v>#REF!</v>
      </c>
      <c r="D5" s="46" t="e">
        <f ca="1">IF(B4="","","Percentual")</f>
        <v>#REF!</v>
      </c>
      <c r="E5" s="54" t="e">
        <f ca="1">IF(E4="","","Questão")</f>
        <v>#REF!</v>
      </c>
      <c r="F5" s="54" t="e">
        <f ca="1">IF(E4="","","Desempenho")</f>
        <v>#REF!</v>
      </c>
      <c r="G5" s="54" t="e">
        <f ca="1">IF(E4="","","Percentual")</f>
        <v>#REF!</v>
      </c>
      <c r="H5" s="54" t="e">
        <f ca="1">IF(H4="","","Questão")</f>
        <v>#REF!</v>
      </c>
      <c r="I5" s="54" t="e">
        <f ca="1">IF(H4="","","Desempenho")</f>
        <v>#REF!</v>
      </c>
      <c r="J5" s="54" t="e">
        <f ca="1">IF(H4="","","Percentual")</f>
        <v>#REF!</v>
      </c>
      <c r="K5" s="54" t="e">
        <f ca="1">IF(K4="","","Questão")</f>
        <v>#REF!</v>
      </c>
      <c r="L5" s="54" t="e">
        <f ca="1">IF(K4="","","Desempenho")</f>
        <v>#REF!</v>
      </c>
      <c r="M5" s="54" t="e">
        <f ca="1">IF(K4="","","Percentual")</f>
        <v>#REF!</v>
      </c>
    </row>
    <row r="6" spans="2:13" x14ac:dyDescent="0.25">
      <c r="B6" s="64" t="e" cm="1">
        <f t="array" aca="1" ref="B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6" s="41" t="e">
        <f ca="1">IF(B6="","","Ruim (0,0 ≤ NOTA &lt; 0,5)")</f>
        <v>#REF!</v>
      </c>
      <c r="D6" s="42" t="e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#REF!</v>
      </c>
      <c r="E6" s="64" t="e" cm="1">
        <f t="array" aca="1" ref="E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6" s="41" t="e">
        <f ca="1">IF(E6="","","Ruim (0,0 ≤ NOTA &lt; 0,5)")</f>
        <v>#REF!</v>
      </c>
      <c r="G6" s="42" t="e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#REF!</v>
      </c>
      <c r="H6" s="64" t="e" cm="1">
        <f t="array" aca="1" ref="H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6" s="41" t="e">
        <f ca="1">IF(H6="","","Ruim (0,0 ≤ NOTA &lt; 0,5)")</f>
        <v>#REF!</v>
      </c>
      <c r="J6" s="42" t="e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#REF!</v>
      </c>
      <c r="K6" s="64" t="e" cm="1">
        <f t="array" aca="1" ref="K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6" s="41" t="e">
        <f ca="1">IF(K6="","","Ruim (0,0 ≤ NOTA &lt; 0,5)")</f>
        <v>#REF!</v>
      </c>
      <c r="M6" s="42" t="e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>#REF!</v>
      </c>
    </row>
    <row r="7" spans="2:13" x14ac:dyDescent="0.25">
      <c r="B7" s="65"/>
      <c r="C7" s="28" t="e">
        <f ca="1">IF(B6="","","Mediano (0,5 ≤ NOTA ≤ 0,7)")</f>
        <v>#REF!</v>
      </c>
      <c r="D7" s="43" t="e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#REF!</v>
      </c>
      <c r="E7" s="65"/>
      <c r="F7" s="28" t="e">
        <f ca="1">IF(E6="","","Mediano (0,5 ≤ NOTA ≤ 0,7)")</f>
        <v>#REF!</v>
      </c>
      <c r="G7" s="43" t="e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#REF!</v>
      </c>
      <c r="H7" s="65"/>
      <c r="I7" s="28" t="e">
        <f ca="1">IF(H6="","","Mediano (0,5 ≤ NOTA ≤ 0,7)")</f>
        <v>#REF!</v>
      </c>
      <c r="J7" s="43" t="e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#REF!</v>
      </c>
      <c r="K7" s="65"/>
      <c r="L7" s="28" t="e">
        <f ca="1">IF(K6="","","Mediano (0,5 ≤ NOTA ≤ 0,7)")</f>
        <v>#REF!</v>
      </c>
      <c r="M7" s="43" t="e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>#REF!</v>
      </c>
    </row>
    <row r="8" spans="2:13" ht="14.4" thickBot="1" x14ac:dyDescent="0.3">
      <c r="B8" s="66"/>
      <c r="C8" s="44" t="e">
        <f ca="1">IF(B6="","","Bom (0,7 &lt; NOTA ≤ 1,0)")</f>
        <v>#REF!</v>
      </c>
      <c r="D8" s="45" t="e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#REF!</v>
      </c>
      <c r="E8" s="66"/>
      <c r="F8" s="44" t="e">
        <f ca="1">IF(E6="","","Bom (0,7 &lt; NOTA ≤ 1,0)")</f>
        <v>#REF!</v>
      </c>
      <c r="G8" s="45" t="e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#REF!</v>
      </c>
      <c r="H8" s="66"/>
      <c r="I8" s="44" t="e">
        <f ca="1">IF(H6="","","Bom (0,7 &lt; NOTA ≤ 1,0)")</f>
        <v>#REF!</v>
      </c>
      <c r="J8" s="45" t="e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#REF!</v>
      </c>
      <c r="K8" s="66"/>
      <c r="L8" s="44" t="e">
        <f ca="1">IF(K6="","","Bom (0,7 &lt; NOTA ≤ 1,0)")</f>
        <v>#REF!</v>
      </c>
      <c r="M8" s="45" t="e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>#REF!</v>
      </c>
    </row>
    <row r="9" spans="2:13" x14ac:dyDescent="0.25">
      <c r="B9" s="64" t="e" cm="1">
        <f t="array" aca="1" ref="B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9" s="41" t="e">
        <f ca="1">IF(B9="","","Ruim (0,0 ≤ NOTA &lt; 0,5)")</f>
        <v>#REF!</v>
      </c>
      <c r="D9" s="42" t="e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#REF!</v>
      </c>
      <c r="E9" s="64" t="e" cm="1">
        <f t="array" aca="1" ref="E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9" s="41" t="e">
        <f ca="1">IF(E9="","","Ruim (0,0 ≤ NOTA &lt; 0,5)")</f>
        <v>#REF!</v>
      </c>
      <c r="G9" s="42" t="e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#REF!</v>
      </c>
      <c r="H9" s="64" t="e" cm="1">
        <f t="array" aca="1" ref="H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9" s="41" t="e">
        <f ca="1">IF(H9="","","Ruim (0,0 ≤ NOTA &lt; 0,5)")</f>
        <v>#REF!</v>
      </c>
      <c r="J9" s="42" t="e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>#REF!</v>
      </c>
      <c r="K9" s="64" t="e" cm="1">
        <f t="array" aca="1" ref="K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9" s="41" t="e">
        <f ca="1">IF(K9="","","Ruim (0,0 ≤ NOTA &lt; 0,5)")</f>
        <v>#REF!</v>
      </c>
      <c r="M9" s="42" t="e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>#REF!</v>
      </c>
    </row>
    <row r="10" spans="2:13" x14ac:dyDescent="0.25">
      <c r="B10" s="65"/>
      <c r="C10" s="28" t="e">
        <f ca="1">IF(B9="","","Mediano (0,5 ≤ NOTA ≤ 0,7)")</f>
        <v>#REF!</v>
      </c>
      <c r="D10" s="43" t="e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#REF!</v>
      </c>
      <c r="E10" s="65"/>
      <c r="F10" s="28" t="e">
        <f ca="1">IF(E9="","","Mediano (0,5 ≤ NOTA ≤ 0,7)")</f>
        <v>#REF!</v>
      </c>
      <c r="G10" s="43" t="e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#REF!</v>
      </c>
      <c r="H10" s="65"/>
      <c r="I10" s="28" t="e">
        <f ca="1">IF(H9="","","Mediano (0,5 ≤ NOTA ≤ 0,7)")</f>
        <v>#REF!</v>
      </c>
      <c r="J10" s="43" t="e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>#REF!</v>
      </c>
      <c r="K10" s="65"/>
      <c r="L10" s="28" t="e">
        <f ca="1">IF(K9="","","Mediano (0,5 ≤ NOTA ≤ 0,7)")</f>
        <v>#REF!</v>
      </c>
      <c r="M10" s="43" t="e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>#REF!</v>
      </c>
    </row>
    <row r="11" spans="2:13" ht="14.4" thickBot="1" x14ac:dyDescent="0.3">
      <c r="B11" s="66"/>
      <c r="C11" s="44" t="e">
        <f ca="1">IF(B9="","","Bom (0,7 &lt; NOTA ≤ 1,0)")</f>
        <v>#REF!</v>
      </c>
      <c r="D11" s="45" t="e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#REF!</v>
      </c>
      <c r="E11" s="66"/>
      <c r="F11" s="44" t="e">
        <f ca="1">IF(E9="","","Bom (0,7 &lt; NOTA ≤ 1,0)")</f>
        <v>#REF!</v>
      </c>
      <c r="G11" s="45" t="e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#REF!</v>
      </c>
      <c r="H11" s="66"/>
      <c r="I11" s="44" t="e">
        <f ca="1">IF(H9="","","Bom (0,7 &lt; NOTA ≤ 1,0)")</f>
        <v>#REF!</v>
      </c>
      <c r="J11" s="45" t="e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>#REF!</v>
      </c>
      <c r="K11" s="66"/>
      <c r="L11" s="44" t="e">
        <f ca="1">IF(K9="","","Bom (0,7 &lt; NOTA ≤ 1,0)")</f>
        <v>#REF!</v>
      </c>
      <c r="M11" s="45" t="e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>#REF!</v>
      </c>
    </row>
    <row r="12" spans="2:13" x14ac:dyDescent="0.25">
      <c r="B12" s="64" t="e" cm="1">
        <f t="array" aca="1" ref="B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2" s="41" t="e">
        <f ca="1">IF(B12="","","Ruim (0,0 ≤ NOTA &lt; 0,5)")</f>
        <v>#REF!</v>
      </c>
      <c r="D12" s="42" t="e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#REF!</v>
      </c>
      <c r="E12" s="64" t="e" cm="1">
        <f t="array" aca="1" ref="E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2" s="41" t="e">
        <f ca="1">IF(E12="","","Ruim (0,0 ≤ NOTA &lt; 0,5)")</f>
        <v>#REF!</v>
      </c>
      <c r="G12" s="42" t="e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>#REF!</v>
      </c>
      <c r="H12" s="64" t="e" cm="1">
        <f t="array" aca="1" ref="H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2" s="41" t="e">
        <f ca="1">IF(H12="","","Ruim (0,0 ≤ NOTA &lt; 0,5)")</f>
        <v>#REF!</v>
      </c>
      <c r="J12" s="42" t="e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>#REF!</v>
      </c>
      <c r="K12" s="64" t="e" cm="1">
        <f t="array" aca="1" ref="K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2" s="41" t="e">
        <f ca="1">IF(K12="","","Ruim (0,0 ≤ NOTA &lt; 0,5)")</f>
        <v>#REF!</v>
      </c>
      <c r="M12" s="42" t="e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>#REF!</v>
      </c>
    </row>
    <row r="13" spans="2:13" x14ac:dyDescent="0.25">
      <c r="B13" s="65"/>
      <c r="C13" s="28" t="e">
        <f ca="1">IF(B12="","","Mediano (0,5 ≤ NOTA ≤ 0,7)")</f>
        <v>#REF!</v>
      </c>
      <c r="D13" s="43" t="e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#REF!</v>
      </c>
      <c r="E13" s="65"/>
      <c r="F13" s="28" t="e">
        <f ca="1">IF(E12="","","Mediano (0,5 ≤ NOTA ≤ 0,7)")</f>
        <v>#REF!</v>
      </c>
      <c r="G13" s="43" t="e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>#REF!</v>
      </c>
      <c r="H13" s="65"/>
      <c r="I13" s="28" t="e">
        <f ca="1">IF(H12="","","Mediano (0,5 ≤ NOTA ≤ 0,7)")</f>
        <v>#REF!</v>
      </c>
      <c r="J13" s="43" t="e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>#REF!</v>
      </c>
      <c r="K13" s="65"/>
      <c r="L13" s="28" t="e">
        <f ca="1">IF(K12="","","Mediano (0,5 ≤ NOTA ≤ 0,7)")</f>
        <v>#REF!</v>
      </c>
      <c r="M13" s="43" t="e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>#REF!</v>
      </c>
    </row>
    <row r="14" spans="2:13" ht="14.4" thickBot="1" x14ac:dyDescent="0.3">
      <c r="B14" s="65"/>
      <c r="C14" s="40" t="e">
        <f ca="1">IF(B12="","","Bom (0,7 &lt; NOTA ≤ 1,0)")</f>
        <v>#REF!</v>
      </c>
      <c r="D14" s="48" t="e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#REF!</v>
      </c>
      <c r="E14" s="65"/>
      <c r="F14" s="40" t="e">
        <f ca="1">IF(E12="","","Bom (0,7 &lt; NOTA ≤ 1,0)")</f>
        <v>#REF!</v>
      </c>
      <c r="G14" s="48" t="e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>#REF!</v>
      </c>
      <c r="H14" s="65"/>
      <c r="I14" s="40" t="e">
        <f ca="1">IF(H12="","","Bom (0,7 &lt; NOTA ≤ 1,0)")</f>
        <v>#REF!</v>
      </c>
      <c r="J14" s="48" t="e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>#REF!</v>
      </c>
      <c r="K14" s="65"/>
      <c r="L14" s="40" t="e">
        <f ca="1">IF(K12="","","Bom (0,7 &lt; NOTA ≤ 1,0)")</f>
        <v>#REF!</v>
      </c>
      <c r="M14" s="48" t="e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>#REF!</v>
      </c>
    </row>
    <row r="15" spans="2:13" x14ac:dyDescent="0.25">
      <c r="B15" s="64" t="e" cm="1">
        <f t="array" aca="1" ref="B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5" s="41" t="e">
        <f ca="1">IF(B15="","","Ruim (0,0 ≤ NOTA &lt; 0,5)")</f>
        <v>#REF!</v>
      </c>
      <c r="D15" s="42" t="e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>#REF!</v>
      </c>
      <c r="E15" s="64" t="e" cm="1">
        <f t="array" aca="1" ref="E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5" s="41" t="e">
        <f ca="1">IF(E15="","","Ruim (0,0 ≤ NOTA &lt; 0,5)")</f>
        <v>#REF!</v>
      </c>
      <c r="G15" s="42" t="e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>#REF!</v>
      </c>
      <c r="H15" s="64" t="e" cm="1">
        <f t="array" aca="1" ref="H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5" s="41" t="e">
        <f ca="1">IF(H15="","","Ruim (0,0 ≤ NOTA &lt; 0,5)")</f>
        <v>#REF!</v>
      </c>
      <c r="J15" s="42" t="e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>#REF!</v>
      </c>
      <c r="K15" s="64" t="e" cm="1">
        <f t="array" aca="1" ref="K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5" s="41" t="e">
        <f ca="1">IF(K15="","","Ruim (0,0 ≤ NOTA &lt; 0,5)")</f>
        <v>#REF!</v>
      </c>
      <c r="M15" s="42" t="e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>#REF!</v>
      </c>
    </row>
    <row r="16" spans="2:13" x14ac:dyDescent="0.25">
      <c r="B16" s="65"/>
      <c r="C16" s="28" t="e">
        <f ca="1">IF(B15="","","Mediano (0,5 ≤ NOTA ≤ 0,7)")</f>
        <v>#REF!</v>
      </c>
      <c r="D16" s="43" t="e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>#REF!</v>
      </c>
      <c r="E16" s="65"/>
      <c r="F16" s="28" t="e">
        <f ca="1">IF(E15="","","Mediano (0,5 ≤ NOTA ≤ 0,7)")</f>
        <v>#REF!</v>
      </c>
      <c r="G16" s="43" t="e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>#REF!</v>
      </c>
      <c r="H16" s="65"/>
      <c r="I16" s="28" t="e">
        <f ca="1">IF(H15="","","Mediano (0,5 ≤ NOTA ≤ 0,7)")</f>
        <v>#REF!</v>
      </c>
      <c r="J16" s="43" t="e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>#REF!</v>
      </c>
      <c r="K16" s="65"/>
      <c r="L16" s="28" t="e">
        <f ca="1">IF(K15="","","Mediano (0,5 ≤ NOTA ≤ 0,7)")</f>
        <v>#REF!</v>
      </c>
      <c r="M16" s="43" t="e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>#REF!</v>
      </c>
    </row>
    <row r="17" spans="1:14" ht="14.4" thickBot="1" x14ac:dyDescent="0.3">
      <c r="B17" s="65"/>
      <c r="C17" s="40" t="e">
        <f ca="1">IF(B15="","","Bom (0,7 &lt; NOTA ≤ 1,0)")</f>
        <v>#REF!</v>
      </c>
      <c r="D17" s="48" t="e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>#REF!</v>
      </c>
      <c r="E17" s="65"/>
      <c r="F17" s="40" t="e">
        <f ca="1">IF(E15="","","Bom (0,7 &lt; NOTA ≤ 1,0)")</f>
        <v>#REF!</v>
      </c>
      <c r="G17" s="48" t="e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>#REF!</v>
      </c>
      <c r="H17" s="65"/>
      <c r="I17" s="40" t="e">
        <f ca="1">IF(H15="","","Bom (0,7 &lt; NOTA ≤ 1,0)")</f>
        <v>#REF!</v>
      </c>
      <c r="J17" s="48" t="e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>#REF!</v>
      </c>
      <c r="K17" s="65"/>
      <c r="L17" s="40" t="e">
        <f ca="1">IF(K15="","","Bom (0,7 &lt; NOTA ≤ 1,0)")</f>
        <v>#REF!</v>
      </c>
      <c r="M17" s="48" t="e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>#REF!</v>
      </c>
    </row>
    <row r="18" spans="1:14" x14ac:dyDescent="0.25">
      <c r="B18" s="69" t="e" cm="1">
        <f t="array" aca="1" ref="B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8" s="41" t="e">
        <f ca="1">IF(B18="","","Ruim (0,0 ≤ NOTA &lt; 0,5)")</f>
        <v>#REF!</v>
      </c>
      <c r="D18" s="49" t="e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>#REF!</v>
      </c>
      <c r="E18" s="69" t="e" cm="1">
        <f t="array" aca="1" ref="E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8" s="41" t="e">
        <f ca="1">IF(E18="","","Ruim (0,0 ≤ NOTA &lt; 0,5)")</f>
        <v>#REF!</v>
      </c>
      <c r="G18" s="42" t="e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>#REF!</v>
      </c>
      <c r="H18" s="69" t="e" cm="1">
        <f t="array" aca="1" ref="H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8" s="41" t="e">
        <f ca="1">IF(H18="","","Ruim (0,0 ≤ NOTA &lt; 0,5)")</f>
        <v>#REF!</v>
      </c>
      <c r="J18" s="42" t="e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>#REF!</v>
      </c>
      <c r="K18" s="69" t="e" cm="1">
        <f t="array" aca="1" ref="K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8" s="41" t="e">
        <f ca="1">IF(K18="","","Ruim (0,0 ≤ NOTA &lt; 0,5)")</f>
        <v>#REF!</v>
      </c>
      <c r="M18" s="42" t="e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>#REF!</v>
      </c>
    </row>
    <row r="19" spans="1:14" x14ac:dyDescent="0.25">
      <c r="B19" s="70"/>
      <c r="C19" s="28" t="e">
        <f ca="1">IF(B18="","","Mediano (0,5 ≤ NOTA ≤ 0,7)")</f>
        <v>#REF!</v>
      </c>
      <c r="D19" s="50" t="e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>#REF!</v>
      </c>
      <c r="E19" s="70"/>
      <c r="F19" s="28" t="e">
        <f ca="1">IF(E18="","","Mediano (0,5 ≤ NOTA ≤ 0,7)")</f>
        <v>#REF!</v>
      </c>
      <c r="G19" s="43" t="e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>#REF!</v>
      </c>
      <c r="H19" s="70"/>
      <c r="I19" s="28" t="e">
        <f ca="1">IF(H18="","","Mediano (0,5 ≤ NOTA ≤ 0,7)")</f>
        <v>#REF!</v>
      </c>
      <c r="J19" s="43" t="e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>#REF!</v>
      </c>
      <c r="K19" s="70"/>
      <c r="L19" s="28" t="e">
        <f ca="1">IF(K18="","","Mediano (0,5 ≤ NOTA ≤ 0,7)")</f>
        <v>#REF!</v>
      </c>
      <c r="M19" s="43" t="e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>#REF!</v>
      </c>
    </row>
    <row r="20" spans="1:14" ht="14.4" thickBot="1" x14ac:dyDescent="0.3">
      <c r="B20" s="71"/>
      <c r="C20" s="44" t="e">
        <f ca="1">IF(B18="","","Bom (0,7 &lt; NOTA ≤ 1,0)")</f>
        <v>#REF!</v>
      </c>
      <c r="D20" s="51" t="e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>#REF!</v>
      </c>
      <c r="E20" s="71"/>
      <c r="F20" s="44" t="e">
        <f ca="1">IF(E18="","","Bom (0,7 &lt; NOTA ≤ 1,0)")</f>
        <v>#REF!</v>
      </c>
      <c r="G20" s="45" t="e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>#REF!</v>
      </c>
      <c r="H20" s="71"/>
      <c r="I20" s="44" t="e">
        <f ca="1">IF(H18="","","Bom (0,7 &lt; NOTA ≤ 1,0)")</f>
        <v>#REF!</v>
      </c>
      <c r="J20" s="45" t="e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>#REF!</v>
      </c>
      <c r="K20" s="71"/>
      <c r="L20" s="44" t="e">
        <f ca="1">IF(K18="","","Bom (0,7 &lt; NOTA ≤ 1,0)")</f>
        <v>#REF!</v>
      </c>
      <c r="M20" s="45" t="e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>#REF!</v>
      </c>
    </row>
    <row r="21" spans="1:14" ht="6" customHeight="1" x14ac:dyDescent="0.25"/>
    <row r="22" spans="1:14" x14ac:dyDescent="0.25">
      <c r="B22" s="68" t="s">
        <v>81</v>
      </c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</row>
    <row r="23" spans="1:14" x14ac:dyDescent="0.25"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</row>
    <row r="24" spans="1:14" ht="6" customHeight="1" x14ac:dyDescent="0.25"/>
    <row r="25" spans="1:14" x14ac:dyDescent="0.25">
      <c r="B25" s="54" t="s">
        <v>1</v>
      </c>
      <c r="C25" s="54" t="s">
        <v>17</v>
      </c>
      <c r="D25" s="54" t="s">
        <v>2</v>
      </c>
      <c r="E25" s="54" t="s">
        <v>3</v>
      </c>
      <c r="F25" s="54" t="s">
        <v>4</v>
      </c>
      <c r="G25" s="54" t="s">
        <v>5</v>
      </c>
      <c r="H25" s="54" t="s">
        <v>6</v>
      </c>
      <c r="I25" s="54" t="s">
        <v>7</v>
      </c>
      <c r="J25" s="54" t="s">
        <v>8</v>
      </c>
      <c r="K25" s="54" t="s">
        <v>9</v>
      </c>
      <c r="L25" s="54" t="s">
        <v>10</v>
      </c>
      <c r="M25" s="54" t="s">
        <v>11</v>
      </c>
      <c r="N25" s="54" t="s">
        <v>0</v>
      </c>
    </row>
    <row r="26" spans="1:14" ht="15.6" x14ac:dyDescent="0.3">
      <c r="A26" s="33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LEONARDO MESQUITA</v>
      </c>
      <c r="D26" s="6">
        <f t="shared" ref="D26:M41" si="0">IF($C26="","",0)</f>
        <v>0</v>
      </c>
      <c r="E26" s="6">
        <f t="shared" si="0"/>
        <v>0</v>
      </c>
      <c r="F26" s="6">
        <f t="shared" si="0"/>
        <v>0</v>
      </c>
      <c r="G26" s="6">
        <f t="shared" si="0"/>
        <v>0</v>
      </c>
      <c r="H26" s="6">
        <f t="shared" si="0"/>
        <v>0</v>
      </c>
      <c r="I26" s="6">
        <f t="shared" si="0"/>
        <v>0</v>
      </c>
      <c r="J26" s="6">
        <f t="shared" si="0"/>
        <v>0</v>
      </c>
      <c r="K26" s="6">
        <f t="shared" si="0"/>
        <v>0</v>
      </c>
      <c r="L26" s="6">
        <f t="shared" si="0"/>
        <v>0</v>
      </c>
      <c r="M26" s="6">
        <f t="shared" si="0"/>
        <v>0</v>
      </c>
      <c r="N26" s="19">
        <f>IF(C26="","",SUM(D26:M26))</f>
        <v>0</v>
      </c>
    </row>
    <row r="27" spans="1:14" ht="15.6" x14ac:dyDescent="0.3">
      <c r="A27" s="33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CITÓ</v>
      </c>
      <c r="D27" s="6">
        <f t="shared" si="0"/>
        <v>0</v>
      </c>
      <c r="E27" s="6">
        <f t="shared" si="0"/>
        <v>0</v>
      </c>
      <c r="F27" s="8">
        <f t="shared" si="0"/>
        <v>0</v>
      </c>
      <c r="G27" s="6">
        <f t="shared" si="0"/>
        <v>0</v>
      </c>
      <c r="H27" s="8">
        <f t="shared" si="0"/>
        <v>0</v>
      </c>
      <c r="I27" s="6">
        <f t="shared" si="0"/>
        <v>0</v>
      </c>
      <c r="J27" s="8">
        <f t="shared" si="0"/>
        <v>0</v>
      </c>
      <c r="K27" s="6">
        <f t="shared" si="0"/>
        <v>0</v>
      </c>
      <c r="L27" s="8">
        <f t="shared" si="0"/>
        <v>0</v>
      </c>
      <c r="M27" s="6">
        <f t="shared" si="0"/>
        <v>0</v>
      </c>
      <c r="N27" s="19">
        <f t="shared" ref="N27:N90" si="1">IF(C27="","",SUM(D27:M27))</f>
        <v>0</v>
      </c>
    </row>
    <row r="28" spans="1:14" ht="15.6" x14ac:dyDescent="0.3">
      <c r="A28" s="33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ARTHUR CITÓ</v>
      </c>
      <c r="D28" s="6">
        <f t="shared" si="0"/>
        <v>0</v>
      </c>
      <c r="E28" s="6">
        <f t="shared" si="0"/>
        <v>0</v>
      </c>
      <c r="F28" s="8">
        <f t="shared" si="0"/>
        <v>0</v>
      </c>
      <c r="G28" s="6">
        <f t="shared" si="0"/>
        <v>0</v>
      </c>
      <c r="H28" s="8">
        <f t="shared" si="0"/>
        <v>0</v>
      </c>
      <c r="I28" s="6">
        <f t="shared" si="0"/>
        <v>0</v>
      </c>
      <c r="J28" s="8">
        <f t="shared" si="0"/>
        <v>0</v>
      </c>
      <c r="K28" s="6">
        <f t="shared" si="0"/>
        <v>0</v>
      </c>
      <c r="L28" s="8">
        <f t="shared" si="0"/>
        <v>0</v>
      </c>
      <c r="M28" s="6">
        <f t="shared" si="0"/>
        <v>0</v>
      </c>
      <c r="N28" s="19">
        <f t="shared" si="1"/>
        <v>0</v>
      </c>
    </row>
    <row r="29" spans="1:14" ht="15.6" x14ac:dyDescent="0.3">
      <c r="A29" s="33">
        <v>4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6" t="str">
        <f t="shared" si="0"/>
        <v/>
      </c>
      <c r="E29" s="6" t="str">
        <f t="shared" si="0"/>
        <v/>
      </c>
      <c r="F29" s="8" t="str">
        <f t="shared" si="0"/>
        <v/>
      </c>
      <c r="G29" s="6" t="str">
        <f t="shared" si="0"/>
        <v/>
      </c>
      <c r="H29" s="8" t="str">
        <f t="shared" si="0"/>
        <v/>
      </c>
      <c r="I29" s="6" t="str">
        <f t="shared" si="0"/>
        <v/>
      </c>
      <c r="J29" s="8" t="str">
        <f t="shared" si="0"/>
        <v/>
      </c>
      <c r="K29" s="6" t="str">
        <f t="shared" si="0"/>
        <v/>
      </c>
      <c r="L29" s="8" t="str">
        <f t="shared" si="0"/>
        <v/>
      </c>
      <c r="M29" s="6" t="str">
        <f t="shared" si="0"/>
        <v/>
      </c>
      <c r="N29" s="19" t="str">
        <f t="shared" si="1"/>
        <v/>
      </c>
    </row>
    <row r="30" spans="1:14" ht="15.6" x14ac:dyDescent="0.3">
      <c r="A30" s="33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6" t="str">
        <f t="shared" si="0"/>
        <v/>
      </c>
      <c r="E30" s="6" t="str">
        <f t="shared" si="0"/>
        <v/>
      </c>
      <c r="F30" s="8" t="str">
        <f t="shared" si="0"/>
        <v/>
      </c>
      <c r="G30" s="6" t="str">
        <f t="shared" si="0"/>
        <v/>
      </c>
      <c r="H30" s="8" t="str">
        <f t="shared" si="0"/>
        <v/>
      </c>
      <c r="I30" s="6" t="str">
        <f t="shared" si="0"/>
        <v/>
      </c>
      <c r="J30" s="8" t="str">
        <f t="shared" si="0"/>
        <v/>
      </c>
      <c r="K30" s="6" t="str">
        <f t="shared" si="0"/>
        <v/>
      </c>
      <c r="L30" s="8" t="str">
        <f t="shared" si="0"/>
        <v/>
      </c>
      <c r="M30" s="6" t="str">
        <f t="shared" si="0"/>
        <v/>
      </c>
      <c r="N30" s="19" t="str">
        <f t="shared" si="1"/>
        <v/>
      </c>
    </row>
    <row r="31" spans="1:14" ht="15.6" x14ac:dyDescent="0.3">
      <c r="A31" s="33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6" t="str">
        <f t="shared" si="0"/>
        <v/>
      </c>
      <c r="E31" s="6" t="str">
        <f t="shared" si="0"/>
        <v/>
      </c>
      <c r="F31" s="8" t="str">
        <f t="shared" si="0"/>
        <v/>
      </c>
      <c r="G31" s="6" t="str">
        <f t="shared" si="0"/>
        <v/>
      </c>
      <c r="H31" s="8" t="str">
        <f t="shared" si="0"/>
        <v/>
      </c>
      <c r="I31" s="6" t="str">
        <f t="shared" si="0"/>
        <v/>
      </c>
      <c r="J31" s="8" t="str">
        <f t="shared" si="0"/>
        <v/>
      </c>
      <c r="K31" s="6" t="str">
        <f t="shared" si="0"/>
        <v/>
      </c>
      <c r="L31" s="8" t="str">
        <f t="shared" si="0"/>
        <v/>
      </c>
      <c r="M31" s="6" t="str">
        <f t="shared" si="0"/>
        <v/>
      </c>
      <c r="N31" s="19" t="str">
        <f t="shared" si="1"/>
        <v/>
      </c>
    </row>
    <row r="32" spans="1:14" ht="15.6" x14ac:dyDescent="0.3">
      <c r="A32" s="33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6" t="str">
        <f t="shared" si="0"/>
        <v/>
      </c>
      <c r="E32" s="6" t="str">
        <f t="shared" si="0"/>
        <v/>
      </c>
      <c r="F32" s="8" t="str">
        <f t="shared" si="0"/>
        <v/>
      </c>
      <c r="G32" s="6" t="str">
        <f t="shared" si="0"/>
        <v/>
      </c>
      <c r="H32" s="8" t="str">
        <f t="shared" si="0"/>
        <v/>
      </c>
      <c r="I32" s="6" t="str">
        <f t="shared" si="0"/>
        <v/>
      </c>
      <c r="J32" s="8" t="str">
        <f t="shared" si="0"/>
        <v/>
      </c>
      <c r="K32" s="6" t="str">
        <f t="shared" si="0"/>
        <v/>
      </c>
      <c r="L32" s="8" t="str">
        <f t="shared" si="0"/>
        <v/>
      </c>
      <c r="M32" s="6" t="str">
        <f t="shared" si="0"/>
        <v/>
      </c>
      <c r="N32" s="19" t="str">
        <f t="shared" si="1"/>
        <v/>
      </c>
    </row>
    <row r="33" spans="1:14" ht="15.6" x14ac:dyDescent="0.3">
      <c r="A33" s="33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6" t="str">
        <f t="shared" si="0"/>
        <v/>
      </c>
      <c r="E33" s="6" t="str">
        <f t="shared" si="0"/>
        <v/>
      </c>
      <c r="F33" s="8" t="str">
        <f t="shared" si="0"/>
        <v/>
      </c>
      <c r="G33" s="6" t="str">
        <f t="shared" si="0"/>
        <v/>
      </c>
      <c r="H33" s="8" t="str">
        <f t="shared" si="0"/>
        <v/>
      </c>
      <c r="I33" s="6" t="str">
        <f t="shared" si="0"/>
        <v/>
      </c>
      <c r="J33" s="8" t="str">
        <f t="shared" si="0"/>
        <v/>
      </c>
      <c r="K33" s="6" t="str">
        <f t="shared" si="0"/>
        <v/>
      </c>
      <c r="L33" s="8" t="str">
        <f t="shared" si="0"/>
        <v/>
      </c>
      <c r="M33" s="6" t="str">
        <f t="shared" si="0"/>
        <v/>
      </c>
      <c r="N33" s="19" t="str">
        <f t="shared" si="1"/>
        <v/>
      </c>
    </row>
    <row r="34" spans="1:14" ht="15.6" x14ac:dyDescent="0.3">
      <c r="A34" s="33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6" t="str">
        <f t="shared" si="0"/>
        <v/>
      </c>
      <c r="E34" s="6" t="str">
        <f t="shared" si="0"/>
        <v/>
      </c>
      <c r="F34" s="8" t="str">
        <f t="shared" si="0"/>
        <v/>
      </c>
      <c r="G34" s="6" t="str">
        <f t="shared" si="0"/>
        <v/>
      </c>
      <c r="H34" s="8" t="str">
        <f t="shared" si="0"/>
        <v/>
      </c>
      <c r="I34" s="6" t="str">
        <f t="shared" si="0"/>
        <v/>
      </c>
      <c r="J34" s="8" t="str">
        <f t="shared" si="0"/>
        <v/>
      </c>
      <c r="K34" s="6" t="str">
        <f t="shared" si="0"/>
        <v/>
      </c>
      <c r="L34" s="8" t="str">
        <f t="shared" si="0"/>
        <v/>
      </c>
      <c r="M34" s="6" t="str">
        <f t="shared" si="0"/>
        <v/>
      </c>
      <c r="N34" s="19" t="str">
        <f t="shared" si="1"/>
        <v/>
      </c>
    </row>
    <row r="35" spans="1:14" ht="15.6" x14ac:dyDescent="0.3">
      <c r="A35" s="33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6" t="str">
        <f t="shared" si="0"/>
        <v/>
      </c>
      <c r="E35" s="6" t="str">
        <f t="shared" si="0"/>
        <v/>
      </c>
      <c r="F35" s="8" t="str">
        <f t="shared" si="0"/>
        <v/>
      </c>
      <c r="G35" s="6" t="str">
        <f t="shared" si="0"/>
        <v/>
      </c>
      <c r="H35" s="8" t="str">
        <f t="shared" si="0"/>
        <v/>
      </c>
      <c r="I35" s="6" t="str">
        <f t="shared" si="0"/>
        <v/>
      </c>
      <c r="J35" s="8" t="str">
        <f t="shared" si="0"/>
        <v/>
      </c>
      <c r="K35" s="6" t="str">
        <f t="shared" si="0"/>
        <v/>
      </c>
      <c r="L35" s="8" t="str">
        <f t="shared" si="0"/>
        <v/>
      </c>
      <c r="M35" s="6" t="str">
        <f t="shared" si="0"/>
        <v/>
      </c>
      <c r="N35" s="19" t="str">
        <f t="shared" si="1"/>
        <v/>
      </c>
    </row>
    <row r="36" spans="1:14" ht="15.6" x14ac:dyDescent="0.3">
      <c r="A36" s="33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6" t="str">
        <f t="shared" si="0"/>
        <v/>
      </c>
      <c r="E36" s="6" t="str">
        <f t="shared" si="0"/>
        <v/>
      </c>
      <c r="F36" s="8" t="str">
        <f t="shared" si="0"/>
        <v/>
      </c>
      <c r="G36" s="6" t="str">
        <f t="shared" si="0"/>
        <v/>
      </c>
      <c r="H36" s="8" t="str">
        <f t="shared" si="0"/>
        <v/>
      </c>
      <c r="I36" s="6" t="str">
        <f t="shared" si="0"/>
        <v/>
      </c>
      <c r="J36" s="8" t="str">
        <f t="shared" si="0"/>
        <v/>
      </c>
      <c r="K36" s="6" t="str">
        <f t="shared" si="0"/>
        <v/>
      </c>
      <c r="L36" s="8" t="str">
        <f t="shared" si="0"/>
        <v/>
      </c>
      <c r="M36" s="6" t="str">
        <f t="shared" si="0"/>
        <v/>
      </c>
      <c r="N36" s="19" t="str">
        <f t="shared" si="1"/>
        <v/>
      </c>
    </row>
    <row r="37" spans="1:14" ht="15.6" x14ac:dyDescent="0.3">
      <c r="A37" s="33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6" t="str">
        <f t="shared" si="0"/>
        <v/>
      </c>
      <c r="E37" s="6" t="str">
        <f t="shared" si="0"/>
        <v/>
      </c>
      <c r="F37" s="8" t="str">
        <f t="shared" si="0"/>
        <v/>
      </c>
      <c r="G37" s="6" t="str">
        <f t="shared" si="0"/>
        <v/>
      </c>
      <c r="H37" s="8" t="str">
        <f t="shared" si="0"/>
        <v/>
      </c>
      <c r="I37" s="6" t="str">
        <f t="shared" si="0"/>
        <v/>
      </c>
      <c r="J37" s="8" t="str">
        <f t="shared" si="0"/>
        <v/>
      </c>
      <c r="K37" s="6" t="str">
        <f t="shared" si="0"/>
        <v/>
      </c>
      <c r="L37" s="8" t="str">
        <f t="shared" si="0"/>
        <v/>
      </c>
      <c r="M37" s="6" t="str">
        <f t="shared" si="0"/>
        <v/>
      </c>
      <c r="N37" s="19" t="str">
        <f t="shared" si="1"/>
        <v/>
      </c>
    </row>
    <row r="38" spans="1:14" ht="15.6" x14ac:dyDescent="0.3">
      <c r="A38" s="33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6" t="str">
        <f t="shared" si="0"/>
        <v/>
      </c>
      <c r="E38" s="6" t="str">
        <f t="shared" si="0"/>
        <v/>
      </c>
      <c r="F38" s="8" t="str">
        <f t="shared" si="0"/>
        <v/>
      </c>
      <c r="G38" s="6" t="str">
        <f t="shared" si="0"/>
        <v/>
      </c>
      <c r="H38" s="8" t="str">
        <f t="shared" si="0"/>
        <v/>
      </c>
      <c r="I38" s="6" t="str">
        <f t="shared" si="0"/>
        <v/>
      </c>
      <c r="J38" s="8" t="str">
        <f t="shared" si="0"/>
        <v/>
      </c>
      <c r="K38" s="6" t="str">
        <f t="shared" si="0"/>
        <v/>
      </c>
      <c r="L38" s="8" t="str">
        <f t="shared" si="0"/>
        <v/>
      </c>
      <c r="M38" s="6" t="str">
        <f t="shared" si="0"/>
        <v/>
      </c>
      <c r="N38" s="19" t="str">
        <f t="shared" si="1"/>
        <v/>
      </c>
    </row>
    <row r="39" spans="1:14" ht="15.6" x14ac:dyDescent="0.3">
      <c r="A39" s="33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6" t="str">
        <f t="shared" si="0"/>
        <v/>
      </c>
      <c r="E39" s="6" t="str">
        <f t="shared" si="0"/>
        <v/>
      </c>
      <c r="F39" s="8" t="str">
        <f t="shared" si="0"/>
        <v/>
      </c>
      <c r="G39" s="6" t="str">
        <f t="shared" si="0"/>
        <v/>
      </c>
      <c r="H39" s="8" t="str">
        <f t="shared" si="0"/>
        <v/>
      </c>
      <c r="I39" s="6" t="str">
        <f t="shared" si="0"/>
        <v/>
      </c>
      <c r="J39" s="8" t="str">
        <f t="shared" si="0"/>
        <v/>
      </c>
      <c r="K39" s="6" t="str">
        <f t="shared" si="0"/>
        <v/>
      </c>
      <c r="L39" s="8" t="str">
        <f t="shared" si="0"/>
        <v/>
      </c>
      <c r="M39" s="6" t="str">
        <f t="shared" si="0"/>
        <v/>
      </c>
      <c r="N39" s="19" t="str">
        <f t="shared" si="1"/>
        <v/>
      </c>
    </row>
    <row r="40" spans="1:14" ht="15.6" x14ac:dyDescent="0.3">
      <c r="A40" s="33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6" t="str">
        <f t="shared" si="0"/>
        <v/>
      </c>
      <c r="E40" s="6" t="str">
        <f t="shared" si="0"/>
        <v/>
      </c>
      <c r="F40" s="8" t="str">
        <f t="shared" si="0"/>
        <v/>
      </c>
      <c r="G40" s="6" t="str">
        <f t="shared" si="0"/>
        <v/>
      </c>
      <c r="H40" s="8" t="str">
        <f t="shared" si="0"/>
        <v/>
      </c>
      <c r="I40" s="6" t="str">
        <f t="shared" si="0"/>
        <v/>
      </c>
      <c r="J40" s="8" t="str">
        <f t="shared" si="0"/>
        <v/>
      </c>
      <c r="K40" s="6" t="str">
        <f t="shared" si="0"/>
        <v/>
      </c>
      <c r="L40" s="8" t="str">
        <f t="shared" si="0"/>
        <v/>
      </c>
      <c r="M40" s="6" t="str">
        <f t="shared" si="0"/>
        <v/>
      </c>
      <c r="N40" s="19" t="str">
        <f t="shared" si="1"/>
        <v/>
      </c>
    </row>
    <row r="41" spans="1:14" ht="15.6" x14ac:dyDescent="0.3">
      <c r="A41" s="33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6" t="str">
        <f t="shared" si="0"/>
        <v/>
      </c>
      <c r="E41" s="6" t="str">
        <f t="shared" si="0"/>
        <v/>
      </c>
      <c r="F41" s="8" t="str">
        <f t="shared" si="0"/>
        <v/>
      </c>
      <c r="G41" s="6" t="str">
        <f t="shared" si="0"/>
        <v/>
      </c>
      <c r="H41" s="8" t="str">
        <f t="shared" si="0"/>
        <v/>
      </c>
      <c r="I41" s="6" t="str">
        <f t="shared" si="0"/>
        <v/>
      </c>
      <c r="J41" s="8" t="str">
        <f t="shared" si="0"/>
        <v/>
      </c>
      <c r="K41" s="6" t="str">
        <f t="shared" si="0"/>
        <v/>
      </c>
      <c r="L41" s="8" t="str">
        <f t="shared" si="0"/>
        <v/>
      </c>
      <c r="M41" s="6" t="str">
        <f t="shared" si="0"/>
        <v/>
      </c>
      <c r="N41" s="19" t="str">
        <f t="shared" si="1"/>
        <v/>
      </c>
    </row>
    <row r="42" spans="1:14" ht="15.6" x14ac:dyDescent="0.3">
      <c r="A42" s="33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6" t="str">
        <f t="shared" ref="D42:M67" si="2">IF($C42="","",0)</f>
        <v/>
      </c>
      <c r="E42" s="6" t="str">
        <f t="shared" si="2"/>
        <v/>
      </c>
      <c r="F42" s="8" t="str">
        <f t="shared" si="2"/>
        <v/>
      </c>
      <c r="G42" s="6" t="str">
        <f t="shared" si="2"/>
        <v/>
      </c>
      <c r="H42" s="8" t="str">
        <f t="shared" si="2"/>
        <v/>
      </c>
      <c r="I42" s="6" t="str">
        <f t="shared" si="2"/>
        <v/>
      </c>
      <c r="J42" s="8" t="str">
        <f t="shared" si="2"/>
        <v/>
      </c>
      <c r="K42" s="6" t="str">
        <f t="shared" si="2"/>
        <v/>
      </c>
      <c r="L42" s="8" t="str">
        <f t="shared" si="2"/>
        <v/>
      </c>
      <c r="M42" s="6" t="str">
        <f t="shared" si="2"/>
        <v/>
      </c>
      <c r="N42" s="19" t="str">
        <f t="shared" si="1"/>
        <v/>
      </c>
    </row>
    <row r="43" spans="1:14" ht="15.6" x14ac:dyDescent="0.3">
      <c r="A43" s="33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6" t="str">
        <f t="shared" si="2"/>
        <v/>
      </c>
      <c r="E43" s="6" t="str">
        <f t="shared" si="2"/>
        <v/>
      </c>
      <c r="F43" s="8" t="str">
        <f t="shared" si="2"/>
        <v/>
      </c>
      <c r="G43" s="6" t="str">
        <f t="shared" si="2"/>
        <v/>
      </c>
      <c r="H43" s="8" t="str">
        <f t="shared" si="2"/>
        <v/>
      </c>
      <c r="I43" s="6" t="str">
        <f t="shared" si="2"/>
        <v/>
      </c>
      <c r="J43" s="8" t="str">
        <f t="shared" si="2"/>
        <v/>
      </c>
      <c r="K43" s="6" t="str">
        <f t="shared" si="2"/>
        <v/>
      </c>
      <c r="L43" s="8" t="str">
        <f t="shared" si="2"/>
        <v/>
      </c>
      <c r="M43" s="6" t="str">
        <f t="shared" si="2"/>
        <v/>
      </c>
      <c r="N43" s="19" t="str">
        <f t="shared" si="1"/>
        <v/>
      </c>
    </row>
    <row r="44" spans="1:14" ht="15.6" x14ac:dyDescent="0.3">
      <c r="A44" s="33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6" t="str">
        <f t="shared" si="2"/>
        <v/>
      </c>
      <c r="E44" s="6" t="str">
        <f t="shared" si="2"/>
        <v/>
      </c>
      <c r="F44" s="8" t="str">
        <f t="shared" si="2"/>
        <v/>
      </c>
      <c r="G44" s="6" t="str">
        <f t="shared" si="2"/>
        <v/>
      </c>
      <c r="H44" s="8" t="str">
        <f t="shared" si="2"/>
        <v/>
      </c>
      <c r="I44" s="6" t="str">
        <f t="shared" si="2"/>
        <v/>
      </c>
      <c r="J44" s="8" t="str">
        <f t="shared" si="2"/>
        <v/>
      </c>
      <c r="K44" s="6" t="str">
        <f t="shared" si="2"/>
        <v/>
      </c>
      <c r="L44" s="8" t="str">
        <f t="shared" si="2"/>
        <v/>
      </c>
      <c r="M44" s="6" t="str">
        <f t="shared" si="2"/>
        <v/>
      </c>
      <c r="N44" s="19" t="str">
        <f t="shared" si="1"/>
        <v/>
      </c>
    </row>
    <row r="45" spans="1:14" ht="15.6" x14ac:dyDescent="0.3">
      <c r="A45" s="33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6" t="str">
        <f t="shared" si="2"/>
        <v/>
      </c>
      <c r="E45" s="6" t="str">
        <f t="shared" si="2"/>
        <v/>
      </c>
      <c r="F45" s="8" t="str">
        <f t="shared" si="2"/>
        <v/>
      </c>
      <c r="G45" s="6" t="str">
        <f t="shared" si="2"/>
        <v/>
      </c>
      <c r="H45" s="8" t="str">
        <f t="shared" si="2"/>
        <v/>
      </c>
      <c r="I45" s="6" t="str">
        <f t="shared" si="2"/>
        <v/>
      </c>
      <c r="J45" s="8" t="str">
        <f t="shared" si="2"/>
        <v/>
      </c>
      <c r="K45" s="6" t="str">
        <f t="shared" si="2"/>
        <v/>
      </c>
      <c r="L45" s="8" t="str">
        <f t="shared" si="2"/>
        <v/>
      </c>
      <c r="M45" s="6" t="str">
        <f t="shared" si="2"/>
        <v/>
      </c>
      <c r="N45" s="19" t="str">
        <f t="shared" si="1"/>
        <v/>
      </c>
    </row>
    <row r="46" spans="1:14" ht="15.6" x14ac:dyDescent="0.3">
      <c r="A46" s="33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6" t="str">
        <f t="shared" si="2"/>
        <v/>
      </c>
      <c r="E46" s="6" t="str">
        <f t="shared" si="2"/>
        <v/>
      </c>
      <c r="F46" s="8" t="str">
        <f t="shared" si="2"/>
        <v/>
      </c>
      <c r="G46" s="6" t="str">
        <f t="shared" si="2"/>
        <v/>
      </c>
      <c r="H46" s="8" t="str">
        <f t="shared" si="2"/>
        <v/>
      </c>
      <c r="I46" s="6" t="str">
        <f t="shared" si="2"/>
        <v/>
      </c>
      <c r="J46" s="8" t="str">
        <f t="shared" si="2"/>
        <v/>
      </c>
      <c r="K46" s="6" t="str">
        <f t="shared" si="2"/>
        <v/>
      </c>
      <c r="L46" s="8" t="str">
        <f t="shared" si="2"/>
        <v/>
      </c>
      <c r="M46" s="6" t="str">
        <f t="shared" si="2"/>
        <v/>
      </c>
      <c r="N46" s="19" t="str">
        <f t="shared" si="1"/>
        <v/>
      </c>
    </row>
    <row r="47" spans="1:14" ht="15.6" x14ac:dyDescent="0.3">
      <c r="A47" s="33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6" t="str">
        <f t="shared" si="2"/>
        <v/>
      </c>
      <c r="E47" s="6" t="str">
        <f t="shared" si="2"/>
        <v/>
      </c>
      <c r="F47" s="8" t="str">
        <f t="shared" si="2"/>
        <v/>
      </c>
      <c r="G47" s="6" t="str">
        <f t="shared" si="2"/>
        <v/>
      </c>
      <c r="H47" s="8" t="str">
        <f t="shared" si="2"/>
        <v/>
      </c>
      <c r="I47" s="6" t="str">
        <f t="shared" si="2"/>
        <v/>
      </c>
      <c r="J47" s="8" t="str">
        <f t="shared" si="2"/>
        <v/>
      </c>
      <c r="K47" s="6" t="str">
        <f t="shared" si="2"/>
        <v/>
      </c>
      <c r="L47" s="8" t="str">
        <f t="shared" si="2"/>
        <v/>
      </c>
      <c r="M47" s="6" t="str">
        <f t="shared" si="2"/>
        <v/>
      </c>
      <c r="N47" s="19" t="str">
        <f t="shared" si="1"/>
        <v/>
      </c>
    </row>
    <row r="48" spans="1:14" ht="15.6" x14ac:dyDescent="0.3">
      <c r="A48" s="33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6" t="str">
        <f t="shared" si="2"/>
        <v/>
      </c>
      <c r="E48" s="6" t="str">
        <f t="shared" si="2"/>
        <v/>
      </c>
      <c r="F48" s="8" t="str">
        <f t="shared" si="2"/>
        <v/>
      </c>
      <c r="G48" s="6" t="str">
        <f t="shared" si="2"/>
        <v/>
      </c>
      <c r="H48" s="8" t="str">
        <f t="shared" si="2"/>
        <v/>
      </c>
      <c r="I48" s="6" t="str">
        <f t="shared" si="2"/>
        <v/>
      </c>
      <c r="J48" s="8" t="str">
        <f t="shared" si="2"/>
        <v/>
      </c>
      <c r="K48" s="6" t="str">
        <f t="shared" si="2"/>
        <v/>
      </c>
      <c r="L48" s="8" t="str">
        <f t="shared" si="2"/>
        <v/>
      </c>
      <c r="M48" s="6" t="str">
        <f t="shared" si="2"/>
        <v/>
      </c>
      <c r="N48" s="19" t="str">
        <f t="shared" si="1"/>
        <v/>
      </c>
    </row>
    <row r="49" spans="1:14" ht="15.6" x14ac:dyDescent="0.3">
      <c r="A49" s="33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6" t="str">
        <f t="shared" si="2"/>
        <v/>
      </c>
      <c r="E49" s="6" t="str">
        <f t="shared" si="2"/>
        <v/>
      </c>
      <c r="F49" s="8" t="str">
        <f t="shared" si="2"/>
        <v/>
      </c>
      <c r="G49" s="6" t="str">
        <f t="shared" si="2"/>
        <v/>
      </c>
      <c r="H49" s="8" t="str">
        <f t="shared" si="2"/>
        <v/>
      </c>
      <c r="I49" s="6" t="str">
        <f t="shared" si="2"/>
        <v/>
      </c>
      <c r="J49" s="8" t="str">
        <f t="shared" si="2"/>
        <v/>
      </c>
      <c r="K49" s="6" t="str">
        <f t="shared" si="2"/>
        <v/>
      </c>
      <c r="L49" s="8" t="str">
        <f t="shared" si="2"/>
        <v/>
      </c>
      <c r="M49" s="6" t="str">
        <f t="shared" si="2"/>
        <v/>
      </c>
      <c r="N49" s="19" t="str">
        <f t="shared" si="1"/>
        <v/>
      </c>
    </row>
    <row r="50" spans="1:14" ht="15.6" x14ac:dyDescent="0.3">
      <c r="A50" s="33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6" t="str">
        <f t="shared" si="2"/>
        <v/>
      </c>
      <c r="E50" s="6" t="str">
        <f t="shared" si="2"/>
        <v/>
      </c>
      <c r="F50" s="8" t="str">
        <f t="shared" si="2"/>
        <v/>
      </c>
      <c r="G50" s="6" t="str">
        <f t="shared" si="2"/>
        <v/>
      </c>
      <c r="H50" s="8" t="str">
        <f t="shared" si="2"/>
        <v/>
      </c>
      <c r="I50" s="6" t="str">
        <f t="shared" si="2"/>
        <v/>
      </c>
      <c r="J50" s="8" t="str">
        <f t="shared" si="2"/>
        <v/>
      </c>
      <c r="K50" s="6" t="str">
        <f t="shared" si="2"/>
        <v/>
      </c>
      <c r="L50" s="8" t="str">
        <f t="shared" si="2"/>
        <v/>
      </c>
      <c r="M50" s="6" t="str">
        <f t="shared" si="2"/>
        <v/>
      </c>
      <c r="N50" s="19" t="str">
        <f t="shared" si="1"/>
        <v/>
      </c>
    </row>
    <row r="51" spans="1:14" ht="15.6" x14ac:dyDescent="0.3">
      <c r="A51" s="33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6" t="str">
        <f t="shared" si="2"/>
        <v/>
      </c>
      <c r="E51" s="6" t="str">
        <f t="shared" si="2"/>
        <v/>
      </c>
      <c r="F51" s="8" t="str">
        <f t="shared" si="2"/>
        <v/>
      </c>
      <c r="G51" s="6" t="str">
        <f t="shared" si="2"/>
        <v/>
      </c>
      <c r="H51" s="8" t="str">
        <f t="shared" si="2"/>
        <v/>
      </c>
      <c r="I51" s="6" t="str">
        <f t="shared" si="2"/>
        <v/>
      </c>
      <c r="J51" s="8" t="str">
        <f t="shared" si="2"/>
        <v/>
      </c>
      <c r="K51" s="6" t="str">
        <f t="shared" si="2"/>
        <v/>
      </c>
      <c r="L51" s="8" t="str">
        <f t="shared" si="2"/>
        <v/>
      </c>
      <c r="M51" s="6" t="str">
        <f t="shared" si="2"/>
        <v/>
      </c>
      <c r="N51" s="19" t="str">
        <f t="shared" si="1"/>
        <v/>
      </c>
    </row>
    <row r="52" spans="1:14" ht="15.6" x14ac:dyDescent="0.3">
      <c r="A52" s="33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6" t="str">
        <f t="shared" si="2"/>
        <v/>
      </c>
      <c r="E52" s="6" t="str">
        <f t="shared" si="2"/>
        <v/>
      </c>
      <c r="F52" s="8" t="str">
        <f t="shared" si="2"/>
        <v/>
      </c>
      <c r="G52" s="6" t="str">
        <f t="shared" si="2"/>
        <v/>
      </c>
      <c r="H52" s="8" t="str">
        <f t="shared" si="2"/>
        <v/>
      </c>
      <c r="I52" s="6" t="str">
        <f t="shared" si="2"/>
        <v/>
      </c>
      <c r="J52" s="8" t="str">
        <f t="shared" si="2"/>
        <v/>
      </c>
      <c r="K52" s="6" t="str">
        <f t="shared" si="2"/>
        <v/>
      </c>
      <c r="L52" s="8" t="str">
        <f t="shared" si="2"/>
        <v/>
      </c>
      <c r="M52" s="6" t="str">
        <f t="shared" si="2"/>
        <v/>
      </c>
      <c r="N52" s="19" t="str">
        <f t="shared" si="1"/>
        <v/>
      </c>
    </row>
    <row r="53" spans="1:14" ht="15.6" x14ac:dyDescent="0.3">
      <c r="A53" s="33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6" t="str">
        <f t="shared" si="2"/>
        <v/>
      </c>
      <c r="E53" s="6" t="str">
        <f t="shared" si="2"/>
        <v/>
      </c>
      <c r="F53" s="8" t="str">
        <f t="shared" si="2"/>
        <v/>
      </c>
      <c r="G53" s="6" t="str">
        <f t="shared" si="2"/>
        <v/>
      </c>
      <c r="H53" s="8" t="str">
        <f t="shared" si="2"/>
        <v/>
      </c>
      <c r="I53" s="6" t="str">
        <f t="shared" si="2"/>
        <v/>
      </c>
      <c r="J53" s="8" t="str">
        <f t="shared" si="2"/>
        <v/>
      </c>
      <c r="K53" s="6" t="str">
        <f t="shared" si="2"/>
        <v/>
      </c>
      <c r="L53" s="8" t="str">
        <f t="shared" si="2"/>
        <v/>
      </c>
      <c r="M53" s="6" t="str">
        <f t="shared" si="2"/>
        <v/>
      </c>
      <c r="N53" s="19" t="str">
        <f t="shared" si="1"/>
        <v/>
      </c>
    </row>
    <row r="54" spans="1:14" ht="15.6" x14ac:dyDescent="0.3">
      <c r="A54" s="33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6" t="str">
        <f t="shared" si="2"/>
        <v/>
      </c>
      <c r="E54" s="6" t="str">
        <f t="shared" si="2"/>
        <v/>
      </c>
      <c r="F54" s="33" t="str">
        <f t="shared" si="2"/>
        <v/>
      </c>
      <c r="G54" s="33" t="str">
        <f t="shared" si="2"/>
        <v/>
      </c>
      <c r="H54" s="33" t="str">
        <f t="shared" si="2"/>
        <v/>
      </c>
      <c r="I54" s="33" t="str">
        <f t="shared" si="2"/>
        <v/>
      </c>
      <c r="J54" s="33" t="str">
        <f t="shared" si="2"/>
        <v/>
      </c>
      <c r="K54" s="33" t="str">
        <f t="shared" si="2"/>
        <v/>
      </c>
      <c r="L54" s="33" t="str">
        <f t="shared" si="2"/>
        <v/>
      </c>
      <c r="M54" s="33" t="str">
        <f t="shared" si="2"/>
        <v/>
      </c>
      <c r="N54" s="19" t="str">
        <f t="shared" si="1"/>
        <v/>
      </c>
    </row>
    <row r="55" spans="1:14" ht="15.6" x14ac:dyDescent="0.3">
      <c r="A55" s="33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6" t="str">
        <f t="shared" si="2"/>
        <v/>
      </c>
      <c r="E55" s="6" t="str">
        <f t="shared" si="2"/>
        <v/>
      </c>
      <c r="F55" s="33" t="str">
        <f t="shared" si="2"/>
        <v/>
      </c>
      <c r="G55" s="33" t="str">
        <f t="shared" si="2"/>
        <v/>
      </c>
      <c r="H55" s="33" t="str">
        <f t="shared" si="2"/>
        <v/>
      </c>
      <c r="I55" s="33" t="str">
        <f t="shared" si="2"/>
        <v/>
      </c>
      <c r="J55" s="33" t="str">
        <f t="shared" si="2"/>
        <v/>
      </c>
      <c r="K55" s="33" t="str">
        <f t="shared" si="2"/>
        <v/>
      </c>
      <c r="L55" s="33" t="str">
        <f t="shared" si="2"/>
        <v/>
      </c>
      <c r="M55" s="33" t="str">
        <f t="shared" si="2"/>
        <v/>
      </c>
      <c r="N55" s="19" t="str">
        <f t="shared" si="1"/>
        <v/>
      </c>
    </row>
    <row r="56" spans="1:14" ht="15.6" x14ac:dyDescent="0.3">
      <c r="A56" s="33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6" t="str">
        <f t="shared" si="2"/>
        <v/>
      </c>
      <c r="E56" s="6" t="str">
        <f t="shared" si="2"/>
        <v/>
      </c>
      <c r="F56" s="33" t="str">
        <f t="shared" si="2"/>
        <v/>
      </c>
      <c r="G56" s="33" t="str">
        <f t="shared" si="2"/>
        <v/>
      </c>
      <c r="H56" s="33" t="str">
        <f t="shared" si="2"/>
        <v/>
      </c>
      <c r="I56" s="33" t="str">
        <f t="shared" si="2"/>
        <v/>
      </c>
      <c r="J56" s="33" t="str">
        <f t="shared" si="2"/>
        <v/>
      </c>
      <c r="K56" s="33" t="str">
        <f t="shared" si="2"/>
        <v/>
      </c>
      <c r="L56" s="33" t="str">
        <f t="shared" si="2"/>
        <v/>
      </c>
      <c r="M56" s="33" t="str">
        <f t="shared" si="2"/>
        <v/>
      </c>
      <c r="N56" s="19" t="str">
        <f t="shared" si="1"/>
        <v/>
      </c>
    </row>
    <row r="57" spans="1:14" ht="15.6" x14ac:dyDescent="0.3">
      <c r="A57" s="33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6" t="str">
        <f t="shared" si="2"/>
        <v/>
      </c>
      <c r="E57" s="6" t="str">
        <f t="shared" si="2"/>
        <v/>
      </c>
      <c r="F57" s="33" t="str">
        <f t="shared" si="2"/>
        <v/>
      </c>
      <c r="G57" s="33" t="str">
        <f t="shared" si="2"/>
        <v/>
      </c>
      <c r="H57" s="33" t="str">
        <f t="shared" si="2"/>
        <v/>
      </c>
      <c r="I57" s="33" t="str">
        <f t="shared" si="2"/>
        <v/>
      </c>
      <c r="J57" s="33" t="str">
        <f t="shared" si="2"/>
        <v/>
      </c>
      <c r="K57" s="33" t="str">
        <f t="shared" si="2"/>
        <v/>
      </c>
      <c r="L57" s="33" t="str">
        <f t="shared" si="2"/>
        <v/>
      </c>
      <c r="M57" s="33" t="str">
        <f t="shared" si="2"/>
        <v/>
      </c>
      <c r="N57" s="19" t="str">
        <f t="shared" si="1"/>
        <v/>
      </c>
    </row>
    <row r="58" spans="1:14" ht="15.6" x14ac:dyDescent="0.3">
      <c r="A58" s="33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6" t="str">
        <f t="shared" si="2"/>
        <v/>
      </c>
      <c r="E58" s="6" t="str">
        <f t="shared" si="2"/>
        <v/>
      </c>
      <c r="F58" s="33" t="str">
        <f t="shared" si="2"/>
        <v/>
      </c>
      <c r="G58" s="33" t="str">
        <f t="shared" si="2"/>
        <v/>
      </c>
      <c r="H58" s="33" t="str">
        <f t="shared" si="2"/>
        <v/>
      </c>
      <c r="I58" s="33" t="str">
        <f t="shared" si="2"/>
        <v/>
      </c>
      <c r="J58" s="33" t="str">
        <f t="shared" si="2"/>
        <v/>
      </c>
      <c r="K58" s="33" t="str">
        <f t="shared" si="2"/>
        <v/>
      </c>
      <c r="L58" s="33" t="str">
        <f t="shared" si="2"/>
        <v/>
      </c>
      <c r="M58" s="33" t="str">
        <f t="shared" si="2"/>
        <v/>
      </c>
      <c r="N58" s="19" t="str">
        <f t="shared" si="1"/>
        <v/>
      </c>
    </row>
    <row r="59" spans="1:14" ht="15.6" x14ac:dyDescent="0.3">
      <c r="A59" s="33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6" t="str">
        <f t="shared" si="2"/>
        <v/>
      </c>
      <c r="E59" s="6" t="str">
        <f t="shared" si="2"/>
        <v/>
      </c>
      <c r="F59" s="33" t="str">
        <f t="shared" si="2"/>
        <v/>
      </c>
      <c r="G59" s="33" t="str">
        <f t="shared" si="2"/>
        <v/>
      </c>
      <c r="H59" s="33" t="str">
        <f t="shared" si="2"/>
        <v/>
      </c>
      <c r="I59" s="33" t="str">
        <f t="shared" si="2"/>
        <v/>
      </c>
      <c r="J59" s="33" t="str">
        <f t="shared" si="2"/>
        <v/>
      </c>
      <c r="K59" s="33" t="str">
        <f t="shared" si="2"/>
        <v/>
      </c>
      <c r="L59" s="33" t="str">
        <f t="shared" si="2"/>
        <v/>
      </c>
      <c r="M59" s="33" t="str">
        <f t="shared" si="2"/>
        <v/>
      </c>
      <c r="N59" s="19" t="str">
        <f t="shared" si="1"/>
        <v/>
      </c>
    </row>
    <row r="60" spans="1:14" ht="15.6" x14ac:dyDescent="0.3">
      <c r="A60" s="33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6" t="str">
        <f t="shared" si="2"/>
        <v/>
      </c>
      <c r="E60" s="6" t="str">
        <f t="shared" si="2"/>
        <v/>
      </c>
      <c r="F60" s="33" t="str">
        <f t="shared" si="2"/>
        <v/>
      </c>
      <c r="G60" s="33" t="str">
        <f t="shared" si="2"/>
        <v/>
      </c>
      <c r="H60" s="33" t="str">
        <f t="shared" si="2"/>
        <v/>
      </c>
      <c r="I60" s="33" t="str">
        <f t="shared" si="2"/>
        <v/>
      </c>
      <c r="J60" s="33" t="str">
        <f t="shared" si="2"/>
        <v/>
      </c>
      <c r="K60" s="33" t="str">
        <f t="shared" si="2"/>
        <v/>
      </c>
      <c r="L60" s="33" t="str">
        <f t="shared" si="2"/>
        <v/>
      </c>
      <c r="M60" s="33" t="str">
        <f t="shared" si="2"/>
        <v/>
      </c>
      <c r="N60" s="19" t="str">
        <f t="shared" si="1"/>
        <v/>
      </c>
    </row>
    <row r="61" spans="1:14" ht="15.6" x14ac:dyDescent="0.3">
      <c r="A61" s="33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6" t="str">
        <f t="shared" si="2"/>
        <v/>
      </c>
      <c r="E61" s="6" t="str">
        <f t="shared" si="2"/>
        <v/>
      </c>
      <c r="F61" s="33" t="str">
        <f t="shared" si="2"/>
        <v/>
      </c>
      <c r="G61" s="33" t="str">
        <f t="shared" si="2"/>
        <v/>
      </c>
      <c r="H61" s="33" t="str">
        <f t="shared" si="2"/>
        <v/>
      </c>
      <c r="I61" s="33" t="str">
        <f t="shared" si="2"/>
        <v/>
      </c>
      <c r="J61" s="33" t="str">
        <f t="shared" si="2"/>
        <v/>
      </c>
      <c r="K61" s="33" t="str">
        <f t="shared" si="2"/>
        <v/>
      </c>
      <c r="L61" s="33" t="str">
        <f t="shared" si="2"/>
        <v/>
      </c>
      <c r="M61" s="33" t="str">
        <f t="shared" si="2"/>
        <v/>
      </c>
      <c r="N61" s="19" t="str">
        <f t="shared" si="1"/>
        <v/>
      </c>
    </row>
    <row r="62" spans="1:14" ht="15.6" x14ac:dyDescent="0.3">
      <c r="A62" s="33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6" t="str">
        <f t="shared" si="2"/>
        <v/>
      </c>
      <c r="E62" s="6" t="str">
        <f t="shared" si="2"/>
        <v/>
      </c>
      <c r="F62" s="33" t="str">
        <f t="shared" si="2"/>
        <v/>
      </c>
      <c r="G62" s="33" t="str">
        <f t="shared" si="2"/>
        <v/>
      </c>
      <c r="H62" s="33" t="str">
        <f t="shared" si="2"/>
        <v/>
      </c>
      <c r="I62" s="33" t="str">
        <f t="shared" si="2"/>
        <v/>
      </c>
      <c r="J62" s="33" t="str">
        <f t="shared" si="2"/>
        <v/>
      </c>
      <c r="K62" s="33" t="str">
        <f t="shared" si="2"/>
        <v/>
      </c>
      <c r="L62" s="33" t="str">
        <f t="shared" si="2"/>
        <v/>
      </c>
      <c r="M62" s="33" t="str">
        <f t="shared" si="2"/>
        <v/>
      </c>
      <c r="N62" s="19" t="str">
        <f t="shared" si="1"/>
        <v/>
      </c>
    </row>
    <row r="63" spans="1:14" ht="15.6" x14ac:dyDescent="0.3">
      <c r="A63" s="33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6" t="str">
        <f t="shared" si="2"/>
        <v/>
      </c>
      <c r="E63" s="6" t="str">
        <f t="shared" si="2"/>
        <v/>
      </c>
      <c r="F63" s="33" t="str">
        <f t="shared" si="2"/>
        <v/>
      </c>
      <c r="G63" s="33" t="str">
        <f t="shared" si="2"/>
        <v/>
      </c>
      <c r="H63" s="33" t="str">
        <f t="shared" si="2"/>
        <v/>
      </c>
      <c r="I63" s="33" t="str">
        <f t="shared" si="2"/>
        <v/>
      </c>
      <c r="J63" s="33" t="str">
        <f t="shared" si="2"/>
        <v/>
      </c>
      <c r="K63" s="33" t="str">
        <f t="shared" si="2"/>
        <v/>
      </c>
      <c r="L63" s="33" t="str">
        <f t="shared" si="2"/>
        <v/>
      </c>
      <c r="M63" s="33" t="str">
        <f t="shared" si="2"/>
        <v/>
      </c>
      <c r="N63" s="19" t="str">
        <f t="shared" si="1"/>
        <v/>
      </c>
    </row>
    <row r="64" spans="1:14" ht="15.6" x14ac:dyDescent="0.3">
      <c r="A64" s="33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6" t="str">
        <f t="shared" si="2"/>
        <v/>
      </c>
      <c r="E64" s="6" t="str">
        <f t="shared" si="2"/>
        <v/>
      </c>
      <c r="F64" s="33" t="str">
        <f t="shared" si="2"/>
        <v/>
      </c>
      <c r="G64" s="33" t="str">
        <f t="shared" si="2"/>
        <v/>
      </c>
      <c r="H64" s="33" t="str">
        <f t="shared" si="2"/>
        <v/>
      </c>
      <c r="I64" s="33" t="str">
        <f t="shared" si="2"/>
        <v/>
      </c>
      <c r="J64" s="33" t="str">
        <f t="shared" si="2"/>
        <v/>
      </c>
      <c r="K64" s="33" t="str">
        <f t="shared" si="2"/>
        <v/>
      </c>
      <c r="L64" s="33" t="str">
        <f t="shared" si="2"/>
        <v/>
      </c>
      <c r="M64" s="33" t="str">
        <f t="shared" si="2"/>
        <v/>
      </c>
      <c r="N64" s="19" t="str">
        <f t="shared" si="1"/>
        <v/>
      </c>
    </row>
    <row r="65" spans="1:14" ht="15.6" x14ac:dyDescent="0.3">
      <c r="A65" s="33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6" t="str">
        <f t="shared" si="2"/>
        <v/>
      </c>
      <c r="E65" s="6" t="str">
        <f t="shared" si="2"/>
        <v/>
      </c>
      <c r="F65" s="33" t="str">
        <f t="shared" si="2"/>
        <v/>
      </c>
      <c r="G65" s="33" t="str">
        <f t="shared" si="2"/>
        <v/>
      </c>
      <c r="H65" s="33" t="str">
        <f t="shared" si="2"/>
        <v/>
      </c>
      <c r="I65" s="33" t="str">
        <f t="shared" si="2"/>
        <v/>
      </c>
      <c r="J65" s="33" t="str">
        <f t="shared" si="2"/>
        <v/>
      </c>
      <c r="K65" s="33" t="str">
        <f t="shared" si="2"/>
        <v/>
      </c>
      <c r="L65" s="33" t="str">
        <f t="shared" si="2"/>
        <v/>
      </c>
      <c r="M65" s="33" t="str">
        <f t="shared" si="2"/>
        <v/>
      </c>
      <c r="N65" s="19" t="str">
        <f t="shared" si="1"/>
        <v/>
      </c>
    </row>
    <row r="66" spans="1:14" ht="15.6" x14ac:dyDescent="0.3">
      <c r="A66" s="33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6" t="str">
        <f t="shared" si="2"/>
        <v/>
      </c>
      <c r="E66" s="6" t="str">
        <f t="shared" si="2"/>
        <v/>
      </c>
      <c r="F66" s="33" t="str">
        <f t="shared" si="2"/>
        <v/>
      </c>
      <c r="G66" s="33" t="str">
        <f t="shared" si="2"/>
        <v/>
      </c>
      <c r="H66" s="33" t="str">
        <f t="shared" si="2"/>
        <v/>
      </c>
      <c r="I66" s="33" t="str">
        <f t="shared" si="2"/>
        <v/>
      </c>
      <c r="J66" s="33" t="str">
        <f t="shared" si="2"/>
        <v/>
      </c>
      <c r="K66" s="33" t="str">
        <f t="shared" si="2"/>
        <v/>
      </c>
      <c r="L66" s="33" t="str">
        <f t="shared" si="2"/>
        <v/>
      </c>
      <c r="M66" s="33" t="str">
        <f t="shared" si="2"/>
        <v/>
      </c>
      <c r="N66" s="19" t="str">
        <f t="shared" si="1"/>
        <v/>
      </c>
    </row>
    <row r="67" spans="1:14" ht="15.6" x14ac:dyDescent="0.3">
      <c r="A67" s="33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6" t="str">
        <f t="shared" si="2"/>
        <v/>
      </c>
      <c r="E67" s="6" t="str">
        <f t="shared" si="2"/>
        <v/>
      </c>
      <c r="F67" s="33" t="str">
        <f t="shared" si="2"/>
        <v/>
      </c>
      <c r="G67" s="33" t="str">
        <f t="shared" si="2"/>
        <v/>
      </c>
      <c r="H67" s="33" t="str">
        <f t="shared" si="2"/>
        <v/>
      </c>
      <c r="I67" s="33" t="str">
        <f t="shared" ref="I67:M98" si="3">IF($C67="","",0)</f>
        <v/>
      </c>
      <c r="J67" s="33" t="str">
        <f t="shared" si="3"/>
        <v/>
      </c>
      <c r="K67" s="33" t="str">
        <f t="shared" si="3"/>
        <v/>
      </c>
      <c r="L67" s="33" t="str">
        <f t="shared" si="3"/>
        <v/>
      </c>
      <c r="M67" s="33" t="str">
        <f t="shared" si="3"/>
        <v/>
      </c>
      <c r="N67" s="19" t="str">
        <f t="shared" si="1"/>
        <v/>
      </c>
    </row>
    <row r="68" spans="1:14" ht="15.6" x14ac:dyDescent="0.3">
      <c r="A68" s="33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6" t="str">
        <f t="shared" ref="D68:K99" si="4">IF($C68="","",0)</f>
        <v/>
      </c>
      <c r="E68" s="6" t="str">
        <f t="shared" si="4"/>
        <v/>
      </c>
      <c r="F68" s="33" t="str">
        <f t="shared" si="4"/>
        <v/>
      </c>
      <c r="G68" s="33" t="str">
        <f t="shared" si="4"/>
        <v/>
      </c>
      <c r="H68" s="33" t="str">
        <f t="shared" si="4"/>
        <v/>
      </c>
      <c r="I68" s="33" t="str">
        <f t="shared" si="4"/>
        <v/>
      </c>
      <c r="J68" s="33" t="str">
        <f t="shared" si="4"/>
        <v/>
      </c>
      <c r="K68" s="33" t="str">
        <f t="shared" si="4"/>
        <v/>
      </c>
      <c r="L68" s="33" t="str">
        <f t="shared" si="3"/>
        <v/>
      </c>
      <c r="M68" s="33" t="str">
        <f t="shared" si="3"/>
        <v/>
      </c>
      <c r="N68" s="19" t="str">
        <f t="shared" si="1"/>
        <v/>
      </c>
    </row>
    <row r="69" spans="1:14" ht="15.6" x14ac:dyDescent="0.3">
      <c r="A69" s="33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6" t="str">
        <f t="shared" si="4"/>
        <v/>
      </c>
      <c r="E69" s="6" t="str">
        <f t="shared" si="4"/>
        <v/>
      </c>
      <c r="F69" s="33" t="str">
        <f t="shared" si="4"/>
        <v/>
      </c>
      <c r="G69" s="33" t="str">
        <f t="shared" si="4"/>
        <v/>
      </c>
      <c r="H69" s="33" t="str">
        <f t="shared" si="4"/>
        <v/>
      </c>
      <c r="I69" s="33" t="str">
        <f t="shared" si="4"/>
        <v/>
      </c>
      <c r="J69" s="33" t="str">
        <f t="shared" si="4"/>
        <v/>
      </c>
      <c r="K69" s="33" t="str">
        <f t="shared" si="4"/>
        <v/>
      </c>
      <c r="L69" s="33" t="str">
        <f t="shared" si="3"/>
        <v/>
      </c>
      <c r="M69" s="33" t="str">
        <f t="shared" si="3"/>
        <v/>
      </c>
      <c r="N69" s="19" t="str">
        <f t="shared" si="1"/>
        <v/>
      </c>
    </row>
    <row r="70" spans="1:14" ht="15.6" x14ac:dyDescent="0.3">
      <c r="A70" s="33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6" t="str">
        <f t="shared" si="4"/>
        <v/>
      </c>
      <c r="E70" s="6" t="str">
        <f t="shared" si="4"/>
        <v/>
      </c>
      <c r="F70" s="33" t="str">
        <f t="shared" si="4"/>
        <v/>
      </c>
      <c r="G70" s="33" t="str">
        <f t="shared" si="4"/>
        <v/>
      </c>
      <c r="H70" s="33" t="str">
        <f t="shared" si="4"/>
        <v/>
      </c>
      <c r="I70" s="33" t="str">
        <f t="shared" si="4"/>
        <v/>
      </c>
      <c r="J70" s="33" t="str">
        <f t="shared" si="4"/>
        <v/>
      </c>
      <c r="K70" s="33" t="str">
        <f t="shared" si="4"/>
        <v/>
      </c>
      <c r="L70" s="33" t="str">
        <f t="shared" si="3"/>
        <v/>
      </c>
      <c r="M70" s="33" t="str">
        <f t="shared" si="3"/>
        <v/>
      </c>
      <c r="N70" s="19" t="str">
        <f t="shared" si="1"/>
        <v/>
      </c>
    </row>
    <row r="71" spans="1:14" ht="15.6" x14ac:dyDescent="0.3">
      <c r="A71" s="33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6" t="str">
        <f t="shared" si="4"/>
        <v/>
      </c>
      <c r="E71" s="6" t="str">
        <f t="shared" si="4"/>
        <v/>
      </c>
      <c r="F71" s="33" t="str">
        <f t="shared" si="4"/>
        <v/>
      </c>
      <c r="G71" s="33" t="str">
        <f t="shared" si="4"/>
        <v/>
      </c>
      <c r="H71" s="33" t="str">
        <f t="shared" si="4"/>
        <v/>
      </c>
      <c r="I71" s="33" t="str">
        <f t="shared" si="4"/>
        <v/>
      </c>
      <c r="J71" s="33" t="str">
        <f t="shared" si="4"/>
        <v/>
      </c>
      <c r="K71" s="33" t="str">
        <f t="shared" si="4"/>
        <v/>
      </c>
      <c r="L71" s="33" t="str">
        <f t="shared" si="3"/>
        <v/>
      </c>
      <c r="M71" s="33" t="str">
        <f t="shared" si="3"/>
        <v/>
      </c>
      <c r="N71" s="19" t="str">
        <f t="shared" si="1"/>
        <v/>
      </c>
    </row>
    <row r="72" spans="1:14" ht="15.6" x14ac:dyDescent="0.3">
      <c r="A72" s="33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6" t="str">
        <f t="shared" si="4"/>
        <v/>
      </c>
      <c r="E72" s="6" t="str">
        <f t="shared" si="4"/>
        <v/>
      </c>
      <c r="F72" s="33" t="str">
        <f t="shared" si="4"/>
        <v/>
      </c>
      <c r="G72" s="33" t="str">
        <f t="shared" si="4"/>
        <v/>
      </c>
      <c r="H72" s="33" t="str">
        <f t="shared" si="4"/>
        <v/>
      </c>
      <c r="I72" s="33" t="str">
        <f t="shared" si="4"/>
        <v/>
      </c>
      <c r="J72" s="33" t="str">
        <f t="shared" si="4"/>
        <v/>
      </c>
      <c r="K72" s="33" t="str">
        <f t="shared" si="4"/>
        <v/>
      </c>
      <c r="L72" s="33" t="str">
        <f t="shared" si="3"/>
        <v/>
      </c>
      <c r="M72" s="33" t="str">
        <f t="shared" si="3"/>
        <v/>
      </c>
      <c r="N72" s="19" t="str">
        <f t="shared" si="1"/>
        <v/>
      </c>
    </row>
    <row r="73" spans="1:14" ht="15.6" x14ac:dyDescent="0.3">
      <c r="A73" s="33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6" t="str">
        <f t="shared" si="4"/>
        <v/>
      </c>
      <c r="E73" s="6" t="str">
        <f t="shared" si="4"/>
        <v/>
      </c>
      <c r="F73" s="33" t="str">
        <f t="shared" si="4"/>
        <v/>
      </c>
      <c r="G73" s="33" t="str">
        <f t="shared" si="4"/>
        <v/>
      </c>
      <c r="H73" s="33" t="str">
        <f t="shared" si="4"/>
        <v/>
      </c>
      <c r="I73" s="33" t="str">
        <f t="shared" si="4"/>
        <v/>
      </c>
      <c r="J73" s="33" t="str">
        <f t="shared" si="4"/>
        <v/>
      </c>
      <c r="K73" s="33" t="str">
        <f t="shared" si="4"/>
        <v/>
      </c>
      <c r="L73" s="33" t="str">
        <f t="shared" si="3"/>
        <v/>
      </c>
      <c r="M73" s="33" t="str">
        <f t="shared" si="3"/>
        <v/>
      </c>
      <c r="N73" s="19" t="str">
        <f t="shared" si="1"/>
        <v/>
      </c>
    </row>
    <row r="74" spans="1:14" ht="15.6" x14ac:dyDescent="0.3">
      <c r="A74" s="33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6" t="str">
        <f t="shared" si="4"/>
        <v/>
      </c>
      <c r="E74" s="6" t="str">
        <f t="shared" si="4"/>
        <v/>
      </c>
      <c r="F74" s="33" t="str">
        <f t="shared" si="4"/>
        <v/>
      </c>
      <c r="G74" s="33" t="str">
        <f t="shared" si="4"/>
        <v/>
      </c>
      <c r="H74" s="33" t="str">
        <f t="shared" si="4"/>
        <v/>
      </c>
      <c r="I74" s="33" t="str">
        <f t="shared" si="4"/>
        <v/>
      </c>
      <c r="J74" s="33" t="str">
        <f t="shared" si="4"/>
        <v/>
      </c>
      <c r="K74" s="33" t="str">
        <f t="shared" si="4"/>
        <v/>
      </c>
      <c r="L74" s="33" t="str">
        <f t="shared" si="3"/>
        <v/>
      </c>
      <c r="M74" s="33" t="str">
        <f t="shared" si="3"/>
        <v/>
      </c>
      <c r="N74" s="19" t="str">
        <f t="shared" si="1"/>
        <v/>
      </c>
    </row>
    <row r="75" spans="1:14" ht="15.6" x14ac:dyDescent="0.3">
      <c r="A75" s="33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6" t="str">
        <f t="shared" si="4"/>
        <v/>
      </c>
      <c r="E75" s="6" t="str">
        <f t="shared" si="4"/>
        <v/>
      </c>
      <c r="F75" s="33" t="str">
        <f t="shared" si="4"/>
        <v/>
      </c>
      <c r="G75" s="33" t="str">
        <f t="shared" si="4"/>
        <v/>
      </c>
      <c r="H75" s="33" t="str">
        <f t="shared" si="4"/>
        <v/>
      </c>
      <c r="I75" s="33" t="str">
        <f t="shared" si="4"/>
        <v/>
      </c>
      <c r="J75" s="33" t="str">
        <f t="shared" si="4"/>
        <v/>
      </c>
      <c r="K75" s="33" t="str">
        <f t="shared" si="4"/>
        <v/>
      </c>
      <c r="L75" s="33" t="str">
        <f t="shared" si="3"/>
        <v/>
      </c>
      <c r="M75" s="33" t="str">
        <f t="shared" si="3"/>
        <v/>
      </c>
      <c r="N75" s="19" t="str">
        <f t="shared" si="1"/>
        <v/>
      </c>
    </row>
    <row r="76" spans="1:14" ht="15.6" x14ac:dyDescent="0.3">
      <c r="A76" s="33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6" t="str">
        <f t="shared" si="4"/>
        <v/>
      </c>
      <c r="E76" s="6" t="str">
        <f t="shared" si="4"/>
        <v/>
      </c>
      <c r="F76" s="33" t="str">
        <f t="shared" si="4"/>
        <v/>
      </c>
      <c r="G76" s="33" t="str">
        <f t="shared" si="4"/>
        <v/>
      </c>
      <c r="H76" s="33" t="str">
        <f t="shared" si="4"/>
        <v/>
      </c>
      <c r="I76" s="33" t="str">
        <f t="shared" si="4"/>
        <v/>
      </c>
      <c r="J76" s="33" t="str">
        <f t="shared" si="4"/>
        <v/>
      </c>
      <c r="K76" s="33" t="str">
        <f t="shared" si="4"/>
        <v/>
      </c>
      <c r="L76" s="33" t="str">
        <f t="shared" si="3"/>
        <v/>
      </c>
      <c r="M76" s="33" t="str">
        <f t="shared" si="3"/>
        <v/>
      </c>
      <c r="N76" s="19" t="str">
        <f t="shared" si="1"/>
        <v/>
      </c>
    </row>
    <row r="77" spans="1:14" ht="15.6" x14ac:dyDescent="0.3">
      <c r="A77" s="33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6" t="str">
        <f t="shared" si="4"/>
        <v/>
      </c>
      <c r="E77" s="6" t="str">
        <f t="shared" si="4"/>
        <v/>
      </c>
      <c r="F77" s="33" t="str">
        <f t="shared" si="4"/>
        <v/>
      </c>
      <c r="G77" s="33" t="str">
        <f t="shared" si="4"/>
        <v/>
      </c>
      <c r="H77" s="33" t="str">
        <f t="shared" si="4"/>
        <v/>
      </c>
      <c r="I77" s="33" t="str">
        <f t="shared" si="4"/>
        <v/>
      </c>
      <c r="J77" s="33" t="str">
        <f t="shared" si="4"/>
        <v/>
      </c>
      <c r="K77" s="33" t="str">
        <f t="shared" si="4"/>
        <v/>
      </c>
      <c r="L77" s="33" t="str">
        <f t="shared" si="3"/>
        <v/>
      </c>
      <c r="M77" s="33" t="str">
        <f t="shared" si="3"/>
        <v/>
      </c>
      <c r="N77" s="19" t="str">
        <f t="shared" si="1"/>
        <v/>
      </c>
    </row>
    <row r="78" spans="1:14" ht="15.6" x14ac:dyDescent="0.3">
      <c r="A78" s="33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6" t="str">
        <f t="shared" si="4"/>
        <v/>
      </c>
      <c r="E78" s="6" t="str">
        <f t="shared" si="4"/>
        <v/>
      </c>
      <c r="F78" s="33" t="str">
        <f t="shared" si="4"/>
        <v/>
      </c>
      <c r="G78" s="33" t="str">
        <f t="shared" si="4"/>
        <v/>
      </c>
      <c r="H78" s="33" t="str">
        <f t="shared" si="4"/>
        <v/>
      </c>
      <c r="I78" s="33" t="str">
        <f t="shared" si="4"/>
        <v/>
      </c>
      <c r="J78" s="33" t="str">
        <f t="shared" si="4"/>
        <v/>
      </c>
      <c r="K78" s="33" t="str">
        <f t="shared" si="4"/>
        <v/>
      </c>
      <c r="L78" s="33" t="str">
        <f t="shared" si="3"/>
        <v/>
      </c>
      <c r="M78" s="33" t="str">
        <f t="shared" si="3"/>
        <v/>
      </c>
      <c r="N78" s="19" t="str">
        <f t="shared" si="1"/>
        <v/>
      </c>
    </row>
    <row r="79" spans="1:14" ht="15.6" x14ac:dyDescent="0.3">
      <c r="A79" s="33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6" t="str">
        <f t="shared" si="4"/>
        <v/>
      </c>
      <c r="E79" s="6" t="str">
        <f t="shared" si="4"/>
        <v/>
      </c>
      <c r="F79" s="33" t="str">
        <f t="shared" si="4"/>
        <v/>
      </c>
      <c r="G79" s="33" t="str">
        <f t="shared" si="4"/>
        <v/>
      </c>
      <c r="H79" s="33" t="str">
        <f t="shared" si="4"/>
        <v/>
      </c>
      <c r="I79" s="33" t="str">
        <f t="shared" si="4"/>
        <v/>
      </c>
      <c r="J79" s="33" t="str">
        <f t="shared" si="4"/>
        <v/>
      </c>
      <c r="K79" s="33" t="str">
        <f t="shared" si="4"/>
        <v/>
      </c>
      <c r="L79" s="33" t="str">
        <f t="shared" si="3"/>
        <v/>
      </c>
      <c r="M79" s="33" t="str">
        <f t="shared" si="3"/>
        <v/>
      </c>
      <c r="N79" s="19" t="str">
        <f t="shared" si="1"/>
        <v/>
      </c>
    </row>
    <row r="80" spans="1:14" ht="15.6" x14ac:dyDescent="0.3">
      <c r="A80" s="33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6" t="str">
        <f t="shared" si="4"/>
        <v/>
      </c>
      <c r="E80" s="6" t="str">
        <f t="shared" si="4"/>
        <v/>
      </c>
      <c r="F80" s="33" t="str">
        <f t="shared" si="4"/>
        <v/>
      </c>
      <c r="G80" s="33" t="str">
        <f t="shared" si="4"/>
        <v/>
      </c>
      <c r="H80" s="33" t="str">
        <f t="shared" si="4"/>
        <v/>
      </c>
      <c r="I80" s="33" t="str">
        <f t="shared" si="4"/>
        <v/>
      </c>
      <c r="J80" s="33" t="str">
        <f t="shared" si="4"/>
        <v/>
      </c>
      <c r="K80" s="33" t="str">
        <f t="shared" si="4"/>
        <v/>
      </c>
      <c r="L80" s="33" t="str">
        <f t="shared" si="3"/>
        <v/>
      </c>
      <c r="M80" s="33" t="str">
        <f t="shared" si="3"/>
        <v/>
      </c>
      <c r="N80" s="19" t="str">
        <f t="shared" si="1"/>
        <v/>
      </c>
    </row>
    <row r="81" spans="1:14" ht="15.6" x14ac:dyDescent="0.3">
      <c r="A81" s="33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6" t="str">
        <f t="shared" si="4"/>
        <v/>
      </c>
      <c r="E81" s="6" t="str">
        <f t="shared" si="4"/>
        <v/>
      </c>
      <c r="F81" s="33" t="str">
        <f t="shared" si="4"/>
        <v/>
      </c>
      <c r="G81" s="33" t="str">
        <f t="shared" si="4"/>
        <v/>
      </c>
      <c r="H81" s="33" t="str">
        <f t="shared" si="4"/>
        <v/>
      </c>
      <c r="I81" s="33" t="str">
        <f t="shared" si="4"/>
        <v/>
      </c>
      <c r="J81" s="33" t="str">
        <f t="shared" si="4"/>
        <v/>
      </c>
      <c r="K81" s="33" t="str">
        <f t="shared" si="4"/>
        <v/>
      </c>
      <c r="L81" s="33" t="str">
        <f t="shared" si="3"/>
        <v/>
      </c>
      <c r="M81" s="33" t="str">
        <f t="shared" si="3"/>
        <v/>
      </c>
      <c r="N81" s="19" t="str">
        <f t="shared" si="1"/>
        <v/>
      </c>
    </row>
    <row r="82" spans="1:14" ht="15.6" x14ac:dyDescent="0.3">
      <c r="A82" s="33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6" t="str">
        <f t="shared" si="4"/>
        <v/>
      </c>
      <c r="E82" s="6" t="str">
        <f t="shared" si="4"/>
        <v/>
      </c>
      <c r="F82" s="33" t="str">
        <f t="shared" si="4"/>
        <v/>
      </c>
      <c r="G82" s="33" t="str">
        <f t="shared" si="4"/>
        <v/>
      </c>
      <c r="H82" s="33" t="str">
        <f t="shared" si="4"/>
        <v/>
      </c>
      <c r="I82" s="33" t="str">
        <f t="shared" si="4"/>
        <v/>
      </c>
      <c r="J82" s="33" t="str">
        <f t="shared" si="4"/>
        <v/>
      </c>
      <c r="K82" s="33" t="str">
        <f t="shared" si="4"/>
        <v/>
      </c>
      <c r="L82" s="33" t="str">
        <f t="shared" si="3"/>
        <v/>
      </c>
      <c r="M82" s="33" t="str">
        <f t="shared" si="3"/>
        <v/>
      </c>
      <c r="N82" s="19" t="str">
        <f t="shared" si="1"/>
        <v/>
      </c>
    </row>
    <row r="83" spans="1:14" ht="15.6" x14ac:dyDescent="0.3">
      <c r="A83" s="33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6" t="str">
        <f t="shared" si="4"/>
        <v/>
      </c>
      <c r="E83" s="6" t="str">
        <f t="shared" si="4"/>
        <v/>
      </c>
      <c r="F83" s="33" t="str">
        <f t="shared" si="4"/>
        <v/>
      </c>
      <c r="G83" s="33" t="str">
        <f t="shared" si="4"/>
        <v/>
      </c>
      <c r="H83" s="33" t="str">
        <f t="shared" si="4"/>
        <v/>
      </c>
      <c r="I83" s="33" t="str">
        <f t="shared" si="4"/>
        <v/>
      </c>
      <c r="J83" s="33" t="str">
        <f t="shared" si="4"/>
        <v/>
      </c>
      <c r="K83" s="33" t="str">
        <f t="shared" si="4"/>
        <v/>
      </c>
      <c r="L83" s="33" t="str">
        <f t="shared" si="3"/>
        <v/>
      </c>
      <c r="M83" s="33" t="str">
        <f t="shared" si="3"/>
        <v/>
      </c>
      <c r="N83" s="19" t="str">
        <f t="shared" si="1"/>
        <v/>
      </c>
    </row>
    <row r="84" spans="1:14" ht="15.6" x14ac:dyDescent="0.3">
      <c r="A84" s="33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6" t="str">
        <f t="shared" si="4"/>
        <v/>
      </c>
      <c r="E84" s="6" t="str">
        <f t="shared" si="4"/>
        <v/>
      </c>
      <c r="F84" s="33" t="str">
        <f t="shared" si="4"/>
        <v/>
      </c>
      <c r="G84" s="33" t="str">
        <f t="shared" si="4"/>
        <v/>
      </c>
      <c r="H84" s="33" t="str">
        <f t="shared" si="4"/>
        <v/>
      </c>
      <c r="I84" s="33" t="str">
        <f t="shared" si="4"/>
        <v/>
      </c>
      <c r="J84" s="33" t="str">
        <f t="shared" si="4"/>
        <v/>
      </c>
      <c r="K84" s="33" t="str">
        <f t="shared" si="4"/>
        <v/>
      </c>
      <c r="L84" s="33" t="str">
        <f t="shared" si="3"/>
        <v/>
      </c>
      <c r="M84" s="33" t="str">
        <f t="shared" si="3"/>
        <v/>
      </c>
      <c r="N84" s="19" t="str">
        <f t="shared" si="1"/>
        <v/>
      </c>
    </row>
    <row r="85" spans="1:14" ht="15.6" x14ac:dyDescent="0.3">
      <c r="A85" s="33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6" t="str">
        <f t="shared" si="4"/>
        <v/>
      </c>
      <c r="E85" s="6" t="str">
        <f t="shared" si="4"/>
        <v/>
      </c>
      <c r="F85" s="33" t="str">
        <f t="shared" si="4"/>
        <v/>
      </c>
      <c r="G85" s="33" t="str">
        <f t="shared" si="4"/>
        <v/>
      </c>
      <c r="H85" s="33" t="str">
        <f t="shared" si="4"/>
        <v/>
      </c>
      <c r="I85" s="33" t="str">
        <f t="shared" si="4"/>
        <v/>
      </c>
      <c r="J85" s="33" t="str">
        <f t="shared" si="4"/>
        <v/>
      </c>
      <c r="K85" s="33" t="str">
        <f t="shared" si="4"/>
        <v/>
      </c>
      <c r="L85" s="33" t="str">
        <f t="shared" si="3"/>
        <v/>
      </c>
      <c r="M85" s="33" t="str">
        <f t="shared" si="3"/>
        <v/>
      </c>
      <c r="N85" s="19" t="str">
        <f t="shared" si="1"/>
        <v/>
      </c>
    </row>
    <row r="86" spans="1:14" ht="15.6" x14ac:dyDescent="0.3">
      <c r="A86" s="33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6" t="str">
        <f t="shared" si="4"/>
        <v/>
      </c>
      <c r="E86" s="6" t="str">
        <f t="shared" si="4"/>
        <v/>
      </c>
      <c r="F86" s="33" t="str">
        <f t="shared" si="4"/>
        <v/>
      </c>
      <c r="G86" s="33" t="str">
        <f t="shared" si="4"/>
        <v/>
      </c>
      <c r="H86" s="33" t="str">
        <f t="shared" si="4"/>
        <v/>
      </c>
      <c r="I86" s="33" t="str">
        <f t="shared" si="4"/>
        <v/>
      </c>
      <c r="J86" s="33" t="str">
        <f t="shared" si="4"/>
        <v/>
      </c>
      <c r="K86" s="33" t="str">
        <f t="shared" si="4"/>
        <v/>
      </c>
      <c r="L86" s="33" t="str">
        <f t="shared" si="3"/>
        <v/>
      </c>
      <c r="M86" s="33" t="str">
        <f t="shared" si="3"/>
        <v/>
      </c>
      <c r="N86" s="19" t="str">
        <f t="shared" si="1"/>
        <v/>
      </c>
    </row>
    <row r="87" spans="1:14" ht="15.6" x14ac:dyDescent="0.3">
      <c r="A87" s="33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6" t="str">
        <f t="shared" si="4"/>
        <v/>
      </c>
      <c r="E87" s="6" t="str">
        <f t="shared" si="4"/>
        <v/>
      </c>
      <c r="F87" s="33" t="str">
        <f t="shared" si="4"/>
        <v/>
      </c>
      <c r="G87" s="33" t="str">
        <f t="shared" si="4"/>
        <v/>
      </c>
      <c r="H87" s="33" t="str">
        <f t="shared" si="4"/>
        <v/>
      </c>
      <c r="I87" s="33" t="str">
        <f t="shared" si="4"/>
        <v/>
      </c>
      <c r="J87" s="33" t="str">
        <f t="shared" si="4"/>
        <v/>
      </c>
      <c r="K87" s="33" t="str">
        <f t="shared" si="4"/>
        <v/>
      </c>
      <c r="L87" s="33" t="str">
        <f t="shared" si="3"/>
        <v/>
      </c>
      <c r="M87" s="33" t="str">
        <f t="shared" si="3"/>
        <v/>
      </c>
      <c r="N87" s="19" t="str">
        <f t="shared" si="1"/>
        <v/>
      </c>
    </row>
    <row r="88" spans="1:14" ht="15.6" x14ac:dyDescent="0.3">
      <c r="A88" s="33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6" t="str">
        <f t="shared" si="4"/>
        <v/>
      </c>
      <c r="E88" s="6" t="str">
        <f t="shared" si="4"/>
        <v/>
      </c>
      <c r="F88" s="33" t="str">
        <f t="shared" si="4"/>
        <v/>
      </c>
      <c r="G88" s="33" t="str">
        <f t="shared" si="4"/>
        <v/>
      </c>
      <c r="H88" s="33" t="str">
        <f t="shared" si="4"/>
        <v/>
      </c>
      <c r="I88" s="33" t="str">
        <f t="shared" si="4"/>
        <v/>
      </c>
      <c r="J88" s="33" t="str">
        <f t="shared" si="4"/>
        <v/>
      </c>
      <c r="K88" s="33" t="str">
        <f t="shared" si="4"/>
        <v/>
      </c>
      <c r="L88" s="33" t="str">
        <f t="shared" si="3"/>
        <v/>
      </c>
      <c r="M88" s="33" t="str">
        <f t="shared" si="3"/>
        <v/>
      </c>
      <c r="N88" s="19" t="str">
        <f t="shared" si="1"/>
        <v/>
      </c>
    </row>
    <row r="89" spans="1:14" ht="15.6" x14ac:dyDescent="0.3">
      <c r="A89" s="33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6" t="str">
        <f t="shared" si="4"/>
        <v/>
      </c>
      <c r="E89" s="6" t="str">
        <f t="shared" si="4"/>
        <v/>
      </c>
      <c r="F89" s="33" t="str">
        <f t="shared" si="4"/>
        <v/>
      </c>
      <c r="G89" s="33" t="str">
        <f t="shared" si="4"/>
        <v/>
      </c>
      <c r="H89" s="33" t="str">
        <f t="shared" si="4"/>
        <v/>
      </c>
      <c r="I89" s="33" t="str">
        <f t="shared" si="4"/>
        <v/>
      </c>
      <c r="J89" s="33" t="str">
        <f t="shared" si="4"/>
        <v/>
      </c>
      <c r="K89" s="33" t="str">
        <f t="shared" si="4"/>
        <v/>
      </c>
      <c r="L89" s="33" t="str">
        <f t="shared" si="3"/>
        <v/>
      </c>
      <c r="M89" s="33" t="str">
        <f t="shared" si="3"/>
        <v/>
      </c>
      <c r="N89" s="19" t="str">
        <f t="shared" si="1"/>
        <v/>
      </c>
    </row>
    <row r="90" spans="1:14" ht="15.6" x14ac:dyDescent="0.3">
      <c r="A90" s="33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6" t="str">
        <f t="shared" si="4"/>
        <v/>
      </c>
      <c r="E90" s="6" t="str">
        <f t="shared" si="4"/>
        <v/>
      </c>
      <c r="F90" s="33" t="str">
        <f t="shared" si="4"/>
        <v/>
      </c>
      <c r="G90" s="33" t="str">
        <f t="shared" si="4"/>
        <v/>
      </c>
      <c r="H90" s="33" t="str">
        <f t="shared" si="4"/>
        <v/>
      </c>
      <c r="I90" s="33" t="str">
        <f t="shared" si="4"/>
        <v/>
      </c>
      <c r="J90" s="33" t="str">
        <f t="shared" si="4"/>
        <v/>
      </c>
      <c r="K90" s="33" t="str">
        <f t="shared" si="4"/>
        <v/>
      </c>
      <c r="L90" s="33" t="str">
        <f t="shared" si="3"/>
        <v/>
      </c>
      <c r="M90" s="33" t="str">
        <f t="shared" si="3"/>
        <v/>
      </c>
      <c r="N90" s="19" t="str">
        <f t="shared" si="1"/>
        <v/>
      </c>
    </row>
    <row r="91" spans="1:14" ht="15.6" x14ac:dyDescent="0.3">
      <c r="A91" s="33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6" t="str">
        <f t="shared" si="4"/>
        <v/>
      </c>
      <c r="E91" s="6" t="str">
        <f t="shared" si="4"/>
        <v/>
      </c>
      <c r="F91" s="33" t="str">
        <f t="shared" si="4"/>
        <v/>
      </c>
      <c r="G91" s="33" t="str">
        <f t="shared" si="4"/>
        <v/>
      </c>
      <c r="H91" s="33" t="str">
        <f t="shared" si="4"/>
        <v/>
      </c>
      <c r="I91" s="33" t="str">
        <f t="shared" si="4"/>
        <v/>
      </c>
      <c r="J91" s="33" t="str">
        <f t="shared" si="4"/>
        <v/>
      </c>
      <c r="K91" s="33" t="str">
        <f t="shared" si="4"/>
        <v/>
      </c>
      <c r="L91" s="33" t="str">
        <f t="shared" si="3"/>
        <v/>
      </c>
      <c r="M91" s="33" t="str">
        <f t="shared" si="3"/>
        <v/>
      </c>
      <c r="N91" s="19" t="str">
        <f t="shared" ref="N91:N123" si="5">IF(C91="","",SUM(D91:M91))</f>
        <v/>
      </c>
    </row>
    <row r="92" spans="1:14" ht="15.6" x14ac:dyDescent="0.3">
      <c r="A92" s="33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6" t="str">
        <f t="shared" si="4"/>
        <v/>
      </c>
      <c r="E92" s="6" t="str">
        <f t="shared" si="4"/>
        <v/>
      </c>
      <c r="F92" s="33" t="str">
        <f t="shared" si="4"/>
        <v/>
      </c>
      <c r="G92" s="33" t="str">
        <f t="shared" si="4"/>
        <v/>
      </c>
      <c r="H92" s="33" t="str">
        <f t="shared" si="4"/>
        <v/>
      </c>
      <c r="I92" s="33" t="str">
        <f t="shared" si="4"/>
        <v/>
      </c>
      <c r="J92" s="33" t="str">
        <f t="shared" si="4"/>
        <v/>
      </c>
      <c r="K92" s="33" t="str">
        <f t="shared" si="4"/>
        <v/>
      </c>
      <c r="L92" s="33" t="str">
        <f t="shared" si="3"/>
        <v/>
      </c>
      <c r="M92" s="33" t="str">
        <f t="shared" si="3"/>
        <v/>
      </c>
      <c r="N92" s="19" t="str">
        <f t="shared" si="5"/>
        <v/>
      </c>
    </row>
    <row r="93" spans="1:14" ht="15.6" x14ac:dyDescent="0.3">
      <c r="A93" s="33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6" t="str">
        <f t="shared" si="4"/>
        <v/>
      </c>
      <c r="E93" s="6" t="str">
        <f t="shared" si="4"/>
        <v/>
      </c>
      <c r="F93" s="33" t="str">
        <f t="shared" si="4"/>
        <v/>
      </c>
      <c r="G93" s="33" t="str">
        <f t="shared" si="4"/>
        <v/>
      </c>
      <c r="H93" s="33" t="str">
        <f t="shared" si="4"/>
        <v/>
      </c>
      <c r="I93" s="33" t="str">
        <f t="shared" si="4"/>
        <v/>
      </c>
      <c r="J93" s="33" t="str">
        <f t="shared" si="4"/>
        <v/>
      </c>
      <c r="K93" s="33" t="str">
        <f t="shared" si="4"/>
        <v/>
      </c>
      <c r="L93" s="33" t="str">
        <f t="shared" si="3"/>
        <v/>
      </c>
      <c r="M93" s="33" t="str">
        <f t="shared" si="3"/>
        <v/>
      </c>
      <c r="N93" s="19" t="str">
        <f t="shared" si="5"/>
        <v/>
      </c>
    </row>
    <row r="94" spans="1:14" ht="15.6" x14ac:dyDescent="0.3">
      <c r="A94" s="33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6" t="str">
        <f t="shared" si="4"/>
        <v/>
      </c>
      <c r="E94" s="6" t="str">
        <f t="shared" si="4"/>
        <v/>
      </c>
      <c r="F94" s="33" t="str">
        <f t="shared" si="4"/>
        <v/>
      </c>
      <c r="G94" s="33" t="str">
        <f t="shared" si="4"/>
        <v/>
      </c>
      <c r="H94" s="33" t="str">
        <f t="shared" si="4"/>
        <v/>
      </c>
      <c r="I94" s="33" t="str">
        <f t="shared" si="4"/>
        <v/>
      </c>
      <c r="J94" s="33" t="str">
        <f t="shared" si="4"/>
        <v/>
      </c>
      <c r="K94" s="33" t="str">
        <f t="shared" si="4"/>
        <v/>
      </c>
      <c r="L94" s="33" t="str">
        <f t="shared" si="3"/>
        <v/>
      </c>
      <c r="M94" s="33" t="str">
        <f t="shared" si="3"/>
        <v/>
      </c>
      <c r="N94" s="19" t="str">
        <f t="shared" si="5"/>
        <v/>
      </c>
    </row>
    <row r="95" spans="1:14" ht="15.6" x14ac:dyDescent="0.3">
      <c r="A95" s="33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6" t="str">
        <f t="shared" si="4"/>
        <v/>
      </c>
      <c r="E95" s="6" t="str">
        <f t="shared" si="4"/>
        <v/>
      </c>
      <c r="F95" s="33" t="str">
        <f t="shared" si="4"/>
        <v/>
      </c>
      <c r="G95" s="33" t="str">
        <f t="shared" si="4"/>
        <v/>
      </c>
      <c r="H95" s="33" t="str">
        <f t="shared" si="4"/>
        <v/>
      </c>
      <c r="I95" s="33" t="str">
        <f t="shared" si="4"/>
        <v/>
      </c>
      <c r="J95" s="33" t="str">
        <f t="shared" si="4"/>
        <v/>
      </c>
      <c r="K95" s="33" t="str">
        <f t="shared" si="4"/>
        <v/>
      </c>
      <c r="L95" s="33" t="str">
        <f t="shared" si="3"/>
        <v/>
      </c>
      <c r="M95" s="33" t="str">
        <f t="shared" si="3"/>
        <v/>
      </c>
      <c r="N95" s="19" t="str">
        <f t="shared" si="5"/>
        <v/>
      </c>
    </row>
    <row r="96" spans="1:14" ht="15.6" x14ac:dyDescent="0.3">
      <c r="A96" s="33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6" t="str">
        <f t="shared" si="4"/>
        <v/>
      </c>
      <c r="E96" s="6" t="str">
        <f t="shared" si="4"/>
        <v/>
      </c>
      <c r="F96" s="33" t="str">
        <f t="shared" si="4"/>
        <v/>
      </c>
      <c r="G96" s="33" t="str">
        <f t="shared" si="4"/>
        <v/>
      </c>
      <c r="H96" s="33" t="str">
        <f t="shared" si="4"/>
        <v/>
      </c>
      <c r="I96" s="33" t="str">
        <f t="shared" si="4"/>
        <v/>
      </c>
      <c r="J96" s="33" t="str">
        <f t="shared" si="4"/>
        <v/>
      </c>
      <c r="K96" s="33" t="str">
        <f t="shared" si="4"/>
        <v/>
      </c>
      <c r="L96" s="33" t="str">
        <f t="shared" si="3"/>
        <v/>
      </c>
      <c r="M96" s="33" t="str">
        <f t="shared" si="3"/>
        <v/>
      </c>
      <c r="N96" s="19" t="str">
        <f t="shared" si="5"/>
        <v/>
      </c>
    </row>
    <row r="97" spans="1:14" ht="15.6" x14ac:dyDescent="0.3">
      <c r="A97" s="33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6" t="str">
        <f t="shared" si="4"/>
        <v/>
      </c>
      <c r="E97" s="6" t="str">
        <f t="shared" si="4"/>
        <v/>
      </c>
      <c r="F97" s="33" t="str">
        <f t="shared" si="4"/>
        <v/>
      </c>
      <c r="G97" s="33" t="str">
        <f t="shared" si="4"/>
        <v/>
      </c>
      <c r="H97" s="33" t="str">
        <f t="shared" si="4"/>
        <v/>
      </c>
      <c r="I97" s="33" t="str">
        <f t="shared" si="4"/>
        <v/>
      </c>
      <c r="J97" s="33" t="str">
        <f t="shared" si="4"/>
        <v/>
      </c>
      <c r="K97" s="33" t="str">
        <f t="shared" si="4"/>
        <v/>
      </c>
      <c r="L97" s="33" t="str">
        <f t="shared" si="3"/>
        <v/>
      </c>
      <c r="M97" s="33" t="str">
        <f t="shared" si="3"/>
        <v/>
      </c>
      <c r="N97" s="19" t="str">
        <f t="shared" si="5"/>
        <v/>
      </c>
    </row>
    <row r="98" spans="1:14" ht="15.6" x14ac:dyDescent="0.3">
      <c r="A98" s="33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6" t="str">
        <f t="shared" si="4"/>
        <v/>
      </c>
      <c r="E98" s="6" t="str">
        <f t="shared" si="4"/>
        <v/>
      </c>
      <c r="F98" s="33" t="str">
        <f t="shared" si="4"/>
        <v/>
      </c>
      <c r="G98" s="33" t="str">
        <f t="shared" si="4"/>
        <v/>
      </c>
      <c r="H98" s="33" t="str">
        <f t="shared" si="4"/>
        <v/>
      </c>
      <c r="I98" s="33" t="str">
        <f t="shared" si="4"/>
        <v/>
      </c>
      <c r="J98" s="33" t="str">
        <f t="shared" si="4"/>
        <v/>
      </c>
      <c r="K98" s="33" t="str">
        <f t="shared" si="4"/>
        <v/>
      </c>
      <c r="L98" s="33" t="str">
        <f t="shared" si="3"/>
        <v/>
      </c>
      <c r="M98" s="33" t="str">
        <f t="shared" si="3"/>
        <v/>
      </c>
      <c r="N98" s="19" t="str">
        <f t="shared" si="5"/>
        <v/>
      </c>
    </row>
    <row r="99" spans="1:14" ht="15.6" x14ac:dyDescent="0.3">
      <c r="A99" s="33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6" t="str">
        <f t="shared" si="4"/>
        <v/>
      </c>
      <c r="E99" s="6" t="str">
        <f t="shared" si="4"/>
        <v/>
      </c>
      <c r="F99" s="33" t="str">
        <f t="shared" si="4"/>
        <v/>
      </c>
      <c r="G99" s="33" t="str">
        <f t="shared" si="4"/>
        <v/>
      </c>
      <c r="H99" s="33" t="str">
        <f t="shared" si="4"/>
        <v/>
      </c>
      <c r="I99" s="33" t="str">
        <f t="shared" si="4"/>
        <v/>
      </c>
      <c r="J99" s="33" t="str">
        <f t="shared" si="4"/>
        <v/>
      </c>
      <c r="K99" s="33" t="str">
        <f t="shared" ref="K99:M115" si="6">IF($C99="","",0)</f>
        <v/>
      </c>
      <c r="L99" s="33" t="str">
        <f t="shared" si="6"/>
        <v/>
      </c>
      <c r="M99" s="33" t="str">
        <f t="shared" si="6"/>
        <v/>
      </c>
      <c r="N99" s="19" t="str">
        <f t="shared" si="5"/>
        <v/>
      </c>
    </row>
    <row r="100" spans="1:14" ht="15.6" x14ac:dyDescent="0.3">
      <c r="A100" s="33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6" t="str">
        <f t="shared" ref="D100:M123" si="7">IF($C100="","",0)</f>
        <v/>
      </c>
      <c r="E100" s="6" t="str">
        <f t="shared" si="7"/>
        <v/>
      </c>
      <c r="F100" s="33" t="str">
        <f t="shared" si="7"/>
        <v/>
      </c>
      <c r="G100" s="33" t="str">
        <f t="shared" si="7"/>
        <v/>
      </c>
      <c r="H100" s="33" t="str">
        <f t="shared" si="7"/>
        <v/>
      </c>
      <c r="I100" s="33" t="str">
        <f t="shared" si="7"/>
        <v/>
      </c>
      <c r="J100" s="33" t="str">
        <f t="shared" si="7"/>
        <v/>
      </c>
      <c r="K100" s="33" t="str">
        <f t="shared" si="7"/>
        <v/>
      </c>
      <c r="L100" s="33" t="str">
        <f t="shared" si="6"/>
        <v/>
      </c>
      <c r="M100" s="33" t="str">
        <f t="shared" si="6"/>
        <v/>
      </c>
      <c r="N100" s="19" t="str">
        <f t="shared" si="5"/>
        <v/>
      </c>
    </row>
    <row r="101" spans="1:14" ht="15.6" x14ac:dyDescent="0.3">
      <c r="A101" s="33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6" t="str">
        <f t="shared" si="7"/>
        <v/>
      </c>
      <c r="E101" s="6" t="str">
        <f t="shared" si="7"/>
        <v/>
      </c>
      <c r="F101" s="33" t="str">
        <f t="shared" si="7"/>
        <v/>
      </c>
      <c r="G101" s="33" t="str">
        <f t="shared" si="7"/>
        <v/>
      </c>
      <c r="H101" s="33" t="str">
        <f t="shared" si="7"/>
        <v/>
      </c>
      <c r="I101" s="33" t="str">
        <f t="shared" si="7"/>
        <v/>
      </c>
      <c r="J101" s="33" t="str">
        <f t="shared" si="7"/>
        <v/>
      </c>
      <c r="K101" s="33" t="str">
        <f t="shared" si="7"/>
        <v/>
      </c>
      <c r="L101" s="33" t="str">
        <f t="shared" si="6"/>
        <v/>
      </c>
      <c r="M101" s="33" t="str">
        <f t="shared" si="6"/>
        <v/>
      </c>
      <c r="N101" s="19" t="str">
        <f t="shared" si="5"/>
        <v/>
      </c>
    </row>
    <row r="102" spans="1:14" ht="15.6" x14ac:dyDescent="0.3">
      <c r="A102" s="33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6" t="str">
        <f t="shared" si="7"/>
        <v/>
      </c>
      <c r="E102" s="6" t="str">
        <f t="shared" si="7"/>
        <v/>
      </c>
      <c r="F102" s="33" t="str">
        <f t="shared" si="7"/>
        <v/>
      </c>
      <c r="G102" s="33" t="str">
        <f t="shared" si="7"/>
        <v/>
      </c>
      <c r="H102" s="33" t="str">
        <f t="shared" si="7"/>
        <v/>
      </c>
      <c r="I102" s="33" t="str">
        <f t="shared" si="7"/>
        <v/>
      </c>
      <c r="J102" s="33" t="str">
        <f t="shared" si="7"/>
        <v/>
      </c>
      <c r="K102" s="33" t="str">
        <f t="shared" si="7"/>
        <v/>
      </c>
      <c r="L102" s="33" t="str">
        <f t="shared" si="6"/>
        <v/>
      </c>
      <c r="M102" s="33" t="str">
        <f t="shared" si="6"/>
        <v/>
      </c>
      <c r="N102" s="19" t="str">
        <f t="shared" si="5"/>
        <v/>
      </c>
    </row>
    <row r="103" spans="1:14" ht="15.6" x14ac:dyDescent="0.3">
      <c r="A103" s="33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6" t="str">
        <f t="shared" si="7"/>
        <v/>
      </c>
      <c r="E103" s="6" t="str">
        <f t="shared" si="7"/>
        <v/>
      </c>
      <c r="F103" s="33" t="str">
        <f t="shared" si="7"/>
        <v/>
      </c>
      <c r="G103" s="33" t="str">
        <f t="shared" si="7"/>
        <v/>
      </c>
      <c r="H103" s="33" t="str">
        <f t="shared" si="7"/>
        <v/>
      </c>
      <c r="I103" s="33" t="str">
        <f t="shared" si="7"/>
        <v/>
      </c>
      <c r="J103" s="33" t="str">
        <f t="shared" si="7"/>
        <v/>
      </c>
      <c r="K103" s="33" t="str">
        <f t="shared" si="7"/>
        <v/>
      </c>
      <c r="L103" s="33" t="str">
        <f t="shared" si="6"/>
        <v/>
      </c>
      <c r="M103" s="33" t="str">
        <f t="shared" si="6"/>
        <v/>
      </c>
      <c r="N103" s="19" t="str">
        <f t="shared" si="5"/>
        <v/>
      </c>
    </row>
    <row r="104" spans="1:14" ht="15.6" x14ac:dyDescent="0.3">
      <c r="A104" s="33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6" t="str">
        <f t="shared" si="7"/>
        <v/>
      </c>
      <c r="E104" s="6" t="str">
        <f t="shared" si="7"/>
        <v/>
      </c>
      <c r="F104" s="33" t="str">
        <f t="shared" si="7"/>
        <v/>
      </c>
      <c r="G104" s="33" t="str">
        <f t="shared" si="7"/>
        <v/>
      </c>
      <c r="H104" s="33" t="str">
        <f t="shared" si="7"/>
        <v/>
      </c>
      <c r="I104" s="33" t="str">
        <f t="shared" si="7"/>
        <v/>
      </c>
      <c r="J104" s="33" t="str">
        <f t="shared" si="7"/>
        <v/>
      </c>
      <c r="K104" s="33" t="str">
        <f t="shared" si="7"/>
        <v/>
      </c>
      <c r="L104" s="33" t="str">
        <f t="shared" si="6"/>
        <v/>
      </c>
      <c r="M104" s="33" t="str">
        <f t="shared" si="6"/>
        <v/>
      </c>
      <c r="N104" s="19" t="str">
        <f t="shared" si="5"/>
        <v/>
      </c>
    </row>
    <row r="105" spans="1:14" ht="15.6" x14ac:dyDescent="0.3">
      <c r="A105" s="33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6" t="str">
        <f t="shared" si="7"/>
        <v/>
      </c>
      <c r="E105" s="6" t="str">
        <f t="shared" si="7"/>
        <v/>
      </c>
      <c r="F105" s="33" t="str">
        <f t="shared" si="7"/>
        <v/>
      </c>
      <c r="G105" s="33" t="str">
        <f t="shared" si="7"/>
        <v/>
      </c>
      <c r="H105" s="33" t="str">
        <f t="shared" si="7"/>
        <v/>
      </c>
      <c r="I105" s="33" t="str">
        <f t="shared" si="7"/>
        <v/>
      </c>
      <c r="J105" s="33" t="str">
        <f t="shared" si="7"/>
        <v/>
      </c>
      <c r="K105" s="33" t="str">
        <f t="shared" si="7"/>
        <v/>
      </c>
      <c r="L105" s="33" t="str">
        <f t="shared" si="6"/>
        <v/>
      </c>
      <c r="M105" s="33" t="str">
        <f t="shared" si="6"/>
        <v/>
      </c>
      <c r="N105" s="19" t="str">
        <f t="shared" si="5"/>
        <v/>
      </c>
    </row>
    <row r="106" spans="1:14" ht="15.6" x14ac:dyDescent="0.3">
      <c r="A106" s="33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6" t="str">
        <f t="shared" si="7"/>
        <v/>
      </c>
      <c r="E106" s="6" t="str">
        <f t="shared" si="7"/>
        <v/>
      </c>
      <c r="F106" s="33" t="str">
        <f t="shared" si="7"/>
        <v/>
      </c>
      <c r="G106" s="33" t="str">
        <f t="shared" si="7"/>
        <v/>
      </c>
      <c r="H106" s="33" t="str">
        <f t="shared" si="7"/>
        <v/>
      </c>
      <c r="I106" s="33" t="str">
        <f t="shared" si="7"/>
        <v/>
      </c>
      <c r="J106" s="33" t="str">
        <f t="shared" si="7"/>
        <v/>
      </c>
      <c r="K106" s="33" t="str">
        <f t="shared" si="7"/>
        <v/>
      </c>
      <c r="L106" s="33" t="str">
        <f t="shared" si="6"/>
        <v/>
      </c>
      <c r="M106" s="33" t="str">
        <f t="shared" si="6"/>
        <v/>
      </c>
      <c r="N106" s="19" t="str">
        <f t="shared" si="5"/>
        <v/>
      </c>
    </row>
    <row r="107" spans="1:14" ht="15.6" x14ac:dyDescent="0.3">
      <c r="A107" s="33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6" t="str">
        <f t="shared" si="7"/>
        <v/>
      </c>
      <c r="E107" s="6" t="str">
        <f t="shared" si="7"/>
        <v/>
      </c>
      <c r="F107" s="33" t="str">
        <f t="shared" si="7"/>
        <v/>
      </c>
      <c r="G107" s="33" t="str">
        <f t="shared" si="7"/>
        <v/>
      </c>
      <c r="H107" s="33" t="str">
        <f t="shared" si="7"/>
        <v/>
      </c>
      <c r="I107" s="33" t="str">
        <f t="shared" si="7"/>
        <v/>
      </c>
      <c r="J107" s="33" t="str">
        <f t="shared" si="7"/>
        <v/>
      </c>
      <c r="K107" s="33" t="str">
        <f t="shared" si="7"/>
        <v/>
      </c>
      <c r="L107" s="33" t="str">
        <f t="shared" si="6"/>
        <v/>
      </c>
      <c r="M107" s="33" t="str">
        <f t="shared" si="6"/>
        <v/>
      </c>
      <c r="N107" s="19" t="str">
        <f t="shared" si="5"/>
        <v/>
      </c>
    </row>
    <row r="108" spans="1:14" ht="15.6" x14ac:dyDescent="0.3">
      <c r="A108" s="33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6" t="str">
        <f t="shared" si="7"/>
        <v/>
      </c>
      <c r="E108" s="6" t="str">
        <f t="shared" si="7"/>
        <v/>
      </c>
      <c r="F108" s="33" t="str">
        <f t="shared" si="7"/>
        <v/>
      </c>
      <c r="G108" s="33" t="str">
        <f t="shared" si="7"/>
        <v/>
      </c>
      <c r="H108" s="33" t="str">
        <f t="shared" si="7"/>
        <v/>
      </c>
      <c r="I108" s="33" t="str">
        <f t="shared" si="7"/>
        <v/>
      </c>
      <c r="J108" s="33" t="str">
        <f t="shared" si="7"/>
        <v/>
      </c>
      <c r="K108" s="33" t="str">
        <f t="shared" si="7"/>
        <v/>
      </c>
      <c r="L108" s="33" t="str">
        <f t="shared" si="6"/>
        <v/>
      </c>
      <c r="M108" s="33" t="str">
        <f t="shared" si="6"/>
        <v/>
      </c>
      <c r="N108" s="19" t="str">
        <f t="shared" si="5"/>
        <v/>
      </c>
    </row>
    <row r="109" spans="1:14" ht="15.6" x14ac:dyDescent="0.3">
      <c r="A109" s="33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6" t="str">
        <f t="shared" si="7"/>
        <v/>
      </c>
      <c r="E109" s="6" t="str">
        <f t="shared" si="7"/>
        <v/>
      </c>
      <c r="F109" s="33" t="str">
        <f t="shared" si="7"/>
        <v/>
      </c>
      <c r="G109" s="33" t="str">
        <f t="shared" si="7"/>
        <v/>
      </c>
      <c r="H109" s="33" t="str">
        <f t="shared" si="7"/>
        <v/>
      </c>
      <c r="I109" s="33" t="str">
        <f t="shared" si="7"/>
        <v/>
      </c>
      <c r="J109" s="33" t="str">
        <f t="shared" si="7"/>
        <v/>
      </c>
      <c r="K109" s="33" t="str">
        <f t="shared" si="7"/>
        <v/>
      </c>
      <c r="L109" s="33" t="str">
        <f t="shared" si="6"/>
        <v/>
      </c>
      <c r="M109" s="33" t="str">
        <f t="shared" si="6"/>
        <v/>
      </c>
      <c r="N109" s="19" t="str">
        <f t="shared" si="5"/>
        <v/>
      </c>
    </row>
    <row r="110" spans="1:14" ht="15.6" x14ac:dyDescent="0.3">
      <c r="A110" s="33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6" t="str">
        <f t="shared" si="7"/>
        <v/>
      </c>
      <c r="E110" s="6" t="str">
        <f t="shared" si="7"/>
        <v/>
      </c>
      <c r="F110" s="33" t="str">
        <f t="shared" si="7"/>
        <v/>
      </c>
      <c r="G110" s="33" t="str">
        <f t="shared" si="7"/>
        <v/>
      </c>
      <c r="H110" s="33" t="str">
        <f t="shared" si="7"/>
        <v/>
      </c>
      <c r="I110" s="33" t="str">
        <f t="shared" si="7"/>
        <v/>
      </c>
      <c r="J110" s="33" t="str">
        <f t="shared" si="7"/>
        <v/>
      </c>
      <c r="K110" s="33" t="str">
        <f t="shared" si="7"/>
        <v/>
      </c>
      <c r="L110" s="33" t="str">
        <f t="shared" si="6"/>
        <v/>
      </c>
      <c r="M110" s="33" t="str">
        <f t="shared" si="6"/>
        <v/>
      </c>
      <c r="N110" s="19" t="str">
        <f t="shared" si="5"/>
        <v/>
      </c>
    </row>
    <row r="111" spans="1:14" ht="15.6" x14ac:dyDescent="0.3">
      <c r="A111" s="33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6" t="str">
        <f t="shared" si="7"/>
        <v/>
      </c>
      <c r="E111" s="6" t="str">
        <f t="shared" si="7"/>
        <v/>
      </c>
      <c r="F111" s="33" t="str">
        <f t="shared" si="7"/>
        <v/>
      </c>
      <c r="G111" s="33" t="str">
        <f t="shared" si="7"/>
        <v/>
      </c>
      <c r="H111" s="33" t="str">
        <f t="shared" si="7"/>
        <v/>
      </c>
      <c r="I111" s="33" t="str">
        <f t="shared" si="7"/>
        <v/>
      </c>
      <c r="J111" s="33" t="str">
        <f t="shared" si="7"/>
        <v/>
      </c>
      <c r="K111" s="33" t="str">
        <f t="shared" si="7"/>
        <v/>
      </c>
      <c r="L111" s="33" t="str">
        <f t="shared" si="6"/>
        <v/>
      </c>
      <c r="M111" s="33" t="str">
        <f t="shared" si="6"/>
        <v/>
      </c>
      <c r="N111" s="19" t="str">
        <f t="shared" si="5"/>
        <v/>
      </c>
    </row>
    <row r="112" spans="1:14" ht="15.6" x14ac:dyDescent="0.3">
      <c r="A112" s="33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6" t="str">
        <f t="shared" si="7"/>
        <v/>
      </c>
      <c r="E112" s="6" t="str">
        <f t="shared" si="7"/>
        <v/>
      </c>
      <c r="F112" s="33" t="str">
        <f t="shared" si="7"/>
        <v/>
      </c>
      <c r="G112" s="33" t="str">
        <f t="shared" si="7"/>
        <v/>
      </c>
      <c r="H112" s="33" t="str">
        <f t="shared" si="7"/>
        <v/>
      </c>
      <c r="I112" s="33" t="str">
        <f t="shared" si="7"/>
        <v/>
      </c>
      <c r="J112" s="33" t="str">
        <f t="shared" si="7"/>
        <v/>
      </c>
      <c r="K112" s="33" t="str">
        <f t="shared" si="7"/>
        <v/>
      </c>
      <c r="L112" s="33" t="str">
        <f t="shared" si="6"/>
        <v/>
      </c>
      <c r="M112" s="33" t="str">
        <f t="shared" si="6"/>
        <v/>
      </c>
      <c r="N112" s="19" t="str">
        <f t="shared" si="5"/>
        <v/>
      </c>
    </row>
    <row r="113" spans="1:14" ht="15.6" x14ac:dyDescent="0.3">
      <c r="A113" s="33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6" t="str">
        <f t="shared" si="7"/>
        <v/>
      </c>
      <c r="E113" s="6" t="str">
        <f t="shared" si="7"/>
        <v/>
      </c>
      <c r="F113" s="33" t="str">
        <f t="shared" si="7"/>
        <v/>
      </c>
      <c r="G113" s="33" t="str">
        <f t="shared" si="7"/>
        <v/>
      </c>
      <c r="H113" s="33" t="str">
        <f t="shared" si="7"/>
        <v/>
      </c>
      <c r="I113" s="33" t="str">
        <f t="shared" si="7"/>
        <v/>
      </c>
      <c r="J113" s="33" t="str">
        <f t="shared" si="7"/>
        <v/>
      </c>
      <c r="K113" s="33" t="str">
        <f t="shared" si="7"/>
        <v/>
      </c>
      <c r="L113" s="33" t="str">
        <f t="shared" si="6"/>
        <v/>
      </c>
      <c r="M113" s="33" t="str">
        <f t="shared" si="6"/>
        <v/>
      </c>
      <c r="N113" s="19" t="str">
        <f t="shared" si="5"/>
        <v/>
      </c>
    </row>
    <row r="114" spans="1:14" ht="15.6" x14ac:dyDescent="0.3">
      <c r="A114" s="33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6" t="str">
        <f t="shared" si="7"/>
        <v/>
      </c>
      <c r="E114" s="6" t="str">
        <f t="shared" si="7"/>
        <v/>
      </c>
      <c r="F114" s="33" t="str">
        <f t="shared" si="7"/>
        <v/>
      </c>
      <c r="G114" s="33" t="str">
        <f t="shared" si="7"/>
        <v/>
      </c>
      <c r="H114" s="33" t="str">
        <f t="shared" si="7"/>
        <v/>
      </c>
      <c r="I114" s="33" t="str">
        <f t="shared" si="7"/>
        <v/>
      </c>
      <c r="J114" s="33" t="str">
        <f t="shared" si="7"/>
        <v/>
      </c>
      <c r="K114" s="33" t="str">
        <f t="shared" si="7"/>
        <v/>
      </c>
      <c r="L114" s="33" t="str">
        <f t="shared" si="6"/>
        <v/>
      </c>
      <c r="M114" s="33" t="str">
        <f t="shared" si="6"/>
        <v/>
      </c>
      <c r="N114" s="19" t="str">
        <f t="shared" si="5"/>
        <v/>
      </c>
    </row>
    <row r="115" spans="1:14" ht="15.6" x14ac:dyDescent="0.3">
      <c r="A115" s="33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6" t="str">
        <f t="shared" si="7"/>
        <v/>
      </c>
      <c r="E115" s="6" t="str">
        <f t="shared" si="7"/>
        <v/>
      </c>
      <c r="F115" s="33" t="str">
        <f t="shared" si="7"/>
        <v/>
      </c>
      <c r="G115" s="33" t="str">
        <f t="shared" si="7"/>
        <v/>
      </c>
      <c r="H115" s="33" t="str">
        <f t="shared" si="7"/>
        <v/>
      </c>
      <c r="I115" s="33" t="str">
        <f t="shared" si="7"/>
        <v/>
      </c>
      <c r="J115" s="33" t="str">
        <f t="shared" si="7"/>
        <v/>
      </c>
      <c r="K115" s="33" t="str">
        <f t="shared" si="7"/>
        <v/>
      </c>
      <c r="L115" s="33" t="str">
        <f t="shared" si="6"/>
        <v/>
      </c>
      <c r="M115" s="33" t="str">
        <f t="shared" si="6"/>
        <v/>
      </c>
      <c r="N115" s="19" t="str">
        <f t="shared" si="5"/>
        <v/>
      </c>
    </row>
    <row r="116" spans="1:14" ht="15.6" x14ac:dyDescent="0.3">
      <c r="A116" s="33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6" t="str">
        <f t="shared" si="7"/>
        <v/>
      </c>
      <c r="E116" s="6" t="str">
        <f t="shared" si="7"/>
        <v/>
      </c>
      <c r="F116" s="33" t="str">
        <f t="shared" si="7"/>
        <v/>
      </c>
      <c r="G116" s="33" t="str">
        <f t="shared" si="7"/>
        <v/>
      </c>
      <c r="H116" s="33" t="str">
        <f t="shared" si="7"/>
        <v/>
      </c>
      <c r="I116" s="33" t="str">
        <f t="shared" si="7"/>
        <v/>
      </c>
      <c r="J116" s="33" t="str">
        <f t="shared" si="7"/>
        <v/>
      </c>
      <c r="K116" s="33" t="str">
        <f t="shared" si="7"/>
        <v/>
      </c>
      <c r="L116" s="33" t="str">
        <f t="shared" si="7"/>
        <v/>
      </c>
      <c r="M116" s="33" t="str">
        <f t="shared" si="7"/>
        <v/>
      </c>
      <c r="N116" s="19" t="str">
        <f t="shared" si="5"/>
        <v/>
      </c>
    </row>
    <row r="117" spans="1:14" ht="15.6" x14ac:dyDescent="0.3">
      <c r="A117" s="33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6" t="str">
        <f t="shared" si="7"/>
        <v/>
      </c>
      <c r="E117" s="6" t="str">
        <f t="shared" si="7"/>
        <v/>
      </c>
      <c r="F117" s="33" t="str">
        <f t="shared" si="7"/>
        <v/>
      </c>
      <c r="G117" s="33" t="str">
        <f t="shared" si="7"/>
        <v/>
      </c>
      <c r="H117" s="33" t="str">
        <f t="shared" si="7"/>
        <v/>
      </c>
      <c r="I117" s="33" t="str">
        <f t="shared" si="7"/>
        <v/>
      </c>
      <c r="J117" s="33" t="str">
        <f t="shared" si="7"/>
        <v/>
      </c>
      <c r="K117" s="33" t="str">
        <f t="shared" si="7"/>
        <v/>
      </c>
      <c r="L117" s="33" t="str">
        <f t="shared" si="7"/>
        <v/>
      </c>
      <c r="M117" s="33" t="str">
        <f t="shared" si="7"/>
        <v/>
      </c>
      <c r="N117" s="19" t="str">
        <f t="shared" si="5"/>
        <v/>
      </c>
    </row>
    <row r="118" spans="1:14" ht="15.6" x14ac:dyDescent="0.3">
      <c r="A118" s="33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6" t="str">
        <f t="shared" si="7"/>
        <v/>
      </c>
      <c r="E118" s="6" t="str">
        <f t="shared" si="7"/>
        <v/>
      </c>
      <c r="F118" s="33" t="str">
        <f t="shared" si="7"/>
        <v/>
      </c>
      <c r="G118" s="33" t="str">
        <f t="shared" si="7"/>
        <v/>
      </c>
      <c r="H118" s="33" t="str">
        <f t="shared" si="7"/>
        <v/>
      </c>
      <c r="I118" s="33" t="str">
        <f t="shared" si="7"/>
        <v/>
      </c>
      <c r="J118" s="33" t="str">
        <f t="shared" si="7"/>
        <v/>
      </c>
      <c r="K118" s="33" t="str">
        <f t="shared" si="7"/>
        <v/>
      </c>
      <c r="L118" s="33" t="str">
        <f t="shared" si="7"/>
        <v/>
      </c>
      <c r="M118" s="33" t="str">
        <f t="shared" si="7"/>
        <v/>
      </c>
      <c r="N118" s="19" t="str">
        <f t="shared" si="5"/>
        <v/>
      </c>
    </row>
    <row r="119" spans="1:14" ht="15.6" x14ac:dyDescent="0.3">
      <c r="A119" s="33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6" t="str">
        <f t="shared" si="7"/>
        <v/>
      </c>
      <c r="E119" s="6" t="str">
        <f t="shared" si="7"/>
        <v/>
      </c>
      <c r="F119" s="33" t="str">
        <f t="shared" si="7"/>
        <v/>
      </c>
      <c r="G119" s="33" t="str">
        <f t="shared" si="7"/>
        <v/>
      </c>
      <c r="H119" s="33" t="str">
        <f t="shared" si="7"/>
        <v/>
      </c>
      <c r="I119" s="33" t="str">
        <f t="shared" si="7"/>
        <v/>
      </c>
      <c r="J119" s="33" t="str">
        <f t="shared" si="7"/>
        <v/>
      </c>
      <c r="K119" s="33" t="str">
        <f t="shared" si="7"/>
        <v/>
      </c>
      <c r="L119" s="33" t="str">
        <f t="shared" si="7"/>
        <v/>
      </c>
      <c r="M119" s="33" t="str">
        <f t="shared" si="7"/>
        <v/>
      </c>
      <c r="N119" s="19" t="str">
        <f t="shared" si="5"/>
        <v/>
      </c>
    </row>
    <row r="120" spans="1:14" ht="15.6" x14ac:dyDescent="0.3">
      <c r="A120" s="33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6" t="str">
        <f t="shared" si="7"/>
        <v/>
      </c>
      <c r="E120" s="6" t="str">
        <f t="shared" si="7"/>
        <v/>
      </c>
      <c r="F120" s="33" t="str">
        <f t="shared" si="7"/>
        <v/>
      </c>
      <c r="G120" s="33" t="str">
        <f t="shared" si="7"/>
        <v/>
      </c>
      <c r="H120" s="33" t="str">
        <f t="shared" si="7"/>
        <v/>
      </c>
      <c r="I120" s="33" t="str">
        <f t="shared" si="7"/>
        <v/>
      </c>
      <c r="J120" s="33" t="str">
        <f t="shared" si="7"/>
        <v/>
      </c>
      <c r="K120" s="33" t="str">
        <f t="shared" si="7"/>
        <v/>
      </c>
      <c r="L120" s="33" t="str">
        <f t="shared" si="7"/>
        <v/>
      </c>
      <c r="M120" s="33" t="str">
        <f t="shared" si="7"/>
        <v/>
      </c>
      <c r="N120" s="19" t="str">
        <f t="shared" si="5"/>
        <v/>
      </c>
    </row>
    <row r="121" spans="1:14" ht="15.6" x14ac:dyDescent="0.3">
      <c r="A121" s="33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6" t="str">
        <f t="shared" si="7"/>
        <v/>
      </c>
      <c r="E121" s="6" t="str">
        <f t="shared" si="7"/>
        <v/>
      </c>
      <c r="F121" s="33" t="str">
        <f t="shared" si="7"/>
        <v/>
      </c>
      <c r="G121" s="33" t="str">
        <f t="shared" si="7"/>
        <v/>
      </c>
      <c r="H121" s="33" t="str">
        <f t="shared" si="7"/>
        <v/>
      </c>
      <c r="I121" s="33" t="str">
        <f t="shared" si="7"/>
        <v/>
      </c>
      <c r="J121" s="33" t="str">
        <f t="shared" si="7"/>
        <v/>
      </c>
      <c r="K121" s="33" t="str">
        <f t="shared" si="7"/>
        <v/>
      </c>
      <c r="L121" s="33" t="str">
        <f t="shared" si="7"/>
        <v/>
      </c>
      <c r="M121" s="33" t="str">
        <f t="shared" si="7"/>
        <v/>
      </c>
      <c r="N121" s="19" t="str">
        <f t="shared" si="5"/>
        <v/>
      </c>
    </row>
    <row r="122" spans="1:14" ht="15.6" x14ac:dyDescent="0.3">
      <c r="A122" s="33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6" t="str">
        <f t="shared" si="7"/>
        <v/>
      </c>
      <c r="E122" s="6" t="str">
        <f t="shared" si="7"/>
        <v/>
      </c>
      <c r="F122" s="33" t="str">
        <f t="shared" si="7"/>
        <v/>
      </c>
      <c r="G122" s="33" t="str">
        <f t="shared" si="7"/>
        <v/>
      </c>
      <c r="H122" s="33" t="str">
        <f t="shared" si="7"/>
        <v/>
      </c>
      <c r="I122" s="33" t="str">
        <f t="shared" si="7"/>
        <v/>
      </c>
      <c r="J122" s="33" t="str">
        <f t="shared" si="7"/>
        <v/>
      </c>
      <c r="K122" s="33" t="str">
        <f t="shared" si="7"/>
        <v/>
      </c>
      <c r="L122" s="33" t="str">
        <f t="shared" si="7"/>
        <v/>
      </c>
      <c r="M122" s="33" t="str">
        <f t="shared" si="7"/>
        <v/>
      </c>
      <c r="N122" s="19" t="str">
        <f t="shared" si="5"/>
        <v/>
      </c>
    </row>
    <row r="123" spans="1:14" ht="15.6" x14ac:dyDescent="0.3">
      <c r="A123" s="33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6" t="str">
        <f t="shared" si="7"/>
        <v/>
      </c>
      <c r="E123" s="6" t="str">
        <f t="shared" si="7"/>
        <v/>
      </c>
      <c r="F123" s="33" t="str">
        <f t="shared" si="7"/>
        <v/>
      </c>
      <c r="G123" s="33" t="str">
        <f t="shared" si="7"/>
        <v/>
      </c>
      <c r="H123" s="33" t="str">
        <f t="shared" si="7"/>
        <v/>
      </c>
      <c r="I123" s="33" t="str">
        <f t="shared" si="7"/>
        <v/>
      </c>
      <c r="J123" s="33" t="str">
        <f t="shared" si="7"/>
        <v/>
      </c>
      <c r="K123" s="33" t="str">
        <f t="shared" si="7"/>
        <v/>
      </c>
      <c r="L123" s="33" t="str">
        <f t="shared" si="7"/>
        <v/>
      </c>
      <c r="M123" s="33" t="str">
        <f t="shared" si="7"/>
        <v/>
      </c>
      <c r="N123" s="19" t="str">
        <f t="shared" si="5"/>
        <v/>
      </c>
    </row>
  </sheetData>
  <autoFilter ref="A25:N123" xr:uid="{09A9E6C0-E619-4BB4-9961-43A96E0602B8}"/>
  <mergeCells count="25">
    <mergeCell ref="B22:M23"/>
    <mergeCell ref="H12:H14"/>
    <mergeCell ref="K12:K14"/>
    <mergeCell ref="B15:B17"/>
    <mergeCell ref="E15:E17"/>
    <mergeCell ref="H15:H17"/>
    <mergeCell ref="K15:K17"/>
    <mergeCell ref="B18:B20"/>
    <mergeCell ref="E18:E20"/>
    <mergeCell ref="H18:H20"/>
    <mergeCell ref="K18:K20"/>
    <mergeCell ref="B4:D4"/>
    <mergeCell ref="E4:G4"/>
    <mergeCell ref="H4:J4"/>
    <mergeCell ref="K4:M4"/>
    <mergeCell ref="B6:B8"/>
    <mergeCell ref="E6:E8"/>
    <mergeCell ref="H6:H8"/>
    <mergeCell ref="K6:K8"/>
    <mergeCell ref="B9:B11"/>
    <mergeCell ref="E9:E11"/>
    <mergeCell ref="H9:H11"/>
    <mergeCell ref="K9:K11"/>
    <mergeCell ref="B12:B14"/>
    <mergeCell ref="E12:E14"/>
  </mergeCells>
  <conditionalFormatting sqref="B26:C1126 G26:G126 I26:I126 K26:K126 E26:E126 M26:M126 D26:L26">
    <cfRule type="cellIs" dxfId="2825" priority="47" operator="notEqual">
      <formula>""</formula>
    </cfRule>
  </conditionalFormatting>
  <conditionalFormatting sqref="D6:D8">
    <cfRule type="top10" dxfId="2824" priority="3" rank="1"/>
  </conditionalFormatting>
  <conditionalFormatting sqref="C6:C8">
    <cfRule type="expression" dxfId="2823" priority="4">
      <formula>D6=LARGE(D$6:D$8,1)</formula>
    </cfRule>
  </conditionalFormatting>
  <conditionalFormatting sqref="B26:N126">
    <cfRule type="cellIs" dxfId="2822" priority="1" operator="equal">
      <formula>""</formula>
    </cfRule>
  </conditionalFormatting>
  <conditionalFormatting sqref="F26:F126 H26:H126 J26:J126 L26:L126 D26:D126">
    <cfRule type="cellIs" dxfId="2821" priority="44" operator="notEqual">
      <formula>""</formula>
    </cfRule>
  </conditionalFormatting>
  <conditionalFormatting sqref="D26:D126">
    <cfRule type="cellIs" dxfId="2820" priority="43" operator="notEqual">
      <formula>""</formula>
    </cfRule>
  </conditionalFormatting>
  <conditionalFormatting sqref="C9:C11">
    <cfRule type="expression" dxfId="2819" priority="6">
      <formula>D9=LARGE(D$9:D$11,1)</formula>
    </cfRule>
  </conditionalFormatting>
  <conditionalFormatting sqref="D9:D11">
    <cfRule type="top10" dxfId="2818" priority="5" rank="1"/>
  </conditionalFormatting>
  <conditionalFormatting sqref="D12:D14">
    <cfRule type="top10" dxfId="2817" priority="7" rank="1"/>
  </conditionalFormatting>
  <conditionalFormatting sqref="G6:G8">
    <cfRule type="top10" dxfId="2816" priority="13" rank="1"/>
  </conditionalFormatting>
  <conditionalFormatting sqref="G9:G11">
    <cfRule type="top10" dxfId="2815" priority="15" rank="1"/>
  </conditionalFormatting>
  <conditionalFormatting sqref="G12:G14">
    <cfRule type="top10" dxfId="2814" priority="17" rank="1"/>
  </conditionalFormatting>
  <conditionalFormatting sqref="J6:J8">
    <cfRule type="top10" dxfId="2813" priority="25" rank="1"/>
  </conditionalFormatting>
  <conditionalFormatting sqref="J9:J11">
    <cfRule type="top10" dxfId="2812" priority="27" rank="1"/>
  </conditionalFormatting>
  <conditionalFormatting sqref="J12:J14">
    <cfRule type="top10" dxfId="2811" priority="29" rank="1"/>
  </conditionalFormatting>
  <conditionalFormatting sqref="M6:M8">
    <cfRule type="top10" dxfId="2810" priority="35" rank="1"/>
  </conditionalFormatting>
  <conditionalFormatting sqref="M9:M11">
    <cfRule type="top10" dxfId="2809" priority="37" rank="1"/>
  </conditionalFormatting>
  <conditionalFormatting sqref="M12:M14">
    <cfRule type="top10" dxfId="2808" priority="39" rank="1"/>
  </conditionalFormatting>
  <conditionalFormatting sqref="C12:C14">
    <cfRule type="expression" dxfId="2807" priority="8">
      <formula>D12=LARGE(D$12:D$14,1)</formula>
    </cfRule>
  </conditionalFormatting>
  <conditionalFormatting sqref="F6:F8">
    <cfRule type="expression" dxfId="2806" priority="14">
      <formula>G6=LARGE(G$6:G$8,1)</formula>
    </cfRule>
  </conditionalFormatting>
  <conditionalFormatting sqref="F9:F11">
    <cfRule type="expression" dxfId="2805" priority="16">
      <formula>G9=LARGE(G$9:G$11,1)</formula>
    </cfRule>
  </conditionalFormatting>
  <conditionalFormatting sqref="F12:F14">
    <cfRule type="expression" dxfId="2804" priority="18">
      <formula>G12=LARGE(G$12:G$14,1)</formula>
    </cfRule>
  </conditionalFormatting>
  <conditionalFormatting sqref="I6:I8">
    <cfRule type="expression" dxfId="2803" priority="26">
      <formula>J6=LARGE(J$6:J$8,1)</formula>
    </cfRule>
  </conditionalFormatting>
  <conditionalFormatting sqref="I9:I11">
    <cfRule type="expression" dxfId="2802" priority="28">
      <formula>J9=LARGE(J$9:J$11,1)</formula>
    </cfRule>
  </conditionalFormatting>
  <conditionalFormatting sqref="I12:I14">
    <cfRule type="expression" dxfId="2801" priority="30">
      <formula>J12=LARGE(J$12:J$14,1)</formula>
    </cfRule>
  </conditionalFormatting>
  <conditionalFormatting sqref="L6:L8">
    <cfRule type="expression" dxfId="2800" priority="36">
      <formula>M6=LARGE(M$6:M$8,1)</formula>
    </cfRule>
  </conditionalFormatting>
  <conditionalFormatting sqref="L9:L11">
    <cfRule type="expression" dxfId="2799" priority="38">
      <formula>M9=LARGE(M$9:M$11,1)</formula>
    </cfRule>
  </conditionalFormatting>
  <conditionalFormatting sqref="L12:L14">
    <cfRule type="expression" dxfId="2798" priority="40">
      <formula>M12=LARGE(M$12:M$14,1)</formula>
    </cfRule>
  </conditionalFormatting>
  <conditionalFormatting sqref="D18:D20">
    <cfRule type="top10" dxfId="2797" priority="11" rank="1"/>
  </conditionalFormatting>
  <conditionalFormatting sqref="C18:C20">
    <cfRule type="expression" dxfId="2796" priority="12">
      <formula>D18=LARGE(D$18:D$20,1)</formula>
    </cfRule>
  </conditionalFormatting>
  <conditionalFormatting sqref="B4:M20">
    <cfRule type="cellIs" dxfId="2795" priority="2" operator="equal">
      <formula>""</formula>
    </cfRule>
  </conditionalFormatting>
  <conditionalFormatting sqref="C15:C17">
    <cfRule type="expression" dxfId="2794" priority="10">
      <formula>D15=LARGE(D$15:D$17,1)</formula>
    </cfRule>
  </conditionalFormatting>
  <conditionalFormatting sqref="D15:D17">
    <cfRule type="top10" dxfId="2793" priority="9" rank="1"/>
  </conditionalFormatting>
  <conditionalFormatting sqref="G15:G17">
    <cfRule type="top10" dxfId="2792" priority="19" rank="1"/>
  </conditionalFormatting>
  <conditionalFormatting sqref="F15:F17">
    <cfRule type="expression" dxfId="2791" priority="22">
      <formula>G15=LARGE(G$15:G$17,1)</formula>
    </cfRule>
  </conditionalFormatting>
  <conditionalFormatting sqref="G18:G20">
    <cfRule type="top10" dxfId="2790" priority="23" rank="1"/>
  </conditionalFormatting>
  <conditionalFormatting sqref="F18:F20">
    <cfRule type="expression" dxfId="2789" priority="24">
      <formula>G18=LARGE(G$18:G$20,1)</formula>
    </cfRule>
  </conditionalFormatting>
  <conditionalFormatting sqref="J15:J17">
    <cfRule type="top10" dxfId="2788" priority="31" rank="1"/>
  </conditionalFormatting>
  <conditionalFormatting sqref="J18:J20">
    <cfRule type="top10" dxfId="2787" priority="33" rank="1"/>
  </conditionalFormatting>
  <conditionalFormatting sqref="I15:I17">
    <cfRule type="expression" dxfId="2786" priority="32">
      <formula>J15=LARGE(J$15:J$17,1)</formula>
    </cfRule>
  </conditionalFormatting>
  <conditionalFormatting sqref="I18:I20">
    <cfRule type="expression" dxfId="2785" priority="34">
      <formula>J18=LARGE(J$18:J$20,1)</formula>
    </cfRule>
  </conditionalFormatting>
  <conditionalFormatting sqref="M15:M17">
    <cfRule type="top10" dxfId="2784" priority="41" rank="1"/>
  </conditionalFormatting>
  <conditionalFormatting sqref="M18:M20">
    <cfRule type="top10" dxfId="2783" priority="45" rank="1"/>
  </conditionalFormatting>
  <conditionalFormatting sqref="L15:L17">
    <cfRule type="expression" dxfId="2782" priority="42">
      <formula>M15=LARGE(M$15:M$17,1)</formula>
    </cfRule>
  </conditionalFormatting>
  <conditionalFormatting sqref="L18:L20">
    <cfRule type="expression" dxfId="2781" priority="46">
      <formula>M18=LARGE(M$18:M$20,1)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lessThan" id="{0C6B74A4-AB91-4555-8137-8918F3EE4C7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" operator="greaterThanOrEqual" id="{2C929613-F874-4FD2-A256-26E1B9EC74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N26:N126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0263-9A79-486E-81EA-7C478ACA203F}">
  <sheetPr codeName="Planilha4"/>
  <dimension ref="A1:N123"/>
  <sheetViews>
    <sheetView topLeftCell="H1" zoomScaleNormal="100" workbookViewId="0">
      <selection activeCell="M26" sqref="D26:M27"/>
    </sheetView>
  </sheetViews>
  <sheetFormatPr defaultColWidth="9.109375" defaultRowHeight="13.8" x14ac:dyDescent="0.25"/>
  <cols>
    <col min="1" max="1" width="0" style="33" hidden="1" customWidth="1"/>
    <col min="2" max="2" width="13.77734375" style="33" bestFit="1" customWidth="1"/>
    <col min="3" max="3" width="43.77734375" style="33" customWidth="1"/>
    <col min="4" max="4" width="14.77734375" style="33" customWidth="1"/>
    <col min="5" max="5" width="14.44140625" style="33" customWidth="1"/>
    <col min="6" max="6" width="23.5546875" style="33" bestFit="1" customWidth="1"/>
    <col min="7" max="7" width="15.33203125" style="33" customWidth="1"/>
    <col min="8" max="8" width="15.77734375" style="33" customWidth="1"/>
    <col min="9" max="9" width="23.5546875" style="33" bestFit="1" customWidth="1"/>
    <col min="10" max="10" width="15.77734375" style="33" customWidth="1"/>
    <col min="11" max="11" width="16" style="33" customWidth="1"/>
    <col min="12" max="12" width="23.5546875" style="33" bestFit="1" customWidth="1"/>
    <col min="13" max="13" width="17.109375" style="33" customWidth="1"/>
    <col min="14" max="14" width="16.77734375" style="33" customWidth="1"/>
    <col min="15" max="15" width="9.109375" style="33"/>
    <col min="16" max="16" width="12.33203125" style="33" bestFit="1" customWidth="1"/>
    <col min="17" max="16384" width="9.109375" style="33"/>
  </cols>
  <sheetData>
    <row r="1" spans="2:13" ht="31.8" customHeight="1" x14ac:dyDescent="0.45">
      <c r="B1" s="52"/>
      <c r="C1" s="52"/>
      <c r="D1" s="52"/>
      <c r="E1" s="52" t="s">
        <v>80</v>
      </c>
      <c r="F1" s="52"/>
      <c r="G1" s="52"/>
      <c r="H1" s="52"/>
      <c r="I1" s="52"/>
      <c r="J1" s="52"/>
      <c r="K1" s="52"/>
      <c r="L1" s="52"/>
      <c r="M1" s="52"/>
    </row>
    <row r="2" spans="2:13" s="47" customFormat="1" ht="6" customHeight="1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2:13" s="47" customFormat="1" ht="6" customHeight="1" x14ac:dyDescent="0.25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2:13" x14ac:dyDescent="0.25">
      <c r="B4" s="67" t="e" cm="1">
        <f t="array" aca="1" ref="B4" ca="1">IF(INDEX(INDIRECT(_xlfn.CONCAT("ListaDeProf",RIGHT(CELL("nome.arquivo"),3))),((COLUMN()-1)/3+1))="","",INDEX(INDIRECT(_xlfn.CONCAT("ListaDeProf",RIGHT(CELL("nome.arquivo"),3))),((COLUMN()-1)/3+1)))</f>
        <v>#REF!</v>
      </c>
      <c r="C4" s="67"/>
      <c r="D4" s="67"/>
      <c r="E4" s="67" t="e" cm="1">
        <f t="array" aca="1" ref="E4" ca="1">IF(INDEX(INDIRECT(_xlfn.CONCAT("ListaDeProf",RIGHT(CELL("nome.arquivo"),3))),((COLUMN()-1)/3+1))="","",INDEX(INDIRECT(_xlfn.CONCAT("ListaDeProf",RIGHT(CELL("nome.arquivo"),3))),((COLUMN()-1)/3+1)))</f>
        <v>#REF!</v>
      </c>
      <c r="F4" s="67"/>
      <c r="G4" s="67"/>
      <c r="H4" s="67" t="e" cm="1">
        <f t="array" aca="1" ref="H4" ca="1">IF(INDEX(INDIRECT(_xlfn.CONCAT("ListaDeProf",RIGHT(CELL("nome.arquivo"),3))),((COLUMN()-1)/3+1))="","",INDEX(INDIRECT(_xlfn.CONCAT("ListaDeProf",RIGHT(CELL("nome.arquivo"),3))),((COLUMN()-1)/3+1)))</f>
        <v>#REF!</v>
      </c>
      <c r="I4" s="67"/>
      <c r="J4" s="67"/>
      <c r="K4" s="67" t="e" cm="1">
        <f t="array" aca="1" ref="K4" ca="1">IF(INDEX(INDIRECT(_xlfn.CONCAT("ListaDeProf",RIGHT(CELL("nome.arquivo"),3))),((COLUMN()-1)/3+1))="","",INDEX(INDIRECT(_xlfn.CONCAT("ListaDeProf",RIGHT(CELL("nome.arquivo"),3))),((COLUMN()-1)/3+1)))</f>
        <v>#REF!</v>
      </c>
      <c r="L4" s="67"/>
      <c r="M4" s="67"/>
    </row>
    <row r="5" spans="2:13" ht="14.4" thickBot="1" x14ac:dyDescent="0.3">
      <c r="B5" s="46" t="e">
        <f ca="1">IF(B4="","","Questão")</f>
        <v>#REF!</v>
      </c>
      <c r="C5" s="46" t="e">
        <f ca="1">IF(B4="","","Desempenho")</f>
        <v>#REF!</v>
      </c>
      <c r="D5" s="46" t="e">
        <f ca="1">IF(B4="","","Percentual")</f>
        <v>#REF!</v>
      </c>
      <c r="E5" s="57" t="e">
        <f ca="1">IF(E4="","","Questão")</f>
        <v>#REF!</v>
      </c>
      <c r="F5" s="57" t="e">
        <f ca="1">IF(E4="","","Desempenho")</f>
        <v>#REF!</v>
      </c>
      <c r="G5" s="57" t="e">
        <f ca="1">IF(E4="","","Percentual")</f>
        <v>#REF!</v>
      </c>
      <c r="H5" s="57" t="e">
        <f ca="1">IF(H4="","","Questão")</f>
        <v>#REF!</v>
      </c>
      <c r="I5" s="57" t="e">
        <f ca="1">IF(H4="","","Desempenho")</f>
        <v>#REF!</v>
      </c>
      <c r="J5" s="57" t="e">
        <f ca="1">IF(H4="","","Percentual")</f>
        <v>#REF!</v>
      </c>
      <c r="K5" s="57" t="e">
        <f ca="1">IF(K4="","","Questão")</f>
        <v>#REF!</v>
      </c>
      <c r="L5" s="57" t="e">
        <f ca="1">IF(K4="","","Desempenho")</f>
        <v>#REF!</v>
      </c>
      <c r="M5" s="57" t="e">
        <f ca="1">IF(K4="","","Percentual")</f>
        <v>#REF!</v>
      </c>
    </row>
    <row r="6" spans="2:13" x14ac:dyDescent="0.25">
      <c r="B6" s="64" t="e" cm="1">
        <f t="array" aca="1" ref="B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6" s="41" t="e">
        <f ca="1">IF(B6="","","Ruim (0,0 ≤ NOTA &lt; 0,5)")</f>
        <v>#REF!</v>
      </c>
      <c r="D6" s="42" t="e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#REF!</v>
      </c>
      <c r="E6" s="64" t="e" cm="1">
        <f t="array" aca="1" ref="E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6" s="41" t="e">
        <f ca="1">IF(E6="","","Ruim (0,0 ≤ NOTA &lt; 0,5)")</f>
        <v>#REF!</v>
      </c>
      <c r="G6" s="42" t="e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#REF!</v>
      </c>
      <c r="H6" s="64" t="e" cm="1">
        <f t="array" aca="1" ref="H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6" s="41" t="e">
        <f ca="1">IF(H6="","","Ruim (0,0 ≤ NOTA &lt; 0,5)")</f>
        <v>#REF!</v>
      </c>
      <c r="J6" s="42" t="e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#REF!</v>
      </c>
      <c r="K6" s="64" t="e" cm="1">
        <f t="array" aca="1" ref="K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6" s="41" t="e">
        <f ca="1">IF(K6="","","Ruim (0,0 ≤ NOTA &lt; 0,5)")</f>
        <v>#REF!</v>
      </c>
      <c r="M6" s="42" t="e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>#REF!</v>
      </c>
    </row>
    <row r="7" spans="2:13" x14ac:dyDescent="0.25">
      <c r="B7" s="65"/>
      <c r="C7" s="28" t="e">
        <f ca="1">IF(B6="","","Mediano (0,5 ≤ NOTA ≤ 0,7)")</f>
        <v>#REF!</v>
      </c>
      <c r="D7" s="43" t="e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#REF!</v>
      </c>
      <c r="E7" s="65"/>
      <c r="F7" s="28" t="e">
        <f ca="1">IF(E6="","","Mediano (0,5 ≤ NOTA ≤ 0,7)")</f>
        <v>#REF!</v>
      </c>
      <c r="G7" s="43" t="e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#REF!</v>
      </c>
      <c r="H7" s="65"/>
      <c r="I7" s="28" t="e">
        <f ca="1">IF(H6="","","Mediano (0,5 ≤ NOTA ≤ 0,7)")</f>
        <v>#REF!</v>
      </c>
      <c r="J7" s="43" t="e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#REF!</v>
      </c>
      <c r="K7" s="65"/>
      <c r="L7" s="28" t="e">
        <f ca="1">IF(K6="","","Mediano (0,5 ≤ NOTA ≤ 0,7)")</f>
        <v>#REF!</v>
      </c>
      <c r="M7" s="43" t="e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>#REF!</v>
      </c>
    </row>
    <row r="8" spans="2:13" ht="14.4" thickBot="1" x14ac:dyDescent="0.3">
      <c r="B8" s="66"/>
      <c r="C8" s="44" t="e">
        <f ca="1">IF(B6="","","Bom (0,7 &lt; NOTA ≤ 1,0)")</f>
        <v>#REF!</v>
      </c>
      <c r="D8" s="45" t="e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#REF!</v>
      </c>
      <c r="E8" s="66"/>
      <c r="F8" s="44" t="e">
        <f ca="1">IF(E6="","","Bom (0,7 &lt; NOTA ≤ 1,0)")</f>
        <v>#REF!</v>
      </c>
      <c r="G8" s="45" t="e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#REF!</v>
      </c>
      <c r="H8" s="66"/>
      <c r="I8" s="44" t="e">
        <f ca="1">IF(H6="","","Bom (0,7 &lt; NOTA ≤ 1,0)")</f>
        <v>#REF!</v>
      </c>
      <c r="J8" s="45" t="e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#REF!</v>
      </c>
      <c r="K8" s="66"/>
      <c r="L8" s="44" t="e">
        <f ca="1">IF(K6="","","Bom (0,7 &lt; NOTA ≤ 1,0)")</f>
        <v>#REF!</v>
      </c>
      <c r="M8" s="45" t="e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>#REF!</v>
      </c>
    </row>
    <row r="9" spans="2:13" x14ac:dyDescent="0.25">
      <c r="B9" s="64" t="e" cm="1">
        <f t="array" aca="1" ref="B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9" s="41" t="e">
        <f ca="1">IF(B9="","","Ruim (0,0 ≤ NOTA &lt; 0,5)")</f>
        <v>#REF!</v>
      </c>
      <c r="D9" s="42" t="e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#REF!</v>
      </c>
      <c r="E9" s="64" t="e" cm="1">
        <f t="array" aca="1" ref="E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9" s="41" t="e">
        <f ca="1">IF(E9="","","Ruim (0,0 ≤ NOTA &lt; 0,5)")</f>
        <v>#REF!</v>
      </c>
      <c r="G9" s="42" t="e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#REF!</v>
      </c>
      <c r="H9" s="64" t="e" cm="1">
        <f t="array" aca="1" ref="H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9" s="41" t="e">
        <f ca="1">IF(H9="","","Ruim (0,0 ≤ NOTA &lt; 0,5)")</f>
        <v>#REF!</v>
      </c>
      <c r="J9" s="42" t="e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>#REF!</v>
      </c>
      <c r="K9" s="64" t="e" cm="1">
        <f t="array" aca="1" ref="K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9" s="41" t="e">
        <f ca="1">IF(K9="","","Ruim (0,0 ≤ NOTA &lt; 0,5)")</f>
        <v>#REF!</v>
      </c>
      <c r="M9" s="42" t="e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>#REF!</v>
      </c>
    </row>
    <row r="10" spans="2:13" x14ac:dyDescent="0.25">
      <c r="B10" s="65"/>
      <c r="C10" s="28" t="e">
        <f ca="1">IF(B9="","","Mediano (0,5 ≤ NOTA ≤ 0,7)")</f>
        <v>#REF!</v>
      </c>
      <c r="D10" s="43" t="e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#REF!</v>
      </c>
      <c r="E10" s="65"/>
      <c r="F10" s="28" t="e">
        <f ca="1">IF(E9="","","Mediano (0,5 ≤ NOTA ≤ 0,7)")</f>
        <v>#REF!</v>
      </c>
      <c r="G10" s="43" t="e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#REF!</v>
      </c>
      <c r="H10" s="65"/>
      <c r="I10" s="28" t="e">
        <f ca="1">IF(H9="","","Mediano (0,5 ≤ NOTA ≤ 0,7)")</f>
        <v>#REF!</v>
      </c>
      <c r="J10" s="43" t="e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>#REF!</v>
      </c>
      <c r="K10" s="65"/>
      <c r="L10" s="28" t="e">
        <f ca="1">IF(K9="","","Mediano (0,5 ≤ NOTA ≤ 0,7)")</f>
        <v>#REF!</v>
      </c>
      <c r="M10" s="43" t="e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>#REF!</v>
      </c>
    </row>
    <row r="11" spans="2:13" ht="14.4" thickBot="1" x14ac:dyDescent="0.3">
      <c r="B11" s="66"/>
      <c r="C11" s="44" t="e">
        <f ca="1">IF(B9="","","Bom (0,7 &lt; NOTA ≤ 1,0)")</f>
        <v>#REF!</v>
      </c>
      <c r="D11" s="45" t="e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#REF!</v>
      </c>
      <c r="E11" s="66"/>
      <c r="F11" s="44" t="e">
        <f ca="1">IF(E9="","","Bom (0,7 &lt; NOTA ≤ 1,0)")</f>
        <v>#REF!</v>
      </c>
      <c r="G11" s="45" t="e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#REF!</v>
      </c>
      <c r="H11" s="66"/>
      <c r="I11" s="44" t="e">
        <f ca="1">IF(H9="","","Bom (0,7 &lt; NOTA ≤ 1,0)")</f>
        <v>#REF!</v>
      </c>
      <c r="J11" s="45" t="e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>#REF!</v>
      </c>
      <c r="K11" s="66"/>
      <c r="L11" s="44" t="e">
        <f ca="1">IF(K9="","","Bom (0,7 &lt; NOTA ≤ 1,0)")</f>
        <v>#REF!</v>
      </c>
      <c r="M11" s="45" t="e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>#REF!</v>
      </c>
    </row>
    <row r="12" spans="2:13" x14ac:dyDescent="0.25">
      <c r="B12" s="64" t="e" cm="1">
        <f t="array" aca="1" ref="B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2" s="41" t="e">
        <f ca="1">IF(B12="","","Ruim (0,0 ≤ NOTA &lt; 0,5)")</f>
        <v>#REF!</v>
      </c>
      <c r="D12" s="42" t="e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#REF!</v>
      </c>
      <c r="E12" s="64" t="e" cm="1">
        <f t="array" aca="1" ref="E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2" s="41" t="e">
        <f ca="1">IF(E12="","","Ruim (0,0 ≤ NOTA &lt; 0,5)")</f>
        <v>#REF!</v>
      </c>
      <c r="G12" s="42" t="e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>#REF!</v>
      </c>
      <c r="H12" s="64" t="e" cm="1">
        <f t="array" aca="1" ref="H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2" s="41" t="e">
        <f ca="1">IF(H12="","","Ruim (0,0 ≤ NOTA &lt; 0,5)")</f>
        <v>#REF!</v>
      </c>
      <c r="J12" s="42" t="e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>#REF!</v>
      </c>
      <c r="K12" s="64" t="e" cm="1">
        <f t="array" aca="1" ref="K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2" s="41" t="e">
        <f ca="1">IF(K12="","","Ruim (0,0 ≤ NOTA &lt; 0,5)")</f>
        <v>#REF!</v>
      </c>
      <c r="M12" s="42" t="e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>#REF!</v>
      </c>
    </row>
    <row r="13" spans="2:13" x14ac:dyDescent="0.25">
      <c r="B13" s="65"/>
      <c r="C13" s="28" t="e">
        <f ca="1">IF(B12="","","Mediano (0,5 ≤ NOTA ≤ 0,7)")</f>
        <v>#REF!</v>
      </c>
      <c r="D13" s="43" t="e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#REF!</v>
      </c>
      <c r="E13" s="65"/>
      <c r="F13" s="28" t="e">
        <f ca="1">IF(E12="","","Mediano (0,5 ≤ NOTA ≤ 0,7)")</f>
        <v>#REF!</v>
      </c>
      <c r="G13" s="43" t="e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>#REF!</v>
      </c>
      <c r="H13" s="65"/>
      <c r="I13" s="28" t="e">
        <f ca="1">IF(H12="","","Mediano (0,5 ≤ NOTA ≤ 0,7)")</f>
        <v>#REF!</v>
      </c>
      <c r="J13" s="43" t="e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>#REF!</v>
      </c>
      <c r="K13" s="65"/>
      <c r="L13" s="28" t="e">
        <f ca="1">IF(K12="","","Mediano (0,5 ≤ NOTA ≤ 0,7)")</f>
        <v>#REF!</v>
      </c>
      <c r="M13" s="43" t="e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>#REF!</v>
      </c>
    </row>
    <row r="14" spans="2:13" ht="14.4" thickBot="1" x14ac:dyDescent="0.3">
      <c r="B14" s="65"/>
      <c r="C14" s="40" t="e">
        <f ca="1">IF(B12="","","Bom (0,7 &lt; NOTA ≤ 1,0)")</f>
        <v>#REF!</v>
      </c>
      <c r="D14" s="48" t="e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#REF!</v>
      </c>
      <c r="E14" s="65"/>
      <c r="F14" s="40" t="e">
        <f ca="1">IF(E12="","","Bom (0,7 &lt; NOTA ≤ 1,0)")</f>
        <v>#REF!</v>
      </c>
      <c r="G14" s="48" t="e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>#REF!</v>
      </c>
      <c r="H14" s="65"/>
      <c r="I14" s="40" t="e">
        <f ca="1">IF(H12="","","Bom (0,7 &lt; NOTA ≤ 1,0)")</f>
        <v>#REF!</v>
      </c>
      <c r="J14" s="48" t="e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>#REF!</v>
      </c>
      <c r="K14" s="65"/>
      <c r="L14" s="40" t="e">
        <f ca="1">IF(K12="","","Bom (0,7 &lt; NOTA ≤ 1,0)")</f>
        <v>#REF!</v>
      </c>
      <c r="M14" s="48" t="e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>#REF!</v>
      </c>
    </row>
    <row r="15" spans="2:13" x14ac:dyDescent="0.25">
      <c r="B15" s="64" t="e" cm="1">
        <f t="array" aca="1" ref="B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5" s="41" t="e">
        <f ca="1">IF(B15="","","Ruim (0,0 ≤ NOTA &lt; 0,5)")</f>
        <v>#REF!</v>
      </c>
      <c r="D15" s="42" t="e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>#REF!</v>
      </c>
      <c r="E15" s="64" t="e" cm="1">
        <f t="array" aca="1" ref="E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5" s="41" t="e">
        <f ca="1">IF(E15="","","Ruim (0,0 ≤ NOTA &lt; 0,5)")</f>
        <v>#REF!</v>
      </c>
      <c r="G15" s="42" t="e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>#REF!</v>
      </c>
      <c r="H15" s="64" t="e" cm="1">
        <f t="array" aca="1" ref="H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5" s="41" t="e">
        <f ca="1">IF(H15="","","Ruim (0,0 ≤ NOTA &lt; 0,5)")</f>
        <v>#REF!</v>
      </c>
      <c r="J15" s="42" t="e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>#REF!</v>
      </c>
      <c r="K15" s="64" t="e" cm="1">
        <f t="array" aca="1" ref="K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5" s="41" t="e">
        <f ca="1">IF(K15="","","Ruim (0,0 ≤ NOTA &lt; 0,5)")</f>
        <v>#REF!</v>
      </c>
      <c r="M15" s="42" t="e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>#REF!</v>
      </c>
    </row>
    <row r="16" spans="2:13" x14ac:dyDescent="0.25">
      <c r="B16" s="65"/>
      <c r="C16" s="28" t="e">
        <f ca="1">IF(B15="","","Mediano (0,5 ≤ NOTA ≤ 0,7)")</f>
        <v>#REF!</v>
      </c>
      <c r="D16" s="43" t="e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>#REF!</v>
      </c>
      <c r="E16" s="65"/>
      <c r="F16" s="28" t="e">
        <f ca="1">IF(E15="","","Mediano (0,5 ≤ NOTA ≤ 0,7)")</f>
        <v>#REF!</v>
      </c>
      <c r="G16" s="43" t="e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>#REF!</v>
      </c>
      <c r="H16" s="65"/>
      <c r="I16" s="28" t="e">
        <f ca="1">IF(H15="","","Mediano (0,5 ≤ NOTA ≤ 0,7)")</f>
        <v>#REF!</v>
      </c>
      <c r="J16" s="43" t="e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>#REF!</v>
      </c>
      <c r="K16" s="65"/>
      <c r="L16" s="28" t="e">
        <f ca="1">IF(K15="","","Mediano (0,5 ≤ NOTA ≤ 0,7)")</f>
        <v>#REF!</v>
      </c>
      <c r="M16" s="43" t="e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>#REF!</v>
      </c>
    </row>
    <row r="17" spans="1:14" ht="14.4" thickBot="1" x14ac:dyDescent="0.3">
      <c r="B17" s="65"/>
      <c r="C17" s="40" t="e">
        <f ca="1">IF(B15="","","Bom (0,7 &lt; NOTA ≤ 1,0)")</f>
        <v>#REF!</v>
      </c>
      <c r="D17" s="48" t="e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>#REF!</v>
      </c>
      <c r="E17" s="65"/>
      <c r="F17" s="40" t="e">
        <f ca="1">IF(E15="","","Bom (0,7 &lt; NOTA ≤ 1,0)")</f>
        <v>#REF!</v>
      </c>
      <c r="G17" s="48" t="e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>#REF!</v>
      </c>
      <c r="H17" s="65"/>
      <c r="I17" s="40" t="e">
        <f ca="1">IF(H15="","","Bom (0,7 &lt; NOTA ≤ 1,0)")</f>
        <v>#REF!</v>
      </c>
      <c r="J17" s="48" t="e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>#REF!</v>
      </c>
      <c r="K17" s="65"/>
      <c r="L17" s="40" t="e">
        <f ca="1">IF(K15="","","Bom (0,7 &lt; NOTA ≤ 1,0)")</f>
        <v>#REF!</v>
      </c>
      <c r="M17" s="48" t="e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>#REF!</v>
      </c>
    </row>
    <row r="18" spans="1:14" x14ac:dyDescent="0.25">
      <c r="B18" s="69" t="e" cm="1">
        <f t="array" aca="1" ref="B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8" s="41" t="e">
        <f ca="1">IF(B18="","","Ruim (0,0 ≤ NOTA &lt; 0,5)")</f>
        <v>#REF!</v>
      </c>
      <c r="D18" s="49" t="e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>#REF!</v>
      </c>
      <c r="E18" s="69" t="e" cm="1">
        <f t="array" aca="1" ref="E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8" s="41" t="e">
        <f ca="1">IF(E18="","","Ruim (0,0 ≤ NOTA &lt; 0,5)")</f>
        <v>#REF!</v>
      </c>
      <c r="G18" s="42" t="e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>#REF!</v>
      </c>
      <c r="H18" s="69" t="e" cm="1">
        <f t="array" aca="1" ref="H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8" s="41" t="e">
        <f ca="1">IF(H18="","","Ruim (0,0 ≤ NOTA &lt; 0,5)")</f>
        <v>#REF!</v>
      </c>
      <c r="J18" s="42" t="e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>#REF!</v>
      </c>
      <c r="K18" s="69" t="e" cm="1">
        <f t="array" aca="1" ref="K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8" s="41" t="e">
        <f ca="1">IF(K18="","","Ruim (0,0 ≤ NOTA &lt; 0,5)")</f>
        <v>#REF!</v>
      </c>
      <c r="M18" s="42" t="e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>#REF!</v>
      </c>
    </row>
    <row r="19" spans="1:14" x14ac:dyDescent="0.25">
      <c r="B19" s="70"/>
      <c r="C19" s="28" t="e">
        <f ca="1">IF(B18="","","Mediano (0,5 ≤ NOTA ≤ 0,7)")</f>
        <v>#REF!</v>
      </c>
      <c r="D19" s="50" t="e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>#REF!</v>
      </c>
      <c r="E19" s="70"/>
      <c r="F19" s="28" t="e">
        <f ca="1">IF(E18="","","Mediano (0,5 ≤ NOTA ≤ 0,7)")</f>
        <v>#REF!</v>
      </c>
      <c r="G19" s="43" t="e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>#REF!</v>
      </c>
      <c r="H19" s="70"/>
      <c r="I19" s="28" t="e">
        <f ca="1">IF(H18="","","Mediano (0,5 ≤ NOTA ≤ 0,7)")</f>
        <v>#REF!</v>
      </c>
      <c r="J19" s="43" t="e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>#REF!</v>
      </c>
      <c r="K19" s="70"/>
      <c r="L19" s="28" t="e">
        <f ca="1">IF(K18="","","Mediano (0,5 ≤ NOTA ≤ 0,7)")</f>
        <v>#REF!</v>
      </c>
      <c r="M19" s="43" t="e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>#REF!</v>
      </c>
    </row>
    <row r="20" spans="1:14" ht="14.4" thickBot="1" x14ac:dyDescent="0.3">
      <c r="B20" s="71"/>
      <c r="C20" s="44" t="e">
        <f ca="1">IF(B18="","","Bom (0,7 &lt; NOTA ≤ 1,0)")</f>
        <v>#REF!</v>
      </c>
      <c r="D20" s="51" t="e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>#REF!</v>
      </c>
      <c r="E20" s="71"/>
      <c r="F20" s="44" t="e">
        <f ca="1">IF(E18="","","Bom (0,7 &lt; NOTA ≤ 1,0)")</f>
        <v>#REF!</v>
      </c>
      <c r="G20" s="45" t="e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>#REF!</v>
      </c>
      <c r="H20" s="71"/>
      <c r="I20" s="44" t="e">
        <f ca="1">IF(H18="","","Bom (0,7 &lt; NOTA ≤ 1,0)")</f>
        <v>#REF!</v>
      </c>
      <c r="J20" s="45" t="e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>#REF!</v>
      </c>
      <c r="K20" s="71"/>
      <c r="L20" s="44" t="e">
        <f ca="1">IF(K18="","","Bom (0,7 &lt; NOTA ≤ 1,0)")</f>
        <v>#REF!</v>
      </c>
      <c r="M20" s="45" t="e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>#REF!</v>
      </c>
    </row>
    <row r="21" spans="1:14" ht="6" customHeight="1" x14ac:dyDescent="0.25"/>
    <row r="22" spans="1:14" x14ac:dyDescent="0.25">
      <c r="B22" s="68" t="s">
        <v>81</v>
      </c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</row>
    <row r="23" spans="1:14" x14ac:dyDescent="0.25"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</row>
    <row r="24" spans="1:14" ht="6" customHeight="1" x14ac:dyDescent="0.25"/>
    <row r="25" spans="1:14" x14ac:dyDescent="0.25">
      <c r="B25" s="56" t="s">
        <v>1</v>
      </c>
      <c r="C25" s="56" t="s">
        <v>17</v>
      </c>
      <c r="D25" s="56" t="s">
        <v>2</v>
      </c>
      <c r="E25" s="56" t="s">
        <v>3</v>
      </c>
      <c r="F25" s="56" t="s">
        <v>4</v>
      </c>
      <c r="G25" s="56" t="s">
        <v>5</v>
      </c>
      <c r="H25" s="56" t="s">
        <v>6</v>
      </c>
      <c r="I25" s="56" t="s">
        <v>7</v>
      </c>
      <c r="J25" s="56" t="s">
        <v>8</v>
      </c>
      <c r="K25" s="56" t="s">
        <v>9</v>
      </c>
      <c r="L25" s="56" t="s">
        <v>10</v>
      </c>
      <c r="M25" s="56" t="s">
        <v>11</v>
      </c>
      <c r="N25" s="56" t="s">
        <v>0</v>
      </c>
    </row>
    <row r="26" spans="1:14" ht="15.6" x14ac:dyDescent="0.3">
      <c r="A26" s="33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LEONARDO MESQUITA</v>
      </c>
      <c r="D26" s="6">
        <f t="shared" ref="D26:M41" si="0">IF($C26="","",0)</f>
        <v>0</v>
      </c>
      <c r="E26" s="6">
        <f t="shared" si="0"/>
        <v>0</v>
      </c>
      <c r="F26" s="8">
        <f t="shared" si="0"/>
        <v>0</v>
      </c>
      <c r="G26" s="6">
        <f t="shared" si="0"/>
        <v>0</v>
      </c>
      <c r="H26" s="8">
        <f t="shared" si="0"/>
        <v>0</v>
      </c>
      <c r="I26" s="6">
        <f t="shared" si="0"/>
        <v>0</v>
      </c>
      <c r="J26" s="8">
        <f t="shared" si="0"/>
        <v>0</v>
      </c>
      <c r="K26" s="6">
        <f t="shared" si="0"/>
        <v>0</v>
      </c>
      <c r="L26" s="8">
        <f t="shared" si="0"/>
        <v>0</v>
      </c>
      <c r="M26" s="6">
        <f t="shared" si="0"/>
        <v>0</v>
      </c>
      <c r="N26" s="19">
        <f>IF(C26="","",SUM(D26:M26))</f>
        <v>0</v>
      </c>
    </row>
    <row r="27" spans="1:14" ht="15.6" x14ac:dyDescent="0.3">
      <c r="A27" s="33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CITÓ</v>
      </c>
      <c r="D27" s="6">
        <f t="shared" si="0"/>
        <v>0</v>
      </c>
      <c r="E27" s="6">
        <f t="shared" si="0"/>
        <v>0</v>
      </c>
      <c r="F27" s="8">
        <f t="shared" si="0"/>
        <v>0</v>
      </c>
      <c r="G27" s="6">
        <f t="shared" si="0"/>
        <v>0</v>
      </c>
      <c r="H27" s="8">
        <f t="shared" si="0"/>
        <v>0</v>
      </c>
      <c r="I27" s="6">
        <f t="shared" si="0"/>
        <v>0</v>
      </c>
      <c r="J27" s="8">
        <f t="shared" si="0"/>
        <v>0</v>
      </c>
      <c r="K27" s="6">
        <f t="shared" si="0"/>
        <v>0</v>
      </c>
      <c r="L27" s="8">
        <f t="shared" si="0"/>
        <v>0</v>
      </c>
      <c r="M27" s="6">
        <f t="shared" si="0"/>
        <v>0</v>
      </c>
      <c r="N27" s="19">
        <f t="shared" ref="N27:N90" si="1">IF(C27="","",SUM(D27:M27))</f>
        <v>0</v>
      </c>
    </row>
    <row r="28" spans="1:14" ht="15.6" x14ac:dyDescent="0.3">
      <c r="A28" s="33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ARTHUR CITÓ</v>
      </c>
      <c r="D28" s="6">
        <f t="shared" si="0"/>
        <v>0</v>
      </c>
      <c r="E28" s="6">
        <f t="shared" si="0"/>
        <v>0</v>
      </c>
      <c r="F28" s="8">
        <f t="shared" si="0"/>
        <v>0</v>
      </c>
      <c r="G28" s="6">
        <f t="shared" si="0"/>
        <v>0</v>
      </c>
      <c r="H28" s="8">
        <f t="shared" si="0"/>
        <v>0</v>
      </c>
      <c r="I28" s="6">
        <f t="shared" si="0"/>
        <v>0</v>
      </c>
      <c r="J28" s="8">
        <f t="shared" si="0"/>
        <v>0</v>
      </c>
      <c r="K28" s="6">
        <f t="shared" si="0"/>
        <v>0</v>
      </c>
      <c r="L28" s="8">
        <f t="shared" si="0"/>
        <v>0</v>
      </c>
      <c r="M28" s="6">
        <f t="shared" si="0"/>
        <v>0</v>
      </c>
      <c r="N28" s="19">
        <f t="shared" si="1"/>
        <v>0</v>
      </c>
    </row>
    <row r="29" spans="1:14" ht="15.6" x14ac:dyDescent="0.3">
      <c r="A29" s="33">
        <v>4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6" t="str">
        <f t="shared" si="0"/>
        <v/>
      </c>
      <c r="E29" s="6" t="str">
        <f t="shared" si="0"/>
        <v/>
      </c>
      <c r="F29" s="8" t="str">
        <f t="shared" si="0"/>
        <v/>
      </c>
      <c r="G29" s="6" t="str">
        <f t="shared" si="0"/>
        <v/>
      </c>
      <c r="H29" s="8" t="str">
        <f t="shared" si="0"/>
        <v/>
      </c>
      <c r="I29" s="6" t="str">
        <f t="shared" si="0"/>
        <v/>
      </c>
      <c r="J29" s="8" t="str">
        <f t="shared" si="0"/>
        <v/>
      </c>
      <c r="K29" s="6" t="str">
        <f t="shared" si="0"/>
        <v/>
      </c>
      <c r="L29" s="8" t="str">
        <f t="shared" si="0"/>
        <v/>
      </c>
      <c r="M29" s="6" t="str">
        <f t="shared" si="0"/>
        <v/>
      </c>
      <c r="N29" s="19" t="str">
        <f t="shared" si="1"/>
        <v/>
      </c>
    </row>
    <row r="30" spans="1:14" ht="15.6" x14ac:dyDescent="0.3">
      <c r="A30" s="33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6" t="str">
        <f t="shared" si="0"/>
        <v/>
      </c>
      <c r="E30" s="6" t="str">
        <f t="shared" si="0"/>
        <v/>
      </c>
      <c r="F30" s="8" t="str">
        <f t="shared" si="0"/>
        <v/>
      </c>
      <c r="G30" s="6" t="str">
        <f t="shared" si="0"/>
        <v/>
      </c>
      <c r="H30" s="8" t="str">
        <f t="shared" si="0"/>
        <v/>
      </c>
      <c r="I30" s="6" t="str">
        <f t="shared" si="0"/>
        <v/>
      </c>
      <c r="J30" s="8" t="str">
        <f t="shared" si="0"/>
        <v/>
      </c>
      <c r="K30" s="6" t="str">
        <f t="shared" si="0"/>
        <v/>
      </c>
      <c r="L30" s="8" t="str">
        <f t="shared" si="0"/>
        <v/>
      </c>
      <c r="M30" s="6" t="str">
        <f t="shared" si="0"/>
        <v/>
      </c>
      <c r="N30" s="19" t="str">
        <f t="shared" si="1"/>
        <v/>
      </c>
    </row>
    <row r="31" spans="1:14" ht="15.6" x14ac:dyDescent="0.3">
      <c r="A31" s="33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6" t="str">
        <f t="shared" si="0"/>
        <v/>
      </c>
      <c r="E31" s="6" t="str">
        <f t="shared" si="0"/>
        <v/>
      </c>
      <c r="F31" s="8" t="str">
        <f t="shared" si="0"/>
        <v/>
      </c>
      <c r="G31" s="6" t="str">
        <f t="shared" si="0"/>
        <v/>
      </c>
      <c r="H31" s="8" t="str">
        <f t="shared" si="0"/>
        <v/>
      </c>
      <c r="I31" s="6" t="str">
        <f t="shared" si="0"/>
        <v/>
      </c>
      <c r="J31" s="8" t="str">
        <f t="shared" si="0"/>
        <v/>
      </c>
      <c r="K31" s="6" t="str">
        <f t="shared" si="0"/>
        <v/>
      </c>
      <c r="L31" s="8" t="str">
        <f t="shared" si="0"/>
        <v/>
      </c>
      <c r="M31" s="6" t="str">
        <f t="shared" si="0"/>
        <v/>
      </c>
      <c r="N31" s="19" t="str">
        <f t="shared" si="1"/>
        <v/>
      </c>
    </row>
    <row r="32" spans="1:14" ht="15.6" x14ac:dyDescent="0.3">
      <c r="A32" s="33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6" t="str">
        <f t="shared" si="0"/>
        <v/>
      </c>
      <c r="E32" s="6" t="str">
        <f t="shared" si="0"/>
        <v/>
      </c>
      <c r="F32" s="8" t="str">
        <f t="shared" si="0"/>
        <v/>
      </c>
      <c r="G32" s="6" t="str">
        <f t="shared" si="0"/>
        <v/>
      </c>
      <c r="H32" s="8" t="str">
        <f t="shared" si="0"/>
        <v/>
      </c>
      <c r="I32" s="6" t="str">
        <f t="shared" si="0"/>
        <v/>
      </c>
      <c r="J32" s="8" t="str">
        <f t="shared" si="0"/>
        <v/>
      </c>
      <c r="K32" s="6" t="str">
        <f t="shared" si="0"/>
        <v/>
      </c>
      <c r="L32" s="8" t="str">
        <f t="shared" si="0"/>
        <v/>
      </c>
      <c r="M32" s="6" t="str">
        <f t="shared" si="0"/>
        <v/>
      </c>
      <c r="N32" s="19" t="str">
        <f t="shared" si="1"/>
        <v/>
      </c>
    </row>
    <row r="33" spans="1:14" ht="15.6" x14ac:dyDescent="0.3">
      <c r="A33" s="33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6" t="str">
        <f t="shared" si="0"/>
        <v/>
      </c>
      <c r="E33" s="6" t="str">
        <f t="shared" si="0"/>
        <v/>
      </c>
      <c r="F33" s="8" t="str">
        <f t="shared" si="0"/>
        <v/>
      </c>
      <c r="G33" s="6" t="str">
        <f t="shared" si="0"/>
        <v/>
      </c>
      <c r="H33" s="8" t="str">
        <f t="shared" si="0"/>
        <v/>
      </c>
      <c r="I33" s="6" t="str">
        <f t="shared" si="0"/>
        <v/>
      </c>
      <c r="J33" s="8" t="str">
        <f t="shared" si="0"/>
        <v/>
      </c>
      <c r="K33" s="6" t="str">
        <f t="shared" si="0"/>
        <v/>
      </c>
      <c r="L33" s="8" t="str">
        <f t="shared" si="0"/>
        <v/>
      </c>
      <c r="M33" s="6" t="str">
        <f t="shared" si="0"/>
        <v/>
      </c>
      <c r="N33" s="19" t="str">
        <f t="shared" si="1"/>
        <v/>
      </c>
    </row>
    <row r="34" spans="1:14" ht="15.6" x14ac:dyDescent="0.3">
      <c r="A34" s="33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6" t="str">
        <f t="shared" si="0"/>
        <v/>
      </c>
      <c r="E34" s="6" t="str">
        <f t="shared" si="0"/>
        <v/>
      </c>
      <c r="F34" s="8" t="str">
        <f t="shared" si="0"/>
        <v/>
      </c>
      <c r="G34" s="6" t="str">
        <f t="shared" si="0"/>
        <v/>
      </c>
      <c r="H34" s="8" t="str">
        <f t="shared" si="0"/>
        <v/>
      </c>
      <c r="I34" s="6" t="str">
        <f t="shared" si="0"/>
        <v/>
      </c>
      <c r="J34" s="8" t="str">
        <f t="shared" si="0"/>
        <v/>
      </c>
      <c r="K34" s="6" t="str">
        <f t="shared" si="0"/>
        <v/>
      </c>
      <c r="L34" s="8" t="str">
        <f t="shared" si="0"/>
        <v/>
      </c>
      <c r="M34" s="6" t="str">
        <f t="shared" si="0"/>
        <v/>
      </c>
      <c r="N34" s="19" t="str">
        <f t="shared" si="1"/>
        <v/>
      </c>
    </row>
    <row r="35" spans="1:14" ht="15.6" x14ac:dyDescent="0.3">
      <c r="A35" s="33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6" t="str">
        <f t="shared" si="0"/>
        <v/>
      </c>
      <c r="E35" s="6" t="str">
        <f t="shared" si="0"/>
        <v/>
      </c>
      <c r="F35" s="8" t="str">
        <f t="shared" si="0"/>
        <v/>
      </c>
      <c r="G35" s="6" t="str">
        <f t="shared" si="0"/>
        <v/>
      </c>
      <c r="H35" s="8" t="str">
        <f t="shared" si="0"/>
        <v/>
      </c>
      <c r="I35" s="6" t="str">
        <f t="shared" si="0"/>
        <v/>
      </c>
      <c r="J35" s="8" t="str">
        <f t="shared" si="0"/>
        <v/>
      </c>
      <c r="K35" s="6" t="str">
        <f t="shared" si="0"/>
        <v/>
      </c>
      <c r="L35" s="8" t="str">
        <f t="shared" si="0"/>
        <v/>
      </c>
      <c r="M35" s="6" t="str">
        <f t="shared" si="0"/>
        <v/>
      </c>
      <c r="N35" s="19" t="str">
        <f t="shared" si="1"/>
        <v/>
      </c>
    </row>
    <row r="36" spans="1:14" ht="15.6" x14ac:dyDescent="0.3">
      <c r="A36" s="33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6" t="str">
        <f t="shared" si="0"/>
        <v/>
      </c>
      <c r="E36" s="6" t="str">
        <f t="shared" si="0"/>
        <v/>
      </c>
      <c r="F36" s="8" t="str">
        <f t="shared" si="0"/>
        <v/>
      </c>
      <c r="G36" s="6" t="str">
        <f t="shared" si="0"/>
        <v/>
      </c>
      <c r="H36" s="8" t="str">
        <f t="shared" si="0"/>
        <v/>
      </c>
      <c r="I36" s="6" t="str">
        <f t="shared" si="0"/>
        <v/>
      </c>
      <c r="J36" s="8" t="str">
        <f t="shared" si="0"/>
        <v/>
      </c>
      <c r="K36" s="6" t="str">
        <f t="shared" si="0"/>
        <v/>
      </c>
      <c r="L36" s="8" t="str">
        <f t="shared" si="0"/>
        <v/>
      </c>
      <c r="M36" s="6" t="str">
        <f t="shared" si="0"/>
        <v/>
      </c>
      <c r="N36" s="19" t="str">
        <f t="shared" si="1"/>
        <v/>
      </c>
    </row>
    <row r="37" spans="1:14" ht="15.6" x14ac:dyDescent="0.3">
      <c r="A37" s="33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6" t="str">
        <f t="shared" si="0"/>
        <v/>
      </c>
      <c r="E37" s="6" t="str">
        <f t="shared" si="0"/>
        <v/>
      </c>
      <c r="F37" s="8" t="str">
        <f t="shared" si="0"/>
        <v/>
      </c>
      <c r="G37" s="6" t="str">
        <f t="shared" si="0"/>
        <v/>
      </c>
      <c r="H37" s="8" t="str">
        <f t="shared" si="0"/>
        <v/>
      </c>
      <c r="I37" s="6" t="str">
        <f t="shared" si="0"/>
        <v/>
      </c>
      <c r="J37" s="8" t="str">
        <f t="shared" si="0"/>
        <v/>
      </c>
      <c r="K37" s="6" t="str">
        <f t="shared" si="0"/>
        <v/>
      </c>
      <c r="L37" s="8" t="str">
        <f t="shared" si="0"/>
        <v/>
      </c>
      <c r="M37" s="6" t="str">
        <f t="shared" si="0"/>
        <v/>
      </c>
      <c r="N37" s="19" t="str">
        <f t="shared" si="1"/>
        <v/>
      </c>
    </row>
    <row r="38" spans="1:14" ht="15.6" x14ac:dyDescent="0.3">
      <c r="A38" s="33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6" t="str">
        <f t="shared" si="0"/>
        <v/>
      </c>
      <c r="E38" s="6" t="str">
        <f t="shared" si="0"/>
        <v/>
      </c>
      <c r="F38" s="8" t="str">
        <f t="shared" si="0"/>
        <v/>
      </c>
      <c r="G38" s="6" t="str">
        <f t="shared" si="0"/>
        <v/>
      </c>
      <c r="H38" s="8" t="str">
        <f t="shared" si="0"/>
        <v/>
      </c>
      <c r="I38" s="6" t="str">
        <f t="shared" si="0"/>
        <v/>
      </c>
      <c r="J38" s="8" t="str">
        <f t="shared" si="0"/>
        <v/>
      </c>
      <c r="K38" s="6" t="str">
        <f t="shared" si="0"/>
        <v/>
      </c>
      <c r="L38" s="8" t="str">
        <f t="shared" si="0"/>
        <v/>
      </c>
      <c r="M38" s="6" t="str">
        <f t="shared" si="0"/>
        <v/>
      </c>
      <c r="N38" s="19" t="str">
        <f t="shared" si="1"/>
        <v/>
      </c>
    </row>
    <row r="39" spans="1:14" ht="15.6" x14ac:dyDescent="0.3">
      <c r="A39" s="33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6" t="str">
        <f t="shared" si="0"/>
        <v/>
      </c>
      <c r="E39" s="6" t="str">
        <f t="shared" si="0"/>
        <v/>
      </c>
      <c r="F39" s="8" t="str">
        <f t="shared" si="0"/>
        <v/>
      </c>
      <c r="G39" s="6" t="str">
        <f t="shared" si="0"/>
        <v/>
      </c>
      <c r="H39" s="8" t="str">
        <f t="shared" si="0"/>
        <v/>
      </c>
      <c r="I39" s="6" t="str">
        <f t="shared" si="0"/>
        <v/>
      </c>
      <c r="J39" s="8" t="str">
        <f t="shared" si="0"/>
        <v/>
      </c>
      <c r="K39" s="6" t="str">
        <f t="shared" si="0"/>
        <v/>
      </c>
      <c r="L39" s="8" t="str">
        <f t="shared" si="0"/>
        <v/>
      </c>
      <c r="M39" s="6" t="str">
        <f t="shared" si="0"/>
        <v/>
      </c>
      <c r="N39" s="19" t="str">
        <f t="shared" si="1"/>
        <v/>
      </c>
    </row>
    <row r="40" spans="1:14" ht="15.6" x14ac:dyDescent="0.3">
      <c r="A40" s="33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6" t="str">
        <f t="shared" si="0"/>
        <v/>
      </c>
      <c r="E40" s="6" t="str">
        <f t="shared" si="0"/>
        <v/>
      </c>
      <c r="F40" s="8" t="str">
        <f t="shared" si="0"/>
        <v/>
      </c>
      <c r="G40" s="6" t="str">
        <f t="shared" si="0"/>
        <v/>
      </c>
      <c r="H40" s="8" t="str">
        <f t="shared" si="0"/>
        <v/>
      </c>
      <c r="I40" s="6" t="str">
        <f t="shared" si="0"/>
        <v/>
      </c>
      <c r="J40" s="8" t="str">
        <f t="shared" si="0"/>
        <v/>
      </c>
      <c r="K40" s="6" t="str">
        <f t="shared" si="0"/>
        <v/>
      </c>
      <c r="L40" s="8" t="str">
        <f t="shared" si="0"/>
        <v/>
      </c>
      <c r="M40" s="6" t="str">
        <f t="shared" si="0"/>
        <v/>
      </c>
      <c r="N40" s="19" t="str">
        <f t="shared" si="1"/>
        <v/>
      </c>
    </row>
    <row r="41" spans="1:14" ht="15.6" x14ac:dyDescent="0.3">
      <c r="A41" s="33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6" t="str">
        <f t="shared" si="0"/>
        <v/>
      </c>
      <c r="E41" s="6" t="str">
        <f t="shared" si="0"/>
        <v/>
      </c>
      <c r="F41" s="8" t="str">
        <f t="shared" si="0"/>
        <v/>
      </c>
      <c r="G41" s="6" t="str">
        <f t="shared" si="0"/>
        <v/>
      </c>
      <c r="H41" s="8" t="str">
        <f t="shared" si="0"/>
        <v/>
      </c>
      <c r="I41" s="6" t="str">
        <f t="shared" si="0"/>
        <v/>
      </c>
      <c r="J41" s="8" t="str">
        <f t="shared" si="0"/>
        <v/>
      </c>
      <c r="K41" s="6" t="str">
        <f t="shared" si="0"/>
        <v/>
      </c>
      <c r="L41" s="8" t="str">
        <f t="shared" si="0"/>
        <v/>
      </c>
      <c r="M41" s="6" t="str">
        <f t="shared" si="0"/>
        <v/>
      </c>
      <c r="N41" s="19" t="str">
        <f t="shared" si="1"/>
        <v/>
      </c>
    </row>
    <row r="42" spans="1:14" ht="15.6" x14ac:dyDescent="0.3">
      <c r="A42" s="33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6" t="str">
        <f t="shared" ref="D42:M67" si="2">IF($C42="","",0)</f>
        <v/>
      </c>
      <c r="E42" s="6" t="str">
        <f t="shared" si="2"/>
        <v/>
      </c>
      <c r="F42" s="8" t="str">
        <f t="shared" si="2"/>
        <v/>
      </c>
      <c r="G42" s="6" t="str">
        <f t="shared" si="2"/>
        <v/>
      </c>
      <c r="H42" s="8" t="str">
        <f t="shared" si="2"/>
        <v/>
      </c>
      <c r="I42" s="6" t="str">
        <f t="shared" si="2"/>
        <v/>
      </c>
      <c r="J42" s="8" t="str">
        <f t="shared" si="2"/>
        <v/>
      </c>
      <c r="K42" s="6" t="str">
        <f t="shared" si="2"/>
        <v/>
      </c>
      <c r="L42" s="8" t="str">
        <f t="shared" si="2"/>
        <v/>
      </c>
      <c r="M42" s="6" t="str">
        <f t="shared" si="2"/>
        <v/>
      </c>
      <c r="N42" s="19" t="str">
        <f t="shared" si="1"/>
        <v/>
      </c>
    </row>
    <row r="43" spans="1:14" ht="15.6" x14ac:dyDescent="0.3">
      <c r="A43" s="33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6" t="str">
        <f t="shared" si="2"/>
        <v/>
      </c>
      <c r="E43" s="6" t="str">
        <f t="shared" si="2"/>
        <v/>
      </c>
      <c r="F43" s="8" t="str">
        <f t="shared" si="2"/>
        <v/>
      </c>
      <c r="G43" s="6" t="str">
        <f t="shared" si="2"/>
        <v/>
      </c>
      <c r="H43" s="8" t="str">
        <f t="shared" si="2"/>
        <v/>
      </c>
      <c r="I43" s="6" t="str">
        <f t="shared" si="2"/>
        <v/>
      </c>
      <c r="J43" s="8" t="str">
        <f t="shared" si="2"/>
        <v/>
      </c>
      <c r="K43" s="6" t="str">
        <f t="shared" si="2"/>
        <v/>
      </c>
      <c r="L43" s="8" t="str">
        <f t="shared" si="2"/>
        <v/>
      </c>
      <c r="M43" s="6" t="str">
        <f t="shared" si="2"/>
        <v/>
      </c>
      <c r="N43" s="19" t="str">
        <f t="shared" si="1"/>
        <v/>
      </c>
    </row>
    <row r="44" spans="1:14" ht="15.6" x14ac:dyDescent="0.3">
      <c r="A44" s="33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6" t="str">
        <f t="shared" si="2"/>
        <v/>
      </c>
      <c r="E44" s="6" t="str">
        <f t="shared" si="2"/>
        <v/>
      </c>
      <c r="F44" s="8" t="str">
        <f t="shared" si="2"/>
        <v/>
      </c>
      <c r="G44" s="6" t="str">
        <f t="shared" si="2"/>
        <v/>
      </c>
      <c r="H44" s="8" t="str">
        <f t="shared" si="2"/>
        <v/>
      </c>
      <c r="I44" s="6" t="str">
        <f t="shared" si="2"/>
        <v/>
      </c>
      <c r="J44" s="8" t="str">
        <f t="shared" si="2"/>
        <v/>
      </c>
      <c r="K44" s="6" t="str">
        <f t="shared" si="2"/>
        <v/>
      </c>
      <c r="L44" s="8" t="str">
        <f t="shared" si="2"/>
        <v/>
      </c>
      <c r="M44" s="6" t="str">
        <f t="shared" si="2"/>
        <v/>
      </c>
      <c r="N44" s="19" t="str">
        <f t="shared" si="1"/>
        <v/>
      </c>
    </row>
    <row r="45" spans="1:14" ht="15.6" x14ac:dyDescent="0.3">
      <c r="A45" s="33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6" t="str">
        <f t="shared" si="2"/>
        <v/>
      </c>
      <c r="E45" s="6" t="str">
        <f t="shared" si="2"/>
        <v/>
      </c>
      <c r="F45" s="8" t="str">
        <f t="shared" si="2"/>
        <v/>
      </c>
      <c r="G45" s="6" t="str">
        <f t="shared" si="2"/>
        <v/>
      </c>
      <c r="H45" s="8" t="str">
        <f t="shared" si="2"/>
        <v/>
      </c>
      <c r="I45" s="6" t="str">
        <f t="shared" si="2"/>
        <v/>
      </c>
      <c r="J45" s="8" t="str">
        <f t="shared" si="2"/>
        <v/>
      </c>
      <c r="K45" s="6" t="str">
        <f t="shared" si="2"/>
        <v/>
      </c>
      <c r="L45" s="8" t="str">
        <f t="shared" si="2"/>
        <v/>
      </c>
      <c r="M45" s="6" t="str">
        <f t="shared" si="2"/>
        <v/>
      </c>
      <c r="N45" s="19" t="str">
        <f t="shared" si="1"/>
        <v/>
      </c>
    </row>
    <row r="46" spans="1:14" ht="15.6" x14ac:dyDescent="0.3">
      <c r="A46" s="33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6" t="str">
        <f t="shared" si="2"/>
        <v/>
      </c>
      <c r="E46" s="6" t="str">
        <f t="shared" si="2"/>
        <v/>
      </c>
      <c r="F46" s="8" t="str">
        <f t="shared" si="2"/>
        <v/>
      </c>
      <c r="G46" s="6" t="str">
        <f t="shared" si="2"/>
        <v/>
      </c>
      <c r="H46" s="8" t="str">
        <f t="shared" si="2"/>
        <v/>
      </c>
      <c r="I46" s="6" t="str">
        <f t="shared" si="2"/>
        <v/>
      </c>
      <c r="J46" s="8" t="str">
        <f t="shared" si="2"/>
        <v/>
      </c>
      <c r="K46" s="6" t="str">
        <f t="shared" si="2"/>
        <v/>
      </c>
      <c r="L46" s="8" t="str">
        <f t="shared" si="2"/>
        <v/>
      </c>
      <c r="M46" s="6" t="str">
        <f t="shared" si="2"/>
        <v/>
      </c>
      <c r="N46" s="19" t="str">
        <f t="shared" si="1"/>
        <v/>
      </c>
    </row>
    <row r="47" spans="1:14" ht="15.6" x14ac:dyDescent="0.3">
      <c r="A47" s="33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6" t="str">
        <f t="shared" si="2"/>
        <v/>
      </c>
      <c r="E47" s="6" t="str">
        <f t="shared" si="2"/>
        <v/>
      </c>
      <c r="F47" s="8" t="str">
        <f t="shared" si="2"/>
        <v/>
      </c>
      <c r="G47" s="6" t="str">
        <f t="shared" si="2"/>
        <v/>
      </c>
      <c r="H47" s="8" t="str">
        <f t="shared" si="2"/>
        <v/>
      </c>
      <c r="I47" s="6" t="str">
        <f t="shared" si="2"/>
        <v/>
      </c>
      <c r="J47" s="8" t="str">
        <f t="shared" si="2"/>
        <v/>
      </c>
      <c r="K47" s="6" t="str">
        <f t="shared" si="2"/>
        <v/>
      </c>
      <c r="L47" s="8" t="str">
        <f t="shared" si="2"/>
        <v/>
      </c>
      <c r="M47" s="6" t="str">
        <f t="shared" si="2"/>
        <v/>
      </c>
      <c r="N47" s="19" t="str">
        <f t="shared" si="1"/>
        <v/>
      </c>
    </row>
    <row r="48" spans="1:14" ht="15.6" x14ac:dyDescent="0.3">
      <c r="A48" s="33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6" t="str">
        <f t="shared" si="2"/>
        <v/>
      </c>
      <c r="E48" s="6" t="str">
        <f t="shared" si="2"/>
        <v/>
      </c>
      <c r="F48" s="8" t="str">
        <f t="shared" si="2"/>
        <v/>
      </c>
      <c r="G48" s="6" t="str">
        <f t="shared" si="2"/>
        <v/>
      </c>
      <c r="H48" s="8" t="str">
        <f t="shared" si="2"/>
        <v/>
      </c>
      <c r="I48" s="6" t="str">
        <f t="shared" si="2"/>
        <v/>
      </c>
      <c r="J48" s="8" t="str">
        <f t="shared" si="2"/>
        <v/>
      </c>
      <c r="K48" s="6" t="str">
        <f t="shared" si="2"/>
        <v/>
      </c>
      <c r="L48" s="8" t="str">
        <f t="shared" si="2"/>
        <v/>
      </c>
      <c r="M48" s="6" t="str">
        <f t="shared" si="2"/>
        <v/>
      </c>
      <c r="N48" s="19" t="str">
        <f t="shared" si="1"/>
        <v/>
      </c>
    </row>
    <row r="49" spans="1:14" ht="15.6" x14ac:dyDescent="0.3">
      <c r="A49" s="33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6" t="str">
        <f t="shared" si="2"/>
        <v/>
      </c>
      <c r="E49" s="6" t="str">
        <f t="shared" si="2"/>
        <v/>
      </c>
      <c r="F49" s="8" t="str">
        <f t="shared" si="2"/>
        <v/>
      </c>
      <c r="G49" s="6" t="str">
        <f t="shared" si="2"/>
        <v/>
      </c>
      <c r="H49" s="8" t="str">
        <f t="shared" si="2"/>
        <v/>
      </c>
      <c r="I49" s="6" t="str">
        <f t="shared" si="2"/>
        <v/>
      </c>
      <c r="J49" s="8" t="str">
        <f t="shared" si="2"/>
        <v/>
      </c>
      <c r="K49" s="6" t="str">
        <f t="shared" si="2"/>
        <v/>
      </c>
      <c r="L49" s="8" t="str">
        <f t="shared" si="2"/>
        <v/>
      </c>
      <c r="M49" s="6" t="str">
        <f t="shared" si="2"/>
        <v/>
      </c>
      <c r="N49" s="19" t="str">
        <f t="shared" si="1"/>
        <v/>
      </c>
    </row>
    <row r="50" spans="1:14" ht="15.6" x14ac:dyDescent="0.3">
      <c r="A50" s="33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6" t="str">
        <f t="shared" si="2"/>
        <v/>
      </c>
      <c r="E50" s="6" t="str">
        <f t="shared" si="2"/>
        <v/>
      </c>
      <c r="F50" s="8" t="str">
        <f t="shared" si="2"/>
        <v/>
      </c>
      <c r="G50" s="6" t="str">
        <f t="shared" si="2"/>
        <v/>
      </c>
      <c r="H50" s="8" t="str">
        <f t="shared" si="2"/>
        <v/>
      </c>
      <c r="I50" s="6" t="str">
        <f t="shared" si="2"/>
        <v/>
      </c>
      <c r="J50" s="8" t="str">
        <f t="shared" si="2"/>
        <v/>
      </c>
      <c r="K50" s="6" t="str">
        <f t="shared" si="2"/>
        <v/>
      </c>
      <c r="L50" s="8" t="str">
        <f t="shared" si="2"/>
        <v/>
      </c>
      <c r="M50" s="6" t="str">
        <f t="shared" si="2"/>
        <v/>
      </c>
      <c r="N50" s="19" t="str">
        <f t="shared" si="1"/>
        <v/>
      </c>
    </row>
    <row r="51" spans="1:14" ht="15.6" x14ac:dyDescent="0.3">
      <c r="A51" s="33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6" t="str">
        <f t="shared" si="2"/>
        <v/>
      </c>
      <c r="E51" s="6" t="str">
        <f t="shared" si="2"/>
        <v/>
      </c>
      <c r="F51" s="8" t="str">
        <f t="shared" si="2"/>
        <v/>
      </c>
      <c r="G51" s="6" t="str">
        <f t="shared" si="2"/>
        <v/>
      </c>
      <c r="H51" s="8" t="str">
        <f t="shared" si="2"/>
        <v/>
      </c>
      <c r="I51" s="6" t="str">
        <f t="shared" si="2"/>
        <v/>
      </c>
      <c r="J51" s="8" t="str">
        <f t="shared" si="2"/>
        <v/>
      </c>
      <c r="K51" s="6" t="str">
        <f t="shared" si="2"/>
        <v/>
      </c>
      <c r="L51" s="8" t="str">
        <f t="shared" si="2"/>
        <v/>
      </c>
      <c r="M51" s="6" t="str">
        <f t="shared" si="2"/>
        <v/>
      </c>
      <c r="N51" s="19" t="str">
        <f t="shared" si="1"/>
        <v/>
      </c>
    </row>
    <row r="52" spans="1:14" ht="15.6" x14ac:dyDescent="0.3">
      <c r="A52" s="33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6" t="str">
        <f t="shared" si="2"/>
        <v/>
      </c>
      <c r="E52" s="6" t="str">
        <f t="shared" si="2"/>
        <v/>
      </c>
      <c r="F52" s="8" t="str">
        <f t="shared" si="2"/>
        <v/>
      </c>
      <c r="G52" s="6" t="str">
        <f t="shared" si="2"/>
        <v/>
      </c>
      <c r="H52" s="8" t="str">
        <f t="shared" si="2"/>
        <v/>
      </c>
      <c r="I52" s="6" t="str">
        <f t="shared" si="2"/>
        <v/>
      </c>
      <c r="J52" s="8" t="str">
        <f t="shared" si="2"/>
        <v/>
      </c>
      <c r="K52" s="6" t="str">
        <f t="shared" si="2"/>
        <v/>
      </c>
      <c r="L52" s="8" t="str">
        <f t="shared" si="2"/>
        <v/>
      </c>
      <c r="M52" s="6" t="str">
        <f t="shared" si="2"/>
        <v/>
      </c>
      <c r="N52" s="19" t="str">
        <f t="shared" si="1"/>
        <v/>
      </c>
    </row>
    <row r="53" spans="1:14" ht="15.6" x14ac:dyDescent="0.3">
      <c r="A53" s="33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6" t="str">
        <f t="shared" si="2"/>
        <v/>
      </c>
      <c r="E53" s="6" t="str">
        <f t="shared" si="2"/>
        <v/>
      </c>
      <c r="F53" s="8" t="str">
        <f t="shared" si="2"/>
        <v/>
      </c>
      <c r="G53" s="6" t="str">
        <f t="shared" si="2"/>
        <v/>
      </c>
      <c r="H53" s="8" t="str">
        <f t="shared" si="2"/>
        <v/>
      </c>
      <c r="I53" s="6" t="str">
        <f t="shared" si="2"/>
        <v/>
      </c>
      <c r="J53" s="8" t="str">
        <f t="shared" si="2"/>
        <v/>
      </c>
      <c r="K53" s="6" t="str">
        <f t="shared" si="2"/>
        <v/>
      </c>
      <c r="L53" s="8" t="str">
        <f t="shared" si="2"/>
        <v/>
      </c>
      <c r="M53" s="6" t="str">
        <f t="shared" si="2"/>
        <v/>
      </c>
      <c r="N53" s="19" t="str">
        <f t="shared" si="1"/>
        <v/>
      </c>
    </row>
    <row r="54" spans="1:14" ht="15.6" x14ac:dyDescent="0.3">
      <c r="A54" s="33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6" t="str">
        <f t="shared" si="2"/>
        <v/>
      </c>
      <c r="E54" s="6" t="str">
        <f t="shared" si="2"/>
        <v/>
      </c>
      <c r="F54" s="33" t="str">
        <f t="shared" si="2"/>
        <v/>
      </c>
      <c r="G54" s="33" t="str">
        <f t="shared" si="2"/>
        <v/>
      </c>
      <c r="H54" s="33" t="str">
        <f t="shared" si="2"/>
        <v/>
      </c>
      <c r="I54" s="33" t="str">
        <f t="shared" si="2"/>
        <v/>
      </c>
      <c r="J54" s="33" t="str">
        <f t="shared" si="2"/>
        <v/>
      </c>
      <c r="K54" s="33" t="str">
        <f t="shared" si="2"/>
        <v/>
      </c>
      <c r="L54" s="33" t="str">
        <f t="shared" si="2"/>
        <v/>
      </c>
      <c r="M54" s="33" t="str">
        <f t="shared" si="2"/>
        <v/>
      </c>
      <c r="N54" s="19" t="str">
        <f t="shared" si="1"/>
        <v/>
      </c>
    </row>
    <row r="55" spans="1:14" ht="15.6" x14ac:dyDescent="0.3">
      <c r="A55" s="33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6" t="str">
        <f t="shared" si="2"/>
        <v/>
      </c>
      <c r="E55" s="6" t="str">
        <f t="shared" si="2"/>
        <v/>
      </c>
      <c r="F55" s="33" t="str">
        <f t="shared" si="2"/>
        <v/>
      </c>
      <c r="G55" s="33" t="str">
        <f t="shared" si="2"/>
        <v/>
      </c>
      <c r="H55" s="33" t="str">
        <f t="shared" si="2"/>
        <v/>
      </c>
      <c r="I55" s="33" t="str">
        <f t="shared" si="2"/>
        <v/>
      </c>
      <c r="J55" s="33" t="str">
        <f t="shared" si="2"/>
        <v/>
      </c>
      <c r="K55" s="33" t="str">
        <f t="shared" si="2"/>
        <v/>
      </c>
      <c r="L55" s="33" t="str">
        <f t="shared" si="2"/>
        <v/>
      </c>
      <c r="M55" s="33" t="str">
        <f t="shared" si="2"/>
        <v/>
      </c>
      <c r="N55" s="19" t="str">
        <f t="shared" si="1"/>
        <v/>
      </c>
    </row>
    <row r="56" spans="1:14" ht="15.6" x14ac:dyDescent="0.3">
      <c r="A56" s="33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6" t="str">
        <f t="shared" si="2"/>
        <v/>
      </c>
      <c r="E56" s="6" t="str">
        <f t="shared" si="2"/>
        <v/>
      </c>
      <c r="F56" s="33" t="str">
        <f t="shared" si="2"/>
        <v/>
      </c>
      <c r="G56" s="33" t="str">
        <f t="shared" si="2"/>
        <v/>
      </c>
      <c r="H56" s="33" t="str">
        <f t="shared" si="2"/>
        <v/>
      </c>
      <c r="I56" s="33" t="str">
        <f t="shared" si="2"/>
        <v/>
      </c>
      <c r="J56" s="33" t="str">
        <f t="shared" si="2"/>
        <v/>
      </c>
      <c r="K56" s="33" t="str">
        <f t="shared" si="2"/>
        <v/>
      </c>
      <c r="L56" s="33" t="str">
        <f t="shared" si="2"/>
        <v/>
      </c>
      <c r="M56" s="33" t="str">
        <f t="shared" si="2"/>
        <v/>
      </c>
      <c r="N56" s="19" t="str">
        <f t="shared" si="1"/>
        <v/>
      </c>
    </row>
    <row r="57" spans="1:14" ht="15.6" x14ac:dyDescent="0.3">
      <c r="A57" s="33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6" t="str">
        <f t="shared" si="2"/>
        <v/>
      </c>
      <c r="E57" s="6" t="str">
        <f t="shared" si="2"/>
        <v/>
      </c>
      <c r="F57" s="33" t="str">
        <f t="shared" si="2"/>
        <v/>
      </c>
      <c r="G57" s="33" t="str">
        <f t="shared" si="2"/>
        <v/>
      </c>
      <c r="H57" s="33" t="str">
        <f t="shared" si="2"/>
        <v/>
      </c>
      <c r="I57" s="33" t="str">
        <f t="shared" si="2"/>
        <v/>
      </c>
      <c r="J57" s="33" t="str">
        <f t="shared" si="2"/>
        <v/>
      </c>
      <c r="K57" s="33" t="str">
        <f t="shared" si="2"/>
        <v/>
      </c>
      <c r="L57" s="33" t="str">
        <f t="shared" si="2"/>
        <v/>
      </c>
      <c r="M57" s="33" t="str">
        <f t="shared" si="2"/>
        <v/>
      </c>
      <c r="N57" s="19" t="str">
        <f t="shared" si="1"/>
        <v/>
      </c>
    </row>
    <row r="58" spans="1:14" ht="15.6" x14ac:dyDescent="0.3">
      <c r="A58" s="33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6" t="str">
        <f t="shared" si="2"/>
        <v/>
      </c>
      <c r="E58" s="6" t="str">
        <f t="shared" si="2"/>
        <v/>
      </c>
      <c r="F58" s="33" t="str">
        <f t="shared" si="2"/>
        <v/>
      </c>
      <c r="G58" s="33" t="str">
        <f t="shared" si="2"/>
        <v/>
      </c>
      <c r="H58" s="33" t="str">
        <f t="shared" si="2"/>
        <v/>
      </c>
      <c r="I58" s="33" t="str">
        <f t="shared" si="2"/>
        <v/>
      </c>
      <c r="J58" s="33" t="str">
        <f t="shared" si="2"/>
        <v/>
      </c>
      <c r="K58" s="33" t="str">
        <f t="shared" si="2"/>
        <v/>
      </c>
      <c r="L58" s="33" t="str">
        <f t="shared" si="2"/>
        <v/>
      </c>
      <c r="M58" s="33" t="str">
        <f t="shared" si="2"/>
        <v/>
      </c>
      <c r="N58" s="19" t="str">
        <f t="shared" si="1"/>
        <v/>
      </c>
    </row>
    <row r="59" spans="1:14" ht="15.6" x14ac:dyDescent="0.3">
      <c r="A59" s="33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6" t="str">
        <f t="shared" si="2"/>
        <v/>
      </c>
      <c r="E59" s="6" t="str">
        <f t="shared" si="2"/>
        <v/>
      </c>
      <c r="F59" s="33" t="str">
        <f t="shared" si="2"/>
        <v/>
      </c>
      <c r="G59" s="33" t="str">
        <f t="shared" si="2"/>
        <v/>
      </c>
      <c r="H59" s="33" t="str">
        <f t="shared" si="2"/>
        <v/>
      </c>
      <c r="I59" s="33" t="str">
        <f t="shared" si="2"/>
        <v/>
      </c>
      <c r="J59" s="33" t="str">
        <f t="shared" si="2"/>
        <v/>
      </c>
      <c r="K59" s="33" t="str">
        <f t="shared" si="2"/>
        <v/>
      </c>
      <c r="L59" s="33" t="str">
        <f t="shared" si="2"/>
        <v/>
      </c>
      <c r="M59" s="33" t="str">
        <f t="shared" si="2"/>
        <v/>
      </c>
      <c r="N59" s="19" t="str">
        <f t="shared" si="1"/>
        <v/>
      </c>
    </row>
    <row r="60" spans="1:14" ht="15.6" x14ac:dyDescent="0.3">
      <c r="A60" s="33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6" t="str">
        <f t="shared" si="2"/>
        <v/>
      </c>
      <c r="E60" s="6" t="str">
        <f t="shared" si="2"/>
        <v/>
      </c>
      <c r="F60" s="33" t="str">
        <f t="shared" si="2"/>
        <v/>
      </c>
      <c r="G60" s="33" t="str">
        <f t="shared" si="2"/>
        <v/>
      </c>
      <c r="H60" s="33" t="str">
        <f t="shared" si="2"/>
        <v/>
      </c>
      <c r="I60" s="33" t="str">
        <f t="shared" si="2"/>
        <v/>
      </c>
      <c r="J60" s="33" t="str">
        <f t="shared" si="2"/>
        <v/>
      </c>
      <c r="K60" s="33" t="str">
        <f t="shared" si="2"/>
        <v/>
      </c>
      <c r="L60" s="33" t="str">
        <f t="shared" si="2"/>
        <v/>
      </c>
      <c r="M60" s="33" t="str">
        <f t="shared" si="2"/>
        <v/>
      </c>
      <c r="N60" s="19" t="str">
        <f t="shared" si="1"/>
        <v/>
      </c>
    </row>
    <row r="61" spans="1:14" ht="15.6" x14ac:dyDescent="0.3">
      <c r="A61" s="33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6" t="str">
        <f t="shared" si="2"/>
        <v/>
      </c>
      <c r="E61" s="6" t="str">
        <f t="shared" si="2"/>
        <v/>
      </c>
      <c r="F61" s="33" t="str">
        <f t="shared" si="2"/>
        <v/>
      </c>
      <c r="G61" s="33" t="str">
        <f t="shared" si="2"/>
        <v/>
      </c>
      <c r="H61" s="33" t="str">
        <f t="shared" si="2"/>
        <v/>
      </c>
      <c r="I61" s="33" t="str">
        <f t="shared" si="2"/>
        <v/>
      </c>
      <c r="J61" s="33" t="str">
        <f t="shared" si="2"/>
        <v/>
      </c>
      <c r="K61" s="33" t="str">
        <f t="shared" si="2"/>
        <v/>
      </c>
      <c r="L61" s="33" t="str">
        <f t="shared" si="2"/>
        <v/>
      </c>
      <c r="M61" s="33" t="str">
        <f t="shared" si="2"/>
        <v/>
      </c>
      <c r="N61" s="19" t="str">
        <f t="shared" si="1"/>
        <v/>
      </c>
    </row>
    <row r="62" spans="1:14" ht="15.6" x14ac:dyDescent="0.3">
      <c r="A62" s="33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6" t="str">
        <f t="shared" si="2"/>
        <v/>
      </c>
      <c r="E62" s="6" t="str">
        <f t="shared" si="2"/>
        <v/>
      </c>
      <c r="F62" s="33" t="str">
        <f t="shared" si="2"/>
        <v/>
      </c>
      <c r="G62" s="33" t="str">
        <f t="shared" si="2"/>
        <v/>
      </c>
      <c r="H62" s="33" t="str">
        <f t="shared" si="2"/>
        <v/>
      </c>
      <c r="I62" s="33" t="str">
        <f t="shared" si="2"/>
        <v/>
      </c>
      <c r="J62" s="33" t="str">
        <f t="shared" si="2"/>
        <v/>
      </c>
      <c r="K62" s="33" t="str">
        <f t="shared" si="2"/>
        <v/>
      </c>
      <c r="L62" s="33" t="str">
        <f t="shared" si="2"/>
        <v/>
      </c>
      <c r="M62" s="33" t="str">
        <f t="shared" si="2"/>
        <v/>
      </c>
      <c r="N62" s="19" t="str">
        <f t="shared" si="1"/>
        <v/>
      </c>
    </row>
    <row r="63" spans="1:14" ht="15.6" x14ac:dyDescent="0.3">
      <c r="A63" s="33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6" t="str">
        <f t="shared" si="2"/>
        <v/>
      </c>
      <c r="E63" s="6" t="str">
        <f t="shared" si="2"/>
        <v/>
      </c>
      <c r="F63" s="33" t="str">
        <f t="shared" si="2"/>
        <v/>
      </c>
      <c r="G63" s="33" t="str">
        <f t="shared" si="2"/>
        <v/>
      </c>
      <c r="H63" s="33" t="str">
        <f t="shared" si="2"/>
        <v/>
      </c>
      <c r="I63" s="33" t="str">
        <f t="shared" si="2"/>
        <v/>
      </c>
      <c r="J63" s="33" t="str">
        <f t="shared" si="2"/>
        <v/>
      </c>
      <c r="K63" s="33" t="str">
        <f t="shared" si="2"/>
        <v/>
      </c>
      <c r="L63" s="33" t="str">
        <f t="shared" si="2"/>
        <v/>
      </c>
      <c r="M63" s="33" t="str">
        <f t="shared" si="2"/>
        <v/>
      </c>
      <c r="N63" s="19" t="str">
        <f t="shared" si="1"/>
        <v/>
      </c>
    </row>
    <row r="64" spans="1:14" ht="15.6" x14ac:dyDescent="0.3">
      <c r="A64" s="33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6" t="str">
        <f t="shared" si="2"/>
        <v/>
      </c>
      <c r="E64" s="6" t="str">
        <f t="shared" si="2"/>
        <v/>
      </c>
      <c r="F64" s="33" t="str">
        <f t="shared" si="2"/>
        <v/>
      </c>
      <c r="G64" s="33" t="str">
        <f t="shared" si="2"/>
        <v/>
      </c>
      <c r="H64" s="33" t="str">
        <f t="shared" si="2"/>
        <v/>
      </c>
      <c r="I64" s="33" t="str">
        <f t="shared" si="2"/>
        <v/>
      </c>
      <c r="J64" s="33" t="str">
        <f t="shared" si="2"/>
        <v/>
      </c>
      <c r="K64" s="33" t="str">
        <f t="shared" si="2"/>
        <v/>
      </c>
      <c r="L64" s="33" t="str">
        <f t="shared" si="2"/>
        <v/>
      </c>
      <c r="M64" s="33" t="str">
        <f t="shared" si="2"/>
        <v/>
      </c>
      <c r="N64" s="19" t="str">
        <f t="shared" si="1"/>
        <v/>
      </c>
    </row>
    <row r="65" spans="1:14" ht="15.6" x14ac:dyDescent="0.3">
      <c r="A65" s="33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6" t="str">
        <f t="shared" si="2"/>
        <v/>
      </c>
      <c r="E65" s="6" t="str">
        <f t="shared" si="2"/>
        <v/>
      </c>
      <c r="F65" s="33" t="str">
        <f t="shared" si="2"/>
        <v/>
      </c>
      <c r="G65" s="33" t="str">
        <f t="shared" si="2"/>
        <v/>
      </c>
      <c r="H65" s="33" t="str">
        <f t="shared" si="2"/>
        <v/>
      </c>
      <c r="I65" s="33" t="str">
        <f t="shared" si="2"/>
        <v/>
      </c>
      <c r="J65" s="33" t="str">
        <f t="shared" si="2"/>
        <v/>
      </c>
      <c r="K65" s="33" t="str">
        <f t="shared" si="2"/>
        <v/>
      </c>
      <c r="L65" s="33" t="str">
        <f t="shared" si="2"/>
        <v/>
      </c>
      <c r="M65" s="33" t="str">
        <f t="shared" si="2"/>
        <v/>
      </c>
      <c r="N65" s="19" t="str">
        <f t="shared" si="1"/>
        <v/>
      </c>
    </row>
    <row r="66" spans="1:14" ht="15.6" x14ac:dyDescent="0.3">
      <c r="A66" s="33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6" t="str">
        <f t="shared" si="2"/>
        <v/>
      </c>
      <c r="E66" s="6" t="str">
        <f t="shared" si="2"/>
        <v/>
      </c>
      <c r="F66" s="33" t="str">
        <f t="shared" si="2"/>
        <v/>
      </c>
      <c r="G66" s="33" t="str">
        <f t="shared" si="2"/>
        <v/>
      </c>
      <c r="H66" s="33" t="str">
        <f t="shared" si="2"/>
        <v/>
      </c>
      <c r="I66" s="33" t="str">
        <f t="shared" si="2"/>
        <v/>
      </c>
      <c r="J66" s="33" t="str">
        <f t="shared" si="2"/>
        <v/>
      </c>
      <c r="K66" s="33" t="str">
        <f t="shared" si="2"/>
        <v/>
      </c>
      <c r="L66" s="33" t="str">
        <f t="shared" si="2"/>
        <v/>
      </c>
      <c r="M66" s="33" t="str">
        <f t="shared" si="2"/>
        <v/>
      </c>
      <c r="N66" s="19" t="str">
        <f t="shared" si="1"/>
        <v/>
      </c>
    </row>
    <row r="67" spans="1:14" ht="15.6" x14ac:dyDescent="0.3">
      <c r="A67" s="33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6" t="str">
        <f t="shared" si="2"/>
        <v/>
      </c>
      <c r="E67" s="6" t="str">
        <f t="shared" si="2"/>
        <v/>
      </c>
      <c r="F67" s="33" t="str">
        <f t="shared" si="2"/>
        <v/>
      </c>
      <c r="G67" s="33" t="str">
        <f t="shared" si="2"/>
        <v/>
      </c>
      <c r="H67" s="33" t="str">
        <f t="shared" si="2"/>
        <v/>
      </c>
      <c r="I67" s="33" t="str">
        <f t="shared" ref="I67:M98" si="3">IF($C67="","",0)</f>
        <v/>
      </c>
      <c r="J67" s="33" t="str">
        <f t="shared" si="3"/>
        <v/>
      </c>
      <c r="K67" s="33" t="str">
        <f t="shared" si="3"/>
        <v/>
      </c>
      <c r="L67" s="33" t="str">
        <f t="shared" si="3"/>
        <v/>
      </c>
      <c r="M67" s="33" t="str">
        <f t="shared" si="3"/>
        <v/>
      </c>
      <c r="N67" s="19" t="str">
        <f t="shared" si="1"/>
        <v/>
      </c>
    </row>
    <row r="68" spans="1:14" ht="15.6" x14ac:dyDescent="0.3">
      <c r="A68" s="33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6" t="str">
        <f t="shared" ref="D68:K99" si="4">IF($C68="","",0)</f>
        <v/>
      </c>
      <c r="E68" s="6" t="str">
        <f t="shared" si="4"/>
        <v/>
      </c>
      <c r="F68" s="33" t="str">
        <f t="shared" si="4"/>
        <v/>
      </c>
      <c r="G68" s="33" t="str">
        <f t="shared" si="4"/>
        <v/>
      </c>
      <c r="H68" s="33" t="str">
        <f t="shared" si="4"/>
        <v/>
      </c>
      <c r="I68" s="33" t="str">
        <f t="shared" si="4"/>
        <v/>
      </c>
      <c r="J68" s="33" t="str">
        <f t="shared" si="4"/>
        <v/>
      </c>
      <c r="K68" s="33" t="str">
        <f t="shared" si="4"/>
        <v/>
      </c>
      <c r="L68" s="33" t="str">
        <f t="shared" si="3"/>
        <v/>
      </c>
      <c r="M68" s="33" t="str">
        <f t="shared" si="3"/>
        <v/>
      </c>
      <c r="N68" s="19" t="str">
        <f t="shared" si="1"/>
        <v/>
      </c>
    </row>
    <row r="69" spans="1:14" ht="15.6" x14ac:dyDescent="0.3">
      <c r="A69" s="33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6" t="str">
        <f t="shared" si="4"/>
        <v/>
      </c>
      <c r="E69" s="6" t="str">
        <f t="shared" si="4"/>
        <v/>
      </c>
      <c r="F69" s="33" t="str">
        <f t="shared" si="4"/>
        <v/>
      </c>
      <c r="G69" s="33" t="str">
        <f t="shared" si="4"/>
        <v/>
      </c>
      <c r="H69" s="33" t="str">
        <f t="shared" si="4"/>
        <v/>
      </c>
      <c r="I69" s="33" t="str">
        <f t="shared" si="4"/>
        <v/>
      </c>
      <c r="J69" s="33" t="str">
        <f t="shared" si="4"/>
        <v/>
      </c>
      <c r="K69" s="33" t="str">
        <f t="shared" si="4"/>
        <v/>
      </c>
      <c r="L69" s="33" t="str">
        <f t="shared" si="3"/>
        <v/>
      </c>
      <c r="M69" s="33" t="str">
        <f t="shared" si="3"/>
        <v/>
      </c>
      <c r="N69" s="19" t="str">
        <f t="shared" si="1"/>
        <v/>
      </c>
    </row>
    <row r="70" spans="1:14" ht="15.6" x14ac:dyDescent="0.3">
      <c r="A70" s="33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6" t="str">
        <f t="shared" si="4"/>
        <v/>
      </c>
      <c r="E70" s="6" t="str">
        <f t="shared" si="4"/>
        <v/>
      </c>
      <c r="F70" s="33" t="str">
        <f t="shared" si="4"/>
        <v/>
      </c>
      <c r="G70" s="33" t="str">
        <f t="shared" si="4"/>
        <v/>
      </c>
      <c r="H70" s="33" t="str">
        <f t="shared" si="4"/>
        <v/>
      </c>
      <c r="I70" s="33" t="str">
        <f t="shared" si="4"/>
        <v/>
      </c>
      <c r="J70" s="33" t="str">
        <f t="shared" si="4"/>
        <v/>
      </c>
      <c r="K70" s="33" t="str">
        <f t="shared" si="4"/>
        <v/>
      </c>
      <c r="L70" s="33" t="str">
        <f t="shared" si="3"/>
        <v/>
      </c>
      <c r="M70" s="33" t="str">
        <f t="shared" si="3"/>
        <v/>
      </c>
      <c r="N70" s="19" t="str">
        <f t="shared" si="1"/>
        <v/>
      </c>
    </row>
    <row r="71" spans="1:14" ht="15.6" x14ac:dyDescent="0.3">
      <c r="A71" s="33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6" t="str">
        <f t="shared" si="4"/>
        <v/>
      </c>
      <c r="E71" s="6" t="str">
        <f t="shared" si="4"/>
        <v/>
      </c>
      <c r="F71" s="33" t="str">
        <f t="shared" si="4"/>
        <v/>
      </c>
      <c r="G71" s="33" t="str">
        <f t="shared" si="4"/>
        <v/>
      </c>
      <c r="H71" s="33" t="str">
        <f t="shared" si="4"/>
        <v/>
      </c>
      <c r="I71" s="33" t="str">
        <f t="shared" si="4"/>
        <v/>
      </c>
      <c r="J71" s="33" t="str">
        <f t="shared" si="4"/>
        <v/>
      </c>
      <c r="K71" s="33" t="str">
        <f t="shared" si="4"/>
        <v/>
      </c>
      <c r="L71" s="33" t="str">
        <f t="shared" si="3"/>
        <v/>
      </c>
      <c r="M71" s="33" t="str">
        <f t="shared" si="3"/>
        <v/>
      </c>
      <c r="N71" s="19" t="str">
        <f t="shared" si="1"/>
        <v/>
      </c>
    </row>
    <row r="72" spans="1:14" ht="15.6" x14ac:dyDescent="0.3">
      <c r="A72" s="33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6" t="str">
        <f t="shared" si="4"/>
        <v/>
      </c>
      <c r="E72" s="6" t="str">
        <f t="shared" si="4"/>
        <v/>
      </c>
      <c r="F72" s="33" t="str">
        <f t="shared" si="4"/>
        <v/>
      </c>
      <c r="G72" s="33" t="str">
        <f t="shared" si="4"/>
        <v/>
      </c>
      <c r="H72" s="33" t="str">
        <f t="shared" si="4"/>
        <v/>
      </c>
      <c r="I72" s="33" t="str">
        <f t="shared" si="4"/>
        <v/>
      </c>
      <c r="J72" s="33" t="str">
        <f t="shared" si="4"/>
        <v/>
      </c>
      <c r="K72" s="33" t="str">
        <f t="shared" si="4"/>
        <v/>
      </c>
      <c r="L72" s="33" t="str">
        <f t="shared" si="3"/>
        <v/>
      </c>
      <c r="M72" s="33" t="str">
        <f t="shared" si="3"/>
        <v/>
      </c>
      <c r="N72" s="19" t="str">
        <f t="shared" si="1"/>
        <v/>
      </c>
    </row>
    <row r="73" spans="1:14" ht="15.6" x14ac:dyDescent="0.3">
      <c r="A73" s="33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6" t="str">
        <f t="shared" si="4"/>
        <v/>
      </c>
      <c r="E73" s="6" t="str">
        <f t="shared" si="4"/>
        <v/>
      </c>
      <c r="F73" s="33" t="str">
        <f t="shared" si="4"/>
        <v/>
      </c>
      <c r="G73" s="33" t="str">
        <f t="shared" si="4"/>
        <v/>
      </c>
      <c r="H73" s="33" t="str">
        <f t="shared" si="4"/>
        <v/>
      </c>
      <c r="I73" s="33" t="str">
        <f t="shared" si="4"/>
        <v/>
      </c>
      <c r="J73" s="33" t="str">
        <f t="shared" si="4"/>
        <v/>
      </c>
      <c r="K73" s="33" t="str">
        <f t="shared" si="4"/>
        <v/>
      </c>
      <c r="L73" s="33" t="str">
        <f t="shared" si="3"/>
        <v/>
      </c>
      <c r="M73" s="33" t="str">
        <f t="shared" si="3"/>
        <v/>
      </c>
      <c r="N73" s="19" t="str">
        <f t="shared" si="1"/>
        <v/>
      </c>
    </row>
    <row r="74" spans="1:14" ht="15.6" x14ac:dyDescent="0.3">
      <c r="A74" s="33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6" t="str">
        <f t="shared" si="4"/>
        <v/>
      </c>
      <c r="E74" s="6" t="str">
        <f t="shared" si="4"/>
        <v/>
      </c>
      <c r="F74" s="33" t="str">
        <f t="shared" si="4"/>
        <v/>
      </c>
      <c r="G74" s="33" t="str">
        <f t="shared" si="4"/>
        <v/>
      </c>
      <c r="H74" s="33" t="str">
        <f t="shared" si="4"/>
        <v/>
      </c>
      <c r="I74" s="33" t="str">
        <f t="shared" si="4"/>
        <v/>
      </c>
      <c r="J74" s="33" t="str">
        <f t="shared" si="4"/>
        <v/>
      </c>
      <c r="K74" s="33" t="str">
        <f t="shared" si="4"/>
        <v/>
      </c>
      <c r="L74" s="33" t="str">
        <f t="shared" si="3"/>
        <v/>
      </c>
      <c r="M74" s="33" t="str">
        <f t="shared" si="3"/>
        <v/>
      </c>
      <c r="N74" s="19" t="str">
        <f t="shared" si="1"/>
        <v/>
      </c>
    </row>
    <row r="75" spans="1:14" ht="15.6" x14ac:dyDescent="0.3">
      <c r="A75" s="33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6" t="str">
        <f t="shared" si="4"/>
        <v/>
      </c>
      <c r="E75" s="6" t="str">
        <f t="shared" si="4"/>
        <v/>
      </c>
      <c r="F75" s="33" t="str">
        <f t="shared" si="4"/>
        <v/>
      </c>
      <c r="G75" s="33" t="str">
        <f t="shared" si="4"/>
        <v/>
      </c>
      <c r="H75" s="33" t="str">
        <f t="shared" si="4"/>
        <v/>
      </c>
      <c r="I75" s="33" t="str">
        <f t="shared" si="4"/>
        <v/>
      </c>
      <c r="J75" s="33" t="str">
        <f t="shared" si="4"/>
        <v/>
      </c>
      <c r="K75" s="33" t="str">
        <f t="shared" si="4"/>
        <v/>
      </c>
      <c r="L75" s="33" t="str">
        <f t="shared" si="3"/>
        <v/>
      </c>
      <c r="M75" s="33" t="str">
        <f t="shared" si="3"/>
        <v/>
      </c>
      <c r="N75" s="19" t="str">
        <f t="shared" si="1"/>
        <v/>
      </c>
    </row>
    <row r="76" spans="1:14" ht="15.6" x14ac:dyDescent="0.3">
      <c r="A76" s="33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6" t="str">
        <f t="shared" si="4"/>
        <v/>
      </c>
      <c r="E76" s="6" t="str">
        <f t="shared" si="4"/>
        <v/>
      </c>
      <c r="F76" s="33" t="str">
        <f t="shared" si="4"/>
        <v/>
      </c>
      <c r="G76" s="33" t="str">
        <f t="shared" si="4"/>
        <v/>
      </c>
      <c r="H76" s="33" t="str">
        <f t="shared" si="4"/>
        <v/>
      </c>
      <c r="I76" s="33" t="str">
        <f t="shared" si="4"/>
        <v/>
      </c>
      <c r="J76" s="33" t="str">
        <f t="shared" si="4"/>
        <v/>
      </c>
      <c r="K76" s="33" t="str">
        <f t="shared" si="4"/>
        <v/>
      </c>
      <c r="L76" s="33" t="str">
        <f t="shared" si="3"/>
        <v/>
      </c>
      <c r="M76" s="33" t="str">
        <f t="shared" si="3"/>
        <v/>
      </c>
      <c r="N76" s="19" t="str">
        <f t="shared" si="1"/>
        <v/>
      </c>
    </row>
    <row r="77" spans="1:14" ht="15.6" x14ac:dyDescent="0.3">
      <c r="A77" s="33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6" t="str">
        <f t="shared" si="4"/>
        <v/>
      </c>
      <c r="E77" s="6" t="str">
        <f t="shared" si="4"/>
        <v/>
      </c>
      <c r="F77" s="33" t="str">
        <f t="shared" si="4"/>
        <v/>
      </c>
      <c r="G77" s="33" t="str">
        <f t="shared" si="4"/>
        <v/>
      </c>
      <c r="H77" s="33" t="str">
        <f t="shared" si="4"/>
        <v/>
      </c>
      <c r="I77" s="33" t="str">
        <f t="shared" si="4"/>
        <v/>
      </c>
      <c r="J77" s="33" t="str">
        <f t="shared" si="4"/>
        <v/>
      </c>
      <c r="K77" s="33" t="str">
        <f t="shared" si="4"/>
        <v/>
      </c>
      <c r="L77" s="33" t="str">
        <f t="shared" si="3"/>
        <v/>
      </c>
      <c r="M77" s="33" t="str">
        <f t="shared" si="3"/>
        <v/>
      </c>
      <c r="N77" s="19" t="str">
        <f t="shared" si="1"/>
        <v/>
      </c>
    </row>
    <row r="78" spans="1:14" ht="15.6" x14ac:dyDescent="0.3">
      <c r="A78" s="33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6" t="str">
        <f t="shared" si="4"/>
        <v/>
      </c>
      <c r="E78" s="6" t="str">
        <f t="shared" si="4"/>
        <v/>
      </c>
      <c r="F78" s="33" t="str">
        <f t="shared" si="4"/>
        <v/>
      </c>
      <c r="G78" s="33" t="str">
        <f t="shared" si="4"/>
        <v/>
      </c>
      <c r="H78" s="33" t="str">
        <f t="shared" si="4"/>
        <v/>
      </c>
      <c r="I78" s="33" t="str">
        <f t="shared" si="4"/>
        <v/>
      </c>
      <c r="J78" s="33" t="str">
        <f t="shared" si="4"/>
        <v/>
      </c>
      <c r="K78" s="33" t="str">
        <f t="shared" si="4"/>
        <v/>
      </c>
      <c r="L78" s="33" t="str">
        <f t="shared" si="3"/>
        <v/>
      </c>
      <c r="M78" s="33" t="str">
        <f t="shared" si="3"/>
        <v/>
      </c>
      <c r="N78" s="19" t="str">
        <f t="shared" si="1"/>
        <v/>
      </c>
    </row>
    <row r="79" spans="1:14" ht="15.6" x14ac:dyDescent="0.3">
      <c r="A79" s="33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6" t="str">
        <f t="shared" si="4"/>
        <v/>
      </c>
      <c r="E79" s="6" t="str">
        <f t="shared" si="4"/>
        <v/>
      </c>
      <c r="F79" s="33" t="str">
        <f t="shared" si="4"/>
        <v/>
      </c>
      <c r="G79" s="33" t="str">
        <f t="shared" si="4"/>
        <v/>
      </c>
      <c r="H79" s="33" t="str">
        <f t="shared" si="4"/>
        <v/>
      </c>
      <c r="I79" s="33" t="str">
        <f t="shared" si="4"/>
        <v/>
      </c>
      <c r="J79" s="33" t="str">
        <f t="shared" si="4"/>
        <v/>
      </c>
      <c r="K79" s="33" t="str">
        <f t="shared" si="4"/>
        <v/>
      </c>
      <c r="L79" s="33" t="str">
        <f t="shared" si="3"/>
        <v/>
      </c>
      <c r="M79" s="33" t="str">
        <f t="shared" si="3"/>
        <v/>
      </c>
      <c r="N79" s="19" t="str">
        <f t="shared" si="1"/>
        <v/>
      </c>
    </row>
    <row r="80" spans="1:14" ht="15.6" x14ac:dyDescent="0.3">
      <c r="A80" s="33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6" t="str">
        <f t="shared" si="4"/>
        <v/>
      </c>
      <c r="E80" s="6" t="str">
        <f t="shared" si="4"/>
        <v/>
      </c>
      <c r="F80" s="33" t="str">
        <f t="shared" si="4"/>
        <v/>
      </c>
      <c r="G80" s="33" t="str">
        <f t="shared" si="4"/>
        <v/>
      </c>
      <c r="H80" s="33" t="str">
        <f t="shared" si="4"/>
        <v/>
      </c>
      <c r="I80" s="33" t="str">
        <f t="shared" si="4"/>
        <v/>
      </c>
      <c r="J80" s="33" t="str">
        <f t="shared" si="4"/>
        <v/>
      </c>
      <c r="K80" s="33" t="str">
        <f t="shared" si="4"/>
        <v/>
      </c>
      <c r="L80" s="33" t="str">
        <f t="shared" si="3"/>
        <v/>
      </c>
      <c r="M80" s="33" t="str">
        <f t="shared" si="3"/>
        <v/>
      </c>
      <c r="N80" s="19" t="str">
        <f t="shared" si="1"/>
        <v/>
      </c>
    </row>
    <row r="81" spans="1:14" ht="15.6" x14ac:dyDescent="0.3">
      <c r="A81" s="33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6" t="str">
        <f t="shared" si="4"/>
        <v/>
      </c>
      <c r="E81" s="6" t="str">
        <f t="shared" si="4"/>
        <v/>
      </c>
      <c r="F81" s="33" t="str">
        <f t="shared" si="4"/>
        <v/>
      </c>
      <c r="G81" s="33" t="str">
        <f t="shared" si="4"/>
        <v/>
      </c>
      <c r="H81" s="33" t="str">
        <f t="shared" si="4"/>
        <v/>
      </c>
      <c r="I81" s="33" t="str">
        <f t="shared" si="4"/>
        <v/>
      </c>
      <c r="J81" s="33" t="str">
        <f t="shared" si="4"/>
        <v/>
      </c>
      <c r="K81" s="33" t="str">
        <f t="shared" si="4"/>
        <v/>
      </c>
      <c r="L81" s="33" t="str">
        <f t="shared" si="3"/>
        <v/>
      </c>
      <c r="M81" s="33" t="str">
        <f t="shared" si="3"/>
        <v/>
      </c>
      <c r="N81" s="19" t="str">
        <f t="shared" si="1"/>
        <v/>
      </c>
    </row>
    <row r="82" spans="1:14" ht="15.6" x14ac:dyDescent="0.3">
      <c r="A82" s="33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6" t="str">
        <f t="shared" si="4"/>
        <v/>
      </c>
      <c r="E82" s="6" t="str">
        <f t="shared" si="4"/>
        <v/>
      </c>
      <c r="F82" s="33" t="str">
        <f t="shared" si="4"/>
        <v/>
      </c>
      <c r="G82" s="33" t="str">
        <f t="shared" si="4"/>
        <v/>
      </c>
      <c r="H82" s="33" t="str">
        <f t="shared" si="4"/>
        <v/>
      </c>
      <c r="I82" s="33" t="str">
        <f t="shared" si="4"/>
        <v/>
      </c>
      <c r="J82" s="33" t="str">
        <f t="shared" si="4"/>
        <v/>
      </c>
      <c r="K82" s="33" t="str">
        <f t="shared" si="4"/>
        <v/>
      </c>
      <c r="L82" s="33" t="str">
        <f t="shared" si="3"/>
        <v/>
      </c>
      <c r="M82" s="33" t="str">
        <f t="shared" si="3"/>
        <v/>
      </c>
      <c r="N82" s="19" t="str">
        <f t="shared" si="1"/>
        <v/>
      </c>
    </row>
    <row r="83" spans="1:14" ht="15.6" x14ac:dyDescent="0.3">
      <c r="A83" s="33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6" t="str">
        <f t="shared" si="4"/>
        <v/>
      </c>
      <c r="E83" s="6" t="str">
        <f t="shared" si="4"/>
        <v/>
      </c>
      <c r="F83" s="33" t="str">
        <f t="shared" si="4"/>
        <v/>
      </c>
      <c r="G83" s="33" t="str">
        <f t="shared" si="4"/>
        <v/>
      </c>
      <c r="H83" s="33" t="str">
        <f t="shared" si="4"/>
        <v/>
      </c>
      <c r="I83" s="33" t="str">
        <f t="shared" si="4"/>
        <v/>
      </c>
      <c r="J83" s="33" t="str">
        <f t="shared" si="4"/>
        <v/>
      </c>
      <c r="K83" s="33" t="str">
        <f t="shared" si="4"/>
        <v/>
      </c>
      <c r="L83" s="33" t="str">
        <f t="shared" si="3"/>
        <v/>
      </c>
      <c r="M83" s="33" t="str">
        <f t="shared" si="3"/>
        <v/>
      </c>
      <c r="N83" s="19" t="str">
        <f t="shared" si="1"/>
        <v/>
      </c>
    </row>
    <row r="84" spans="1:14" ht="15.6" x14ac:dyDescent="0.3">
      <c r="A84" s="33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6" t="str">
        <f t="shared" si="4"/>
        <v/>
      </c>
      <c r="E84" s="6" t="str">
        <f t="shared" si="4"/>
        <v/>
      </c>
      <c r="F84" s="33" t="str">
        <f t="shared" si="4"/>
        <v/>
      </c>
      <c r="G84" s="33" t="str">
        <f t="shared" si="4"/>
        <v/>
      </c>
      <c r="H84" s="33" t="str">
        <f t="shared" si="4"/>
        <v/>
      </c>
      <c r="I84" s="33" t="str">
        <f t="shared" si="4"/>
        <v/>
      </c>
      <c r="J84" s="33" t="str">
        <f t="shared" si="4"/>
        <v/>
      </c>
      <c r="K84" s="33" t="str">
        <f t="shared" si="4"/>
        <v/>
      </c>
      <c r="L84" s="33" t="str">
        <f t="shared" si="3"/>
        <v/>
      </c>
      <c r="M84" s="33" t="str">
        <f t="shared" si="3"/>
        <v/>
      </c>
      <c r="N84" s="19" t="str">
        <f t="shared" si="1"/>
        <v/>
      </c>
    </row>
    <row r="85" spans="1:14" ht="15.6" x14ac:dyDescent="0.3">
      <c r="A85" s="33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6" t="str">
        <f t="shared" si="4"/>
        <v/>
      </c>
      <c r="E85" s="6" t="str">
        <f t="shared" si="4"/>
        <v/>
      </c>
      <c r="F85" s="33" t="str">
        <f t="shared" si="4"/>
        <v/>
      </c>
      <c r="G85" s="33" t="str">
        <f t="shared" si="4"/>
        <v/>
      </c>
      <c r="H85" s="33" t="str">
        <f t="shared" si="4"/>
        <v/>
      </c>
      <c r="I85" s="33" t="str">
        <f t="shared" si="4"/>
        <v/>
      </c>
      <c r="J85" s="33" t="str">
        <f t="shared" si="4"/>
        <v/>
      </c>
      <c r="K85" s="33" t="str">
        <f t="shared" si="4"/>
        <v/>
      </c>
      <c r="L85" s="33" t="str">
        <f t="shared" si="3"/>
        <v/>
      </c>
      <c r="M85" s="33" t="str">
        <f t="shared" si="3"/>
        <v/>
      </c>
      <c r="N85" s="19" t="str">
        <f t="shared" si="1"/>
        <v/>
      </c>
    </row>
    <row r="86" spans="1:14" ht="15.6" x14ac:dyDescent="0.3">
      <c r="A86" s="33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6" t="str">
        <f t="shared" si="4"/>
        <v/>
      </c>
      <c r="E86" s="6" t="str">
        <f t="shared" si="4"/>
        <v/>
      </c>
      <c r="F86" s="33" t="str">
        <f t="shared" si="4"/>
        <v/>
      </c>
      <c r="G86" s="33" t="str">
        <f t="shared" si="4"/>
        <v/>
      </c>
      <c r="H86" s="33" t="str">
        <f t="shared" si="4"/>
        <v/>
      </c>
      <c r="I86" s="33" t="str">
        <f t="shared" si="4"/>
        <v/>
      </c>
      <c r="J86" s="33" t="str">
        <f t="shared" si="4"/>
        <v/>
      </c>
      <c r="K86" s="33" t="str">
        <f t="shared" si="4"/>
        <v/>
      </c>
      <c r="L86" s="33" t="str">
        <f t="shared" si="3"/>
        <v/>
      </c>
      <c r="M86" s="33" t="str">
        <f t="shared" si="3"/>
        <v/>
      </c>
      <c r="N86" s="19" t="str">
        <f t="shared" si="1"/>
        <v/>
      </c>
    </row>
    <row r="87" spans="1:14" ht="15.6" x14ac:dyDescent="0.3">
      <c r="A87" s="33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6" t="str">
        <f t="shared" si="4"/>
        <v/>
      </c>
      <c r="E87" s="6" t="str">
        <f t="shared" si="4"/>
        <v/>
      </c>
      <c r="F87" s="33" t="str">
        <f t="shared" si="4"/>
        <v/>
      </c>
      <c r="G87" s="33" t="str">
        <f t="shared" si="4"/>
        <v/>
      </c>
      <c r="H87" s="33" t="str">
        <f t="shared" si="4"/>
        <v/>
      </c>
      <c r="I87" s="33" t="str">
        <f t="shared" si="4"/>
        <v/>
      </c>
      <c r="J87" s="33" t="str">
        <f t="shared" si="4"/>
        <v/>
      </c>
      <c r="K87" s="33" t="str">
        <f t="shared" si="4"/>
        <v/>
      </c>
      <c r="L87" s="33" t="str">
        <f t="shared" si="3"/>
        <v/>
      </c>
      <c r="M87" s="33" t="str">
        <f t="shared" si="3"/>
        <v/>
      </c>
      <c r="N87" s="19" t="str">
        <f t="shared" si="1"/>
        <v/>
      </c>
    </row>
    <row r="88" spans="1:14" ht="15.6" x14ac:dyDescent="0.3">
      <c r="A88" s="33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6" t="str">
        <f t="shared" si="4"/>
        <v/>
      </c>
      <c r="E88" s="6" t="str">
        <f t="shared" si="4"/>
        <v/>
      </c>
      <c r="F88" s="33" t="str">
        <f t="shared" si="4"/>
        <v/>
      </c>
      <c r="G88" s="33" t="str">
        <f t="shared" si="4"/>
        <v/>
      </c>
      <c r="H88" s="33" t="str">
        <f t="shared" si="4"/>
        <v/>
      </c>
      <c r="I88" s="33" t="str">
        <f t="shared" si="4"/>
        <v/>
      </c>
      <c r="J88" s="33" t="str">
        <f t="shared" si="4"/>
        <v/>
      </c>
      <c r="K88" s="33" t="str">
        <f t="shared" si="4"/>
        <v/>
      </c>
      <c r="L88" s="33" t="str">
        <f t="shared" si="3"/>
        <v/>
      </c>
      <c r="M88" s="33" t="str">
        <f t="shared" si="3"/>
        <v/>
      </c>
      <c r="N88" s="19" t="str">
        <f t="shared" si="1"/>
        <v/>
      </c>
    </row>
    <row r="89" spans="1:14" ht="15.6" x14ac:dyDescent="0.3">
      <c r="A89" s="33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6" t="str">
        <f t="shared" si="4"/>
        <v/>
      </c>
      <c r="E89" s="6" t="str">
        <f t="shared" si="4"/>
        <v/>
      </c>
      <c r="F89" s="33" t="str">
        <f t="shared" si="4"/>
        <v/>
      </c>
      <c r="G89" s="33" t="str">
        <f t="shared" si="4"/>
        <v/>
      </c>
      <c r="H89" s="33" t="str">
        <f t="shared" si="4"/>
        <v/>
      </c>
      <c r="I89" s="33" t="str">
        <f t="shared" si="4"/>
        <v/>
      </c>
      <c r="J89" s="33" t="str">
        <f t="shared" si="4"/>
        <v/>
      </c>
      <c r="K89" s="33" t="str">
        <f t="shared" si="4"/>
        <v/>
      </c>
      <c r="L89" s="33" t="str">
        <f t="shared" si="3"/>
        <v/>
      </c>
      <c r="M89" s="33" t="str">
        <f t="shared" si="3"/>
        <v/>
      </c>
      <c r="N89" s="19" t="str">
        <f t="shared" si="1"/>
        <v/>
      </c>
    </row>
    <row r="90" spans="1:14" ht="15.6" x14ac:dyDescent="0.3">
      <c r="A90" s="33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6" t="str">
        <f t="shared" si="4"/>
        <v/>
      </c>
      <c r="E90" s="6" t="str">
        <f t="shared" si="4"/>
        <v/>
      </c>
      <c r="F90" s="33" t="str">
        <f t="shared" si="4"/>
        <v/>
      </c>
      <c r="G90" s="33" t="str">
        <f t="shared" si="4"/>
        <v/>
      </c>
      <c r="H90" s="33" t="str">
        <f t="shared" si="4"/>
        <v/>
      </c>
      <c r="I90" s="33" t="str">
        <f t="shared" si="4"/>
        <v/>
      </c>
      <c r="J90" s="33" t="str">
        <f t="shared" si="4"/>
        <v/>
      </c>
      <c r="K90" s="33" t="str">
        <f t="shared" si="4"/>
        <v/>
      </c>
      <c r="L90" s="33" t="str">
        <f t="shared" si="3"/>
        <v/>
      </c>
      <c r="M90" s="33" t="str">
        <f t="shared" si="3"/>
        <v/>
      </c>
      <c r="N90" s="19" t="str">
        <f t="shared" si="1"/>
        <v/>
      </c>
    </row>
    <row r="91" spans="1:14" ht="15.6" x14ac:dyDescent="0.3">
      <c r="A91" s="33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6" t="str">
        <f t="shared" si="4"/>
        <v/>
      </c>
      <c r="E91" s="6" t="str">
        <f t="shared" si="4"/>
        <v/>
      </c>
      <c r="F91" s="33" t="str">
        <f t="shared" si="4"/>
        <v/>
      </c>
      <c r="G91" s="33" t="str">
        <f t="shared" si="4"/>
        <v/>
      </c>
      <c r="H91" s="33" t="str">
        <f t="shared" si="4"/>
        <v/>
      </c>
      <c r="I91" s="33" t="str">
        <f t="shared" si="4"/>
        <v/>
      </c>
      <c r="J91" s="33" t="str">
        <f t="shared" si="4"/>
        <v/>
      </c>
      <c r="K91" s="33" t="str">
        <f t="shared" si="4"/>
        <v/>
      </c>
      <c r="L91" s="33" t="str">
        <f t="shared" si="3"/>
        <v/>
      </c>
      <c r="M91" s="33" t="str">
        <f t="shared" si="3"/>
        <v/>
      </c>
      <c r="N91" s="19" t="str">
        <f t="shared" ref="N91:N123" si="5">IF(C91="","",SUM(D91:M91))</f>
        <v/>
      </c>
    </row>
    <row r="92" spans="1:14" ht="15.6" x14ac:dyDescent="0.3">
      <c r="A92" s="33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6" t="str">
        <f t="shared" si="4"/>
        <v/>
      </c>
      <c r="E92" s="6" t="str">
        <f t="shared" si="4"/>
        <v/>
      </c>
      <c r="F92" s="33" t="str">
        <f t="shared" si="4"/>
        <v/>
      </c>
      <c r="G92" s="33" t="str">
        <f t="shared" si="4"/>
        <v/>
      </c>
      <c r="H92" s="33" t="str">
        <f t="shared" si="4"/>
        <v/>
      </c>
      <c r="I92" s="33" t="str">
        <f t="shared" si="4"/>
        <v/>
      </c>
      <c r="J92" s="33" t="str">
        <f t="shared" si="4"/>
        <v/>
      </c>
      <c r="K92" s="33" t="str">
        <f t="shared" si="4"/>
        <v/>
      </c>
      <c r="L92" s="33" t="str">
        <f t="shared" si="3"/>
        <v/>
      </c>
      <c r="M92" s="33" t="str">
        <f t="shared" si="3"/>
        <v/>
      </c>
      <c r="N92" s="19" t="str">
        <f t="shared" si="5"/>
        <v/>
      </c>
    </row>
    <row r="93" spans="1:14" ht="15.6" x14ac:dyDescent="0.3">
      <c r="A93" s="33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6" t="str">
        <f t="shared" si="4"/>
        <v/>
      </c>
      <c r="E93" s="6" t="str">
        <f t="shared" si="4"/>
        <v/>
      </c>
      <c r="F93" s="33" t="str">
        <f t="shared" si="4"/>
        <v/>
      </c>
      <c r="G93" s="33" t="str">
        <f t="shared" si="4"/>
        <v/>
      </c>
      <c r="H93" s="33" t="str">
        <f t="shared" si="4"/>
        <v/>
      </c>
      <c r="I93" s="33" t="str">
        <f t="shared" si="4"/>
        <v/>
      </c>
      <c r="J93" s="33" t="str">
        <f t="shared" si="4"/>
        <v/>
      </c>
      <c r="K93" s="33" t="str">
        <f t="shared" si="4"/>
        <v/>
      </c>
      <c r="L93" s="33" t="str">
        <f t="shared" si="3"/>
        <v/>
      </c>
      <c r="M93" s="33" t="str">
        <f t="shared" si="3"/>
        <v/>
      </c>
      <c r="N93" s="19" t="str">
        <f t="shared" si="5"/>
        <v/>
      </c>
    </row>
    <row r="94" spans="1:14" ht="15.6" x14ac:dyDescent="0.3">
      <c r="A94" s="33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6" t="str">
        <f t="shared" si="4"/>
        <v/>
      </c>
      <c r="E94" s="6" t="str">
        <f t="shared" si="4"/>
        <v/>
      </c>
      <c r="F94" s="33" t="str">
        <f t="shared" si="4"/>
        <v/>
      </c>
      <c r="G94" s="33" t="str">
        <f t="shared" si="4"/>
        <v/>
      </c>
      <c r="H94" s="33" t="str">
        <f t="shared" si="4"/>
        <v/>
      </c>
      <c r="I94" s="33" t="str">
        <f t="shared" si="4"/>
        <v/>
      </c>
      <c r="J94" s="33" t="str">
        <f t="shared" si="4"/>
        <v/>
      </c>
      <c r="K94" s="33" t="str">
        <f t="shared" si="4"/>
        <v/>
      </c>
      <c r="L94" s="33" t="str">
        <f t="shared" si="3"/>
        <v/>
      </c>
      <c r="M94" s="33" t="str">
        <f t="shared" si="3"/>
        <v/>
      </c>
      <c r="N94" s="19" t="str">
        <f t="shared" si="5"/>
        <v/>
      </c>
    </row>
    <row r="95" spans="1:14" ht="15.6" x14ac:dyDescent="0.3">
      <c r="A95" s="33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6" t="str">
        <f t="shared" si="4"/>
        <v/>
      </c>
      <c r="E95" s="6" t="str">
        <f t="shared" si="4"/>
        <v/>
      </c>
      <c r="F95" s="33" t="str">
        <f t="shared" si="4"/>
        <v/>
      </c>
      <c r="G95" s="33" t="str">
        <f t="shared" si="4"/>
        <v/>
      </c>
      <c r="H95" s="33" t="str">
        <f t="shared" si="4"/>
        <v/>
      </c>
      <c r="I95" s="33" t="str">
        <f t="shared" si="4"/>
        <v/>
      </c>
      <c r="J95" s="33" t="str">
        <f t="shared" si="4"/>
        <v/>
      </c>
      <c r="K95" s="33" t="str">
        <f t="shared" si="4"/>
        <v/>
      </c>
      <c r="L95" s="33" t="str">
        <f t="shared" si="3"/>
        <v/>
      </c>
      <c r="M95" s="33" t="str">
        <f t="shared" si="3"/>
        <v/>
      </c>
      <c r="N95" s="19" t="str">
        <f t="shared" si="5"/>
        <v/>
      </c>
    </row>
    <row r="96" spans="1:14" ht="15.6" x14ac:dyDescent="0.3">
      <c r="A96" s="33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6" t="str">
        <f t="shared" si="4"/>
        <v/>
      </c>
      <c r="E96" s="6" t="str">
        <f t="shared" si="4"/>
        <v/>
      </c>
      <c r="F96" s="33" t="str">
        <f t="shared" si="4"/>
        <v/>
      </c>
      <c r="G96" s="33" t="str">
        <f t="shared" si="4"/>
        <v/>
      </c>
      <c r="H96" s="33" t="str">
        <f t="shared" si="4"/>
        <v/>
      </c>
      <c r="I96" s="33" t="str">
        <f t="shared" si="4"/>
        <v/>
      </c>
      <c r="J96" s="33" t="str">
        <f t="shared" si="4"/>
        <v/>
      </c>
      <c r="K96" s="33" t="str">
        <f t="shared" si="4"/>
        <v/>
      </c>
      <c r="L96" s="33" t="str">
        <f t="shared" si="3"/>
        <v/>
      </c>
      <c r="M96" s="33" t="str">
        <f t="shared" si="3"/>
        <v/>
      </c>
      <c r="N96" s="19" t="str">
        <f t="shared" si="5"/>
        <v/>
      </c>
    </row>
    <row r="97" spans="1:14" ht="15.6" x14ac:dyDescent="0.3">
      <c r="A97" s="33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6" t="str">
        <f t="shared" si="4"/>
        <v/>
      </c>
      <c r="E97" s="6" t="str">
        <f t="shared" si="4"/>
        <v/>
      </c>
      <c r="F97" s="33" t="str">
        <f t="shared" si="4"/>
        <v/>
      </c>
      <c r="G97" s="33" t="str">
        <f t="shared" si="4"/>
        <v/>
      </c>
      <c r="H97" s="33" t="str">
        <f t="shared" si="4"/>
        <v/>
      </c>
      <c r="I97" s="33" t="str">
        <f t="shared" si="4"/>
        <v/>
      </c>
      <c r="J97" s="33" t="str">
        <f t="shared" si="4"/>
        <v/>
      </c>
      <c r="K97" s="33" t="str">
        <f t="shared" si="4"/>
        <v/>
      </c>
      <c r="L97" s="33" t="str">
        <f t="shared" si="3"/>
        <v/>
      </c>
      <c r="M97" s="33" t="str">
        <f t="shared" si="3"/>
        <v/>
      </c>
      <c r="N97" s="19" t="str">
        <f t="shared" si="5"/>
        <v/>
      </c>
    </row>
    <row r="98" spans="1:14" ht="15.6" x14ac:dyDescent="0.3">
      <c r="A98" s="33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6" t="str">
        <f t="shared" si="4"/>
        <v/>
      </c>
      <c r="E98" s="6" t="str">
        <f t="shared" si="4"/>
        <v/>
      </c>
      <c r="F98" s="33" t="str">
        <f t="shared" si="4"/>
        <v/>
      </c>
      <c r="G98" s="33" t="str">
        <f t="shared" si="4"/>
        <v/>
      </c>
      <c r="H98" s="33" t="str">
        <f t="shared" si="4"/>
        <v/>
      </c>
      <c r="I98" s="33" t="str">
        <f t="shared" si="4"/>
        <v/>
      </c>
      <c r="J98" s="33" t="str">
        <f t="shared" si="4"/>
        <v/>
      </c>
      <c r="K98" s="33" t="str">
        <f t="shared" si="4"/>
        <v/>
      </c>
      <c r="L98" s="33" t="str">
        <f t="shared" si="3"/>
        <v/>
      </c>
      <c r="M98" s="33" t="str">
        <f t="shared" si="3"/>
        <v/>
      </c>
      <c r="N98" s="19" t="str">
        <f t="shared" si="5"/>
        <v/>
      </c>
    </row>
    <row r="99" spans="1:14" ht="15.6" x14ac:dyDescent="0.3">
      <c r="A99" s="33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6" t="str">
        <f t="shared" si="4"/>
        <v/>
      </c>
      <c r="E99" s="6" t="str">
        <f t="shared" si="4"/>
        <v/>
      </c>
      <c r="F99" s="33" t="str">
        <f t="shared" si="4"/>
        <v/>
      </c>
      <c r="G99" s="33" t="str">
        <f t="shared" si="4"/>
        <v/>
      </c>
      <c r="H99" s="33" t="str">
        <f t="shared" si="4"/>
        <v/>
      </c>
      <c r="I99" s="33" t="str">
        <f t="shared" si="4"/>
        <v/>
      </c>
      <c r="J99" s="33" t="str">
        <f t="shared" si="4"/>
        <v/>
      </c>
      <c r="K99" s="33" t="str">
        <f t="shared" ref="K99:M115" si="6">IF($C99="","",0)</f>
        <v/>
      </c>
      <c r="L99" s="33" t="str">
        <f t="shared" si="6"/>
        <v/>
      </c>
      <c r="M99" s="33" t="str">
        <f t="shared" si="6"/>
        <v/>
      </c>
      <c r="N99" s="19" t="str">
        <f t="shared" si="5"/>
        <v/>
      </c>
    </row>
    <row r="100" spans="1:14" ht="15.6" x14ac:dyDescent="0.3">
      <c r="A100" s="33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6" t="str">
        <f t="shared" ref="D100:M123" si="7">IF($C100="","",0)</f>
        <v/>
      </c>
      <c r="E100" s="6" t="str">
        <f t="shared" si="7"/>
        <v/>
      </c>
      <c r="F100" s="33" t="str">
        <f t="shared" si="7"/>
        <v/>
      </c>
      <c r="G100" s="33" t="str">
        <f t="shared" si="7"/>
        <v/>
      </c>
      <c r="H100" s="33" t="str">
        <f t="shared" si="7"/>
        <v/>
      </c>
      <c r="I100" s="33" t="str">
        <f t="shared" si="7"/>
        <v/>
      </c>
      <c r="J100" s="33" t="str">
        <f t="shared" si="7"/>
        <v/>
      </c>
      <c r="K100" s="33" t="str">
        <f t="shared" si="7"/>
        <v/>
      </c>
      <c r="L100" s="33" t="str">
        <f t="shared" si="6"/>
        <v/>
      </c>
      <c r="M100" s="33" t="str">
        <f t="shared" si="6"/>
        <v/>
      </c>
      <c r="N100" s="19" t="str">
        <f t="shared" si="5"/>
        <v/>
      </c>
    </row>
    <row r="101" spans="1:14" ht="15.6" x14ac:dyDescent="0.3">
      <c r="A101" s="33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6" t="str">
        <f t="shared" si="7"/>
        <v/>
      </c>
      <c r="E101" s="6" t="str">
        <f t="shared" si="7"/>
        <v/>
      </c>
      <c r="F101" s="33" t="str">
        <f t="shared" si="7"/>
        <v/>
      </c>
      <c r="G101" s="33" t="str">
        <f t="shared" si="7"/>
        <v/>
      </c>
      <c r="H101" s="33" t="str">
        <f t="shared" si="7"/>
        <v/>
      </c>
      <c r="I101" s="33" t="str">
        <f t="shared" si="7"/>
        <v/>
      </c>
      <c r="J101" s="33" t="str">
        <f t="shared" si="7"/>
        <v/>
      </c>
      <c r="K101" s="33" t="str">
        <f t="shared" si="7"/>
        <v/>
      </c>
      <c r="L101" s="33" t="str">
        <f t="shared" si="6"/>
        <v/>
      </c>
      <c r="M101" s="33" t="str">
        <f t="shared" si="6"/>
        <v/>
      </c>
      <c r="N101" s="19" t="str">
        <f t="shared" si="5"/>
        <v/>
      </c>
    </row>
    <row r="102" spans="1:14" ht="15.6" x14ac:dyDescent="0.3">
      <c r="A102" s="33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6" t="str">
        <f t="shared" si="7"/>
        <v/>
      </c>
      <c r="E102" s="6" t="str">
        <f t="shared" si="7"/>
        <v/>
      </c>
      <c r="F102" s="33" t="str">
        <f t="shared" si="7"/>
        <v/>
      </c>
      <c r="G102" s="33" t="str">
        <f t="shared" si="7"/>
        <v/>
      </c>
      <c r="H102" s="33" t="str">
        <f t="shared" si="7"/>
        <v/>
      </c>
      <c r="I102" s="33" t="str">
        <f t="shared" si="7"/>
        <v/>
      </c>
      <c r="J102" s="33" t="str">
        <f t="shared" si="7"/>
        <v/>
      </c>
      <c r="K102" s="33" t="str">
        <f t="shared" si="7"/>
        <v/>
      </c>
      <c r="L102" s="33" t="str">
        <f t="shared" si="6"/>
        <v/>
      </c>
      <c r="M102" s="33" t="str">
        <f t="shared" si="6"/>
        <v/>
      </c>
      <c r="N102" s="19" t="str">
        <f t="shared" si="5"/>
        <v/>
      </c>
    </row>
    <row r="103" spans="1:14" ht="15.6" x14ac:dyDescent="0.3">
      <c r="A103" s="33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6" t="str">
        <f t="shared" si="7"/>
        <v/>
      </c>
      <c r="E103" s="6" t="str">
        <f t="shared" si="7"/>
        <v/>
      </c>
      <c r="F103" s="33" t="str">
        <f t="shared" si="7"/>
        <v/>
      </c>
      <c r="G103" s="33" t="str">
        <f t="shared" si="7"/>
        <v/>
      </c>
      <c r="H103" s="33" t="str">
        <f t="shared" si="7"/>
        <v/>
      </c>
      <c r="I103" s="33" t="str">
        <f t="shared" si="7"/>
        <v/>
      </c>
      <c r="J103" s="33" t="str">
        <f t="shared" si="7"/>
        <v/>
      </c>
      <c r="K103" s="33" t="str">
        <f t="shared" si="7"/>
        <v/>
      </c>
      <c r="L103" s="33" t="str">
        <f t="shared" si="6"/>
        <v/>
      </c>
      <c r="M103" s="33" t="str">
        <f t="shared" si="6"/>
        <v/>
      </c>
      <c r="N103" s="19" t="str">
        <f t="shared" si="5"/>
        <v/>
      </c>
    </row>
    <row r="104" spans="1:14" ht="15.6" x14ac:dyDescent="0.3">
      <c r="A104" s="33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6" t="str">
        <f t="shared" si="7"/>
        <v/>
      </c>
      <c r="E104" s="6" t="str">
        <f t="shared" si="7"/>
        <v/>
      </c>
      <c r="F104" s="33" t="str">
        <f t="shared" si="7"/>
        <v/>
      </c>
      <c r="G104" s="33" t="str">
        <f t="shared" si="7"/>
        <v/>
      </c>
      <c r="H104" s="33" t="str">
        <f t="shared" si="7"/>
        <v/>
      </c>
      <c r="I104" s="33" t="str">
        <f t="shared" si="7"/>
        <v/>
      </c>
      <c r="J104" s="33" t="str">
        <f t="shared" si="7"/>
        <v/>
      </c>
      <c r="K104" s="33" t="str">
        <f t="shared" si="7"/>
        <v/>
      </c>
      <c r="L104" s="33" t="str">
        <f t="shared" si="6"/>
        <v/>
      </c>
      <c r="M104" s="33" t="str">
        <f t="shared" si="6"/>
        <v/>
      </c>
      <c r="N104" s="19" t="str">
        <f t="shared" si="5"/>
        <v/>
      </c>
    </row>
    <row r="105" spans="1:14" ht="15.6" x14ac:dyDescent="0.3">
      <c r="A105" s="33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6" t="str">
        <f t="shared" si="7"/>
        <v/>
      </c>
      <c r="E105" s="6" t="str">
        <f t="shared" si="7"/>
        <v/>
      </c>
      <c r="F105" s="33" t="str">
        <f t="shared" si="7"/>
        <v/>
      </c>
      <c r="G105" s="33" t="str">
        <f t="shared" si="7"/>
        <v/>
      </c>
      <c r="H105" s="33" t="str">
        <f t="shared" si="7"/>
        <v/>
      </c>
      <c r="I105" s="33" t="str">
        <f t="shared" si="7"/>
        <v/>
      </c>
      <c r="J105" s="33" t="str">
        <f t="shared" si="7"/>
        <v/>
      </c>
      <c r="K105" s="33" t="str">
        <f t="shared" si="7"/>
        <v/>
      </c>
      <c r="L105" s="33" t="str">
        <f t="shared" si="6"/>
        <v/>
      </c>
      <c r="M105" s="33" t="str">
        <f t="shared" si="6"/>
        <v/>
      </c>
      <c r="N105" s="19" t="str">
        <f t="shared" si="5"/>
        <v/>
      </c>
    </row>
    <row r="106" spans="1:14" ht="15.6" x14ac:dyDescent="0.3">
      <c r="A106" s="33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6" t="str">
        <f t="shared" si="7"/>
        <v/>
      </c>
      <c r="E106" s="6" t="str">
        <f t="shared" si="7"/>
        <v/>
      </c>
      <c r="F106" s="33" t="str">
        <f t="shared" si="7"/>
        <v/>
      </c>
      <c r="G106" s="33" t="str">
        <f t="shared" si="7"/>
        <v/>
      </c>
      <c r="H106" s="33" t="str">
        <f t="shared" si="7"/>
        <v/>
      </c>
      <c r="I106" s="33" t="str">
        <f t="shared" si="7"/>
        <v/>
      </c>
      <c r="J106" s="33" t="str">
        <f t="shared" si="7"/>
        <v/>
      </c>
      <c r="K106" s="33" t="str">
        <f t="shared" si="7"/>
        <v/>
      </c>
      <c r="L106" s="33" t="str">
        <f t="shared" si="6"/>
        <v/>
      </c>
      <c r="M106" s="33" t="str">
        <f t="shared" si="6"/>
        <v/>
      </c>
      <c r="N106" s="19" t="str">
        <f t="shared" si="5"/>
        <v/>
      </c>
    </row>
    <row r="107" spans="1:14" ht="15.6" x14ac:dyDescent="0.3">
      <c r="A107" s="33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6" t="str">
        <f t="shared" si="7"/>
        <v/>
      </c>
      <c r="E107" s="6" t="str">
        <f t="shared" si="7"/>
        <v/>
      </c>
      <c r="F107" s="33" t="str">
        <f t="shared" si="7"/>
        <v/>
      </c>
      <c r="G107" s="33" t="str">
        <f t="shared" si="7"/>
        <v/>
      </c>
      <c r="H107" s="33" t="str">
        <f t="shared" si="7"/>
        <v/>
      </c>
      <c r="I107" s="33" t="str">
        <f t="shared" si="7"/>
        <v/>
      </c>
      <c r="J107" s="33" t="str">
        <f t="shared" si="7"/>
        <v/>
      </c>
      <c r="K107" s="33" t="str">
        <f t="shared" si="7"/>
        <v/>
      </c>
      <c r="L107" s="33" t="str">
        <f t="shared" si="6"/>
        <v/>
      </c>
      <c r="M107" s="33" t="str">
        <f t="shared" si="6"/>
        <v/>
      </c>
      <c r="N107" s="19" t="str">
        <f t="shared" si="5"/>
        <v/>
      </c>
    </row>
    <row r="108" spans="1:14" ht="15.6" x14ac:dyDescent="0.3">
      <c r="A108" s="33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6" t="str">
        <f t="shared" si="7"/>
        <v/>
      </c>
      <c r="E108" s="6" t="str">
        <f t="shared" si="7"/>
        <v/>
      </c>
      <c r="F108" s="33" t="str">
        <f t="shared" si="7"/>
        <v/>
      </c>
      <c r="G108" s="33" t="str">
        <f t="shared" si="7"/>
        <v/>
      </c>
      <c r="H108" s="33" t="str">
        <f t="shared" si="7"/>
        <v/>
      </c>
      <c r="I108" s="33" t="str">
        <f t="shared" si="7"/>
        <v/>
      </c>
      <c r="J108" s="33" t="str">
        <f t="shared" si="7"/>
        <v/>
      </c>
      <c r="K108" s="33" t="str">
        <f t="shared" si="7"/>
        <v/>
      </c>
      <c r="L108" s="33" t="str">
        <f t="shared" si="6"/>
        <v/>
      </c>
      <c r="M108" s="33" t="str">
        <f t="shared" si="6"/>
        <v/>
      </c>
      <c r="N108" s="19" t="str">
        <f t="shared" si="5"/>
        <v/>
      </c>
    </row>
    <row r="109" spans="1:14" ht="15.6" x14ac:dyDescent="0.3">
      <c r="A109" s="33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6" t="str">
        <f t="shared" si="7"/>
        <v/>
      </c>
      <c r="E109" s="6" t="str">
        <f t="shared" si="7"/>
        <v/>
      </c>
      <c r="F109" s="33" t="str">
        <f t="shared" si="7"/>
        <v/>
      </c>
      <c r="G109" s="33" t="str">
        <f t="shared" si="7"/>
        <v/>
      </c>
      <c r="H109" s="33" t="str">
        <f t="shared" si="7"/>
        <v/>
      </c>
      <c r="I109" s="33" t="str">
        <f t="shared" si="7"/>
        <v/>
      </c>
      <c r="J109" s="33" t="str">
        <f t="shared" si="7"/>
        <v/>
      </c>
      <c r="K109" s="33" t="str">
        <f t="shared" si="7"/>
        <v/>
      </c>
      <c r="L109" s="33" t="str">
        <f t="shared" si="6"/>
        <v/>
      </c>
      <c r="M109" s="33" t="str">
        <f t="shared" si="6"/>
        <v/>
      </c>
      <c r="N109" s="19" t="str">
        <f t="shared" si="5"/>
        <v/>
      </c>
    </row>
    <row r="110" spans="1:14" ht="15.6" x14ac:dyDescent="0.3">
      <c r="A110" s="33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6" t="str">
        <f t="shared" si="7"/>
        <v/>
      </c>
      <c r="E110" s="6" t="str">
        <f t="shared" si="7"/>
        <v/>
      </c>
      <c r="F110" s="33" t="str">
        <f t="shared" si="7"/>
        <v/>
      </c>
      <c r="G110" s="33" t="str">
        <f t="shared" si="7"/>
        <v/>
      </c>
      <c r="H110" s="33" t="str">
        <f t="shared" si="7"/>
        <v/>
      </c>
      <c r="I110" s="33" t="str">
        <f t="shared" si="7"/>
        <v/>
      </c>
      <c r="J110" s="33" t="str">
        <f t="shared" si="7"/>
        <v/>
      </c>
      <c r="K110" s="33" t="str">
        <f t="shared" si="7"/>
        <v/>
      </c>
      <c r="L110" s="33" t="str">
        <f t="shared" si="6"/>
        <v/>
      </c>
      <c r="M110" s="33" t="str">
        <f t="shared" si="6"/>
        <v/>
      </c>
      <c r="N110" s="19" t="str">
        <f t="shared" si="5"/>
        <v/>
      </c>
    </row>
    <row r="111" spans="1:14" ht="15.6" x14ac:dyDescent="0.3">
      <c r="A111" s="33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6" t="str">
        <f t="shared" si="7"/>
        <v/>
      </c>
      <c r="E111" s="6" t="str">
        <f t="shared" si="7"/>
        <v/>
      </c>
      <c r="F111" s="33" t="str">
        <f t="shared" si="7"/>
        <v/>
      </c>
      <c r="G111" s="33" t="str">
        <f t="shared" si="7"/>
        <v/>
      </c>
      <c r="H111" s="33" t="str">
        <f t="shared" si="7"/>
        <v/>
      </c>
      <c r="I111" s="33" t="str">
        <f t="shared" si="7"/>
        <v/>
      </c>
      <c r="J111" s="33" t="str">
        <f t="shared" si="7"/>
        <v/>
      </c>
      <c r="K111" s="33" t="str">
        <f t="shared" si="7"/>
        <v/>
      </c>
      <c r="L111" s="33" t="str">
        <f t="shared" si="6"/>
        <v/>
      </c>
      <c r="M111" s="33" t="str">
        <f t="shared" si="6"/>
        <v/>
      </c>
      <c r="N111" s="19" t="str">
        <f t="shared" si="5"/>
        <v/>
      </c>
    </row>
    <row r="112" spans="1:14" ht="15.6" x14ac:dyDescent="0.3">
      <c r="A112" s="33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6" t="str">
        <f t="shared" si="7"/>
        <v/>
      </c>
      <c r="E112" s="6" t="str">
        <f t="shared" si="7"/>
        <v/>
      </c>
      <c r="F112" s="33" t="str">
        <f t="shared" si="7"/>
        <v/>
      </c>
      <c r="G112" s="33" t="str">
        <f t="shared" si="7"/>
        <v/>
      </c>
      <c r="H112" s="33" t="str">
        <f t="shared" si="7"/>
        <v/>
      </c>
      <c r="I112" s="33" t="str">
        <f t="shared" si="7"/>
        <v/>
      </c>
      <c r="J112" s="33" t="str">
        <f t="shared" si="7"/>
        <v/>
      </c>
      <c r="K112" s="33" t="str">
        <f t="shared" si="7"/>
        <v/>
      </c>
      <c r="L112" s="33" t="str">
        <f t="shared" si="6"/>
        <v/>
      </c>
      <c r="M112" s="33" t="str">
        <f t="shared" si="6"/>
        <v/>
      </c>
      <c r="N112" s="19" t="str">
        <f t="shared" si="5"/>
        <v/>
      </c>
    </row>
    <row r="113" spans="1:14" ht="15.6" x14ac:dyDescent="0.3">
      <c r="A113" s="33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6" t="str">
        <f t="shared" si="7"/>
        <v/>
      </c>
      <c r="E113" s="6" t="str">
        <f t="shared" si="7"/>
        <v/>
      </c>
      <c r="F113" s="33" t="str">
        <f t="shared" si="7"/>
        <v/>
      </c>
      <c r="G113" s="33" t="str">
        <f t="shared" si="7"/>
        <v/>
      </c>
      <c r="H113" s="33" t="str">
        <f t="shared" si="7"/>
        <v/>
      </c>
      <c r="I113" s="33" t="str">
        <f t="shared" si="7"/>
        <v/>
      </c>
      <c r="J113" s="33" t="str">
        <f t="shared" si="7"/>
        <v/>
      </c>
      <c r="K113" s="33" t="str">
        <f t="shared" si="7"/>
        <v/>
      </c>
      <c r="L113" s="33" t="str">
        <f t="shared" si="6"/>
        <v/>
      </c>
      <c r="M113" s="33" t="str">
        <f t="shared" si="6"/>
        <v/>
      </c>
      <c r="N113" s="19" t="str">
        <f t="shared" si="5"/>
        <v/>
      </c>
    </row>
    <row r="114" spans="1:14" ht="15.6" x14ac:dyDescent="0.3">
      <c r="A114" s="33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6" t="str">
        <f t="shared" si="7"/>
        <v/>
      </c>
      <c r="E114" s="6" t="str">
        <f t="shared" si="7"/>
        <v/>
      </c>
      <c r="F114" s="33" t="str">
        <f t="shared" si="7"/>
        <v/>
      </c>
      <c r="G114" s="33" t="str">
        <f t="shared" si="7"/>
        <v/>
      </c>
      <c r="H114" s="33" t="str">
        <f t="shared" si="7"/>
        <v/>
      </c>
      <c r="I114" s="33" t="str">
        <f t="shared" si="7"/>
        <v/>
      </c>
      <c r="J114" s="33" t="str">
        <f t="shared" si="7"/>
        <v/>
      </c>
      <c r="K114" s="33" t="str">
        <f t="shared" si="7"/>
        <v/>
      </c>
      <c r="L114" s="33" t="str">
        <f t="shared" si="6"/>
        <v/>
      </c>
      <c r="M114" s="33" t="str">
        <f t="shared" si="6"/>
        <v/>
      </c>
      <c r="N114" s="19" t="str">
        <f t="shared" si="5"/>
        <v/>
      </c>
    </row>
    <row r="115" spans="1:14" ht="15.6" x14ac:dyDescent="0.3">
      <c r="A115" s="33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6" t="str">
        <f t="shared" si="7"/>
        <v/>
      </c>
      <c r="E115" s="6" t="str">
        <f t="shared" si="7"/>
        <v/>
      </c>
      <c r="F115" s="33" t="str">
        <f t="shared" si="7"/>
        <v/>
      </c>
      <c r="G115" s="33" t="str">
        <f t="shared" si="7"/>
        <v/>
      </c>
      <c r="H115" s="33" t="str">
        <f t="shared" si="7"/>
        <v/>
      </c>
      <c r="I115" s="33" t="str">
        <f t="shared" si="7"/>
        <v/>
      </c>
      <c r="J115" s="33" t="str">
        <f t="shared" si="7"/>
        <v/>
      </c>
      <c r="K115" s="33" t="str">
        <f t="shared" si="7"/>
        <v/>
      </c>
      <c r="L115" s="33" t="str">
        <f t="shared" si="6"/>
        <v/>
      </c>
      <c r="M115" s="33" t="str">
        <f t="shared" si="6"/>
        <v/>
      </c>
      <c r="N115" s="19" t="str">
        <f t="shared" si="5"/>
        <v/>
      </c>
    </row>
    <row r="116" spans="1:14" ht="15.6" x14ac:dyDescent="0.3">
      <c r="A116" s="33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6" t="str">
        <f t="shared" si="7"/>
        <v/>
      </c>
      <c r="E116" s="6" t="str">
        <f t="shared" si="7"/>
        <v/>
      </c>
      <c r="F116" s="33" t="str">
        <f t="shared" si="7"/>
        <v/>
      </c>
      <c r="G116" s="33" t="str">
        <f t="shared" si="7"/>
        <v/>
      </c>
      <c r="H116" s="33" t="str">
        <f t="shared" si="7"/>
        <v/>
      </c>
      <c r="I116" s="33" t="str">
        <f t="shared" si="7"/>
        <v/>
      </c>
      <c r="J116" s="33" t="str">
        <f t="shared" si="7"/>
        <v/>
      </c>
      <c r="K116" s="33" t="str">
        <f t="shared" si="7"/>
        <v/>
      </c>
      <c r="L116" s="33" t="str">
        <f t="shared" si="7"/>
        <v/>
      </c>
      <c r="M116" s="33" t="str">
        <f t="shared" si="7"/>
        <v/>
      </c>
      <c r="N116" s="19" t="str">
        <f t="shared" si="5"/>
        <v/>
      </c>
    </row>
    <row r="117" spans="1:14" ht="15.6" x14ac:dyDescent="0.3">
      <c r="A117" s="33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6" t="str">
        <f t="shared" si="7"/>
        <v/>
      </c>
      <c r="E117" s="6" t="str">
        <f t="shared" si="7"/>
        <v/>
      </c>
      <c r="F117" s="33" t="str">
        <f t="shared" si="7"/>
        <v/>
      </c>
      <c r="G117" s="33" t="str">
        <f t="shared" si="7"/>
        <v/>
      </c>
      <c r="H117" s="33" t="str">
        <f t="shared" si="7"/>
        <v/>
      </c>
      <c r="I117" s="33" t="str">
        <f t="shared" si="7"/>
        <v/>
      </c>
      <c r="J117" s="33" t="str">
        <f t="shared" si="7"/>
        <v/>
      </c>
      <c r="K117" s="33" t="str">
        <f t="shared" si="7"/>
        <v/>
      </c>
      <c r="L117" s="33" t="str">
        <f t="shared" si="7"/>
        <v/>
      </c>
      <c r="M117" s="33" t="str">
        <f t="shared" si="7"/>
        <v/>
      </c>
      <c r="N117" s="19" t="str">
        <f t="shared" si="5"/>
        <v/>
      </c>
    </row>
    <row r="118" spans="1:14" ht="15.6" x14ac:dyDescent="0.3">
      <c r="A118" s="33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6" t="str">
        <f t="shared" si="7"/>
        <v/>
      </c>
      <c r="E118" s="6" t="str">
        <f t="shared" si="7"/>
        <v/>
      </c>
      <c r="F118" s="33" t="str">
        <f t="shared" si="7"/>
        <v/>
      </c>
      <c r="G118" s="33" t="str">
        <f t="shared" si="7"/>
        <v/>
      </c>
      <c r="H118" s="33" t="str">
        <f t="shared" si="7"/>
        <v/>
      </c>
      <c r="I118" s="33" t="str">
        <f t="shared" si="7"/>
        <v/>
      </c>
      <c r="J118" s="33" t="str">
        <f t="shared" si="7"/>
        <v/>
      </c>
      <c r="K118" s="33" t="str">
        <f t="shared" si="7"/>
        <v/>
      </c>
      <c r="L118" s="33" t="str">
        <f t="shared" si="7"/>
        <v/>
      </c>
      <c r="M118" s="33" t="str">
        <f t="shared" si="7"/>
        <v/>
      </c>
      <c r="N118" s="19" t="str">
        <f t="shared" si="5"/>
        <v/>
      </c>
    </row>
    <row r="119" spans="1:14" ht="15.6" x14ac:dyDescent="0.3">
      <c r="A119" s="33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6" t="str">
        <f t="shared" si="7"/>
        <v/>
      </c>
      <c r="E119" s="6" t="str">
        <f t="shared" si="7"/>
        <v/>
      </c>
      <c r="F119" s="33" t="str">
        <f t="shared" si="7"/>
        <v/>
      </c>
      <c r="G119" s="33" t="str">
        <f t="shared" si="7"/>
        <v/>
      </c>
      <c r="H119" s="33" t="str">
        <f t="shared" si="7"/>
        <v/>
      </c>
      <c r="I119" s="33" t="str">
        <f t="shared" si="7"/>
        <v/>
      </c>
      <c r="J119" s="33" t="str">
        <f t="shared" si="7"/>
        <v/>
      </c>
      <c r="K119" s="33" t="str">
        <f t="shared" si="7"/>
        <v/>
      </c>
      <c r="L119" s="33" t="str">
        <f t="shared" si="7"/>
        <v/>
      </c>
      <c r="M119" s="33" t="str">
        <f t="shared" si="7"/>
        <v/>
      </c>
      <c r="N119" s="19" t="str">
        <f t="shared" si="5"/>
        <v/>
      </c>
    </row>
    <row r="120" spans="1:14" ht="15.6" x14ac:dyDescent="0.3">
      <c r="A120" s="33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6" t="str">
        <f t="shared" si="7"/>
        <v/>
      </c>
      <c r="E120" s="6" t="str">
        <f t="shared" si="7"/>
        <v/>
      </c>
      <c r="F120" s="33" t="str">
        <f t="shared" si="7"/>
        <v/>
      </c>
      <c r="G120" s="33" t="str">
        <f t="shared" si="7"/>
        <v/>
      </c>
      <c r="H120" s="33" t="str">
        <f t="shared" si="7"/>
        <v/>
      </c>
      <c r="I120" s="33" t="str">
        <f t="shared" si="7"/>
        <v/>
      </c>
      <c r="J120" s="33" t="str">
        <f t="shared" si="7"/>
        <v/>
      </c>
      <c r="K120" s="33" t="str">
        <f t="shared" si="7"/>
        <v/>
      </c>
      <c r="L120" s="33" t="str">
        <f t="shared" si="7"/>
        <v/>
      </c>
      <c r="M120" s="33" t="str">
        <f t="shared" si="7"/>
        <v/>
      </c>
      <c r="N120" s="19" t="str">
        <f t="shared" si="5"/>
        <v/>
      </c>
    </row>
    <row r="121" spans="1:14" ht="15.6" x14ac:dyDescent="0.3">
      <c r="A121" s="33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6" t="str">
        <f t="shared" si="7"/>
        <v/>
      </c>
      <c r="E121" s="6" t="str">
        <f t="shared" si="7"/>
        <v/>
      </c>
      <c r="F121" s="33" t="str">
        <f t="shared" si="7"/>
        <v/>
      </c>
      <c r="G121" s="33" t="str">
        <f t="shared" si="7"/>
        <v/>
      </c>
      <c r="H121" s="33" t="str">
        <f t="shared" si="7"/>
        <v/>
      </c>
      <c r="I121" s="33" t="str">
        <f t="shared" si="7"/>
        <v/>
      </c>
      <c r="J121" s="33" t="str">
        <f t="shared" si="7"/>
        <v/>
      </c>
      <c r="K121" s="33" t="str">
        <f t="shared" si="7"/>
        <v/>
      </c>
      <c r="L121" s="33" t="str">
        <f t="shared" si="7"/>
        <v/>
      </c>
      <c r="M121" s="33" t="str">
        <f t="shared" si="7"/>
        <v/>
      </c>
      <c r="N121" s="19" t="str">
        <f t="shared" si="5"/>
        <v/>
      </c>
    </row>
    <row r="122" spans="1:14" ht="15.6" x14ac:dyDescent="0.3">
      <c r="A122" s="33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6" t="str">
        <f t="shared" si="7"/>
        <v/>
      </c>
      <c r="E122" s="6" t="str">
        <f t="shared" si="7"/>
        <v/>
      </c>
      <c r="F122" s="33" t="str">
        <f t="shared" si="7"/>
        <v/>
      </c>
      <c r="G122" s="33" t="str">
        <f t="shared" si="7"/>
        <v/>
      </c>
      <c r="H122" s="33" t="str">
        <f t="shared" si="7"/>
        <v/>
      </c>
      <c r="I122" s="33" t="str">
        <f t="shared" si="7"/>
        <v/>
      </c>
      <c r="J122" s="33" t="str">
        <f t="shared" si="7"/>
        <v/>
      </c>
      <c r="K122" s="33" t="str">
        <f t="shared" si="7"/>
        <v/>
      </c>
      <c r="L122" s="33" t="str">
        <f t="shared" si="7"/>
        <v/>
      </c>
      <c r="M122" s="33" t="str">
        <f t="shared" si="7"/>
        <v/>
      </c>
      <c r="N122" s="19" t="str">
        <f t="shared" si="5"/>
        <v/>
      </c>
    </row>
    <row r="123" spans="1:14" ht="15.6" x14ac:dyDescent="0.3">
      <c r="A123" s="33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6" t="str">
        <f t="shared" si="7"/>
        <v/>
      </c>
      <c r="E123" s="6" t="str">
        <f t="shared" si="7"/>
        <v/>
      </c>
      <c r="F123" s="33" t="str">
        <f t="shared" si="7"/>
        <v/>
      </c>
      <c r="G123" s="33" t="str">
        <f t="shared" si="7"/>
        <v/>
      </c>
      <c r="H123" s="33" t="str">
        <f t="shared" si="7"/>
        <v/>
      </c>
      <c r="I123" s="33" t="str">
        <f t="shared" si="7"/>
        <v/>
      </c>
      <c r="J123" s="33" t="str">
        <f t="shared" si="7"/>
        <v/>
      </c>
      <c r="K123" s="33" t="str">
        <f t="shared" si="7"/>
        <v/>
      </c>
      <c r="L123" s="33" t="str">
        <f t="shared" si="7"/>
        <v/>
      </c>
      <c r="M123" s="33" t="str">
        <f t="shared" si="7"/>
        <v/>
      </c>
      <c r="N123" s="19" t="str">
        <f t="shared" si="5"/>
        <v/>
      </c>
    </row>
  </sheetData>
  <autoFilter ref="A25:N123" xr:uid="{EDCF0263-9A79-486E-81EA-7C478ACA203F}"/>
  <mergeCells count="25">
    <mergeCell ref="B22:M23"/>
    <mergeCell ref="B9:B11"/>
    <mergeCell ref="E9:E11"/>
    <mergeCell ref="H9:H11"/>
    <mergeCell ref="K9:K11"/>
    <mergeCell ref="B12:B14"/>
    <mergeCell ref="E12:E14"/>
    <mergeCell ref="H12:H14"/>
    <mergeCell ref="K12:K14"/>
    <mergeCell ref="B15:B17"/>
    <mergeCell ref="E15:E17"/>
    <mergeCell ref="H15:H17"/>
    <mergeCell ref="K15:K17"/>
    <mergeCell ref="B18:B20"/>
    <mergeCell ref="E18:E20"/>
    <mergeCell ref="H18:H20"/>
    <mergeCell ref="K18:K20"/>
    <mergeCell ref="B4:D4"/>
    <mergeCell ref="E4:G4"/>
    <mergeCell ref="H4:J4"/>
    <mergeCell ref="K4:M4"/>
    <mergeCell ref="B6:B8"/>
    <mergeCell ref="E6:E8"/>
    <mergeCell ref="H6:H8"/>
    <mergeCell ref="K6:K8"/>
  </mergeCells>
  <conditionalFormatting sqref="B26:C1126 G26:G126 I26:I126 K26:K126 M26:M126 E26:E126">
    <cfRule type="cellIs" dxfId="2778" priority="73" operator="notEqual">
      <formula>""</formula>
    </cfRule>
  </conditionalFormatting>
  <conditionalFormatting sqref="B26:N126">
    <cfRule type="cellIs" dxfId="2777" priority="1" operator="equal">
      <formula>""</formula>
    </cfRule>
  </conditionalFormatting>
  <conditionalFormatting sqref="F26:F126 H26:H126 J26:J126 L26:L126 D26:D126">
    <cfRule type="cellIs" dxfId="2776" priority="70" operator="notEqual">
      <formula>""</formula>
    </cfRule>
  </conditionalFormatting>
  <conditionalFormatting sqref="D26:D126">
    <cfRule type="cellIs" dxfId="2775" priority="69" operator="notEqual">
      <formula>""</formula>
    </cfRule>
  </conditionalFormatting>
  <conditionalFormatting sqref="D6:D8">
    <cfRule type="top10" dxfId="2774" priority="3" rank="1"/>
  </conditionalFormatting>
  <conditionalFormatting sqref="C6:C8">
    <cfRule type="expression" dxfId="2773" priority="4">
      <formula>D6=LARGE(D$6:D$8,1)</formula>
    </cfRule>
  </conditionalFormatting>
  <conditionalFormatting sqref="C9:C11">
    <cfRule type="expression" dxfId="2772" priority="6">
      <formula>D9=LARGE(D$9:D$11,1)</formula>
    </cfRule>
  </conditionalFormatting>
  <conditionalFormatting sqref="D9:D11">
    <cfRule type="top10" dxfId="2771" priority="5" rank="1"/>
  </conditionalFormatting>
  <conditionalFormatting sqref="D12:D14">
    <cfRule type="top10" dxfId="2770" priority="7" rank="1"/>
  </conditionalFormatting>
  <conditionalFormatting sqref="G6:G8">
    <cfRule type="top10" dxfId="2769" priority="13" rank="1"/>
  </conditionalFormatting>
  <conditionalFormatting sqref="G9:G11">
    <cfRule type="top10" dxfId="2768" priority="15" rank="1"/>
  </conditionalFormatting>
  <conditionalFormatting sqref="G12:G14">
    <cfRule type="top10" dxfId="2767" priority="17" rank="1"/>
  </conditionalFormatting>
  <conditionalFormatting sqref="J6:J8">
    <cfRule type="top10" dxfId="2766" priority="23" rank="1"/>
  </conditionalFormatting>
  <conditionalFormatting sqref="J9:J11">
    <cfRule type="top10" dxfId="2765" priority="25" rank="1"/>
  </conditionalFormatting>
  <conditionalFormatting sqref="J12:J14">
    <cfRule type="top10" dxfId="2764" priority="27" rank="1"/>
  </conditionalFormatting>
  <conditionalFormatting sqref="M6:M8">
    <cfRule type="top10" dxfId="2763" priority="33" rank="1"/>
  </conditionalFormatting>
  <conditionalFormatting sqref="M9:M11">
    <cfRule type="top10" dxfId="2762" priority="35" rank="1"/>
  </conditionalFormatting>
  <conditionalFormatting sqref="M12:M14">
    <cfRule type="top10" dxfId="2761" priority="37" rank="1"/>
  </conditionalFormatting>
  <conditionalFormatting sqref="C12:C14">
    <cfRule type="expression" dxfId="2760" priority="8">
      <formula>D12=LARGE(D$12:D$14,1)</formula>
    </cfRule>
  </conditionalFormatting>
  <conditionalFormatting sqref="F6:F8">
    <cfRule type="expression" dxfId="2759" priority="14">
      <formula>G6=LARGE(G$6:G$8,1)</formula>
    </cfRule>
  </conditionalFormatting>
  <conditionalFormatting sqref="F9:F11">
    <cfRule type="expression" dxfId="2758" priority="16">
      <formula>G9=LARGE(G$9:G$11,1)</formula>
    </cfRule>
  </conditionalFormatting>
  <conditionalFormatting sqref="F12:F14">
    <cfRule type="expression" dxfId="2757" priority="18">
      <formula>G12=LARGE(G$12:G$14,1)</formula>
    </cfRule>
  </conditionalFormatting>
  <conditionalFormatting sqref="I6:I8">
    <cfRule type="expression" dxfId="2756" priority="24">
      <formula>J6=LARGE(J$6:J$8,1)</formula>
    </cfRule>
  </conditionalFormatting>
  <conditionalFormatting sqref="I9:I11">
    <cfRule type="expression" dxfId="2755" priority="26">
      <formula>J9=LARGE(J$9:J$11,1)</formula>
    </cfRule>
  </conditionalFormatting>
  <conditionalFormatting sqref="I12:I14">
    <cfRule type="expression" dxfId="2754" priority="28">
      <formula>J12=LARGE(J$12:J$14,1)</formula>
    </cfRule>
  </conditionalFormatting>
  <conditionalFormatting sqref="L6:L8">
    <cfRule type="expression" dxfId="2753" priority="34">
      <formula>M6=LARGE(M$6:M$8,1)</formula>
    </cfRule>
  </conditionalFormatting>
  <conditionalFormatting sqref="L9:L11">
    <cfRule type="expression" dxfId="2752" priority="36">
      <formula>M9=LARGE(M$9:M$11,1)</formula>
    </cfRule>
  </conditionalFormatting>
  <conditionalFormatting sqref="L12:L14">
    <cfRule type="expression" dxfId="2751" priority="38">
      <formula>M12=LARGE(M$12:M$14,1)</formula>
    </cfRule>
  </conditionalFormatting>
  <conditionalFormatting sqref="D18:D20">
    <cfRule type="top10" dxfId="2750" priority="11" rank="1"/>
  </conditionalFormatting>
  <conditionalFormatting sqref="C18:C20">
    <cfRule type="expression" dxfId="2749" priority="12">
      <formula>D18=LARGE(D$18:D$20,1)</formula>
    </cfRule>
  </conditionalFormatting>
  <conditionalFormatting sqref="B4:M20">
    <cfRule type="cellIs" dxfId="2748" priority="2" operator="equal">
      <formula>""</formula>
    </cfRule>
  </conditionalFormatting>
  <conditionalFormatting sqref="C15:C17">
    <cfRule type="expression" dxfId="2747" priority="10">
      <formula>D15=LARGE(D$15:D$17,1)</formula>
    </cfRule>
  </conditionalFormatting>
  <conditionalFormatting sqref="D15:D17">
    <cfRule type="top10" dxfId="2746" priority="9" rank="1"/>
  </conditionalFormatting>
  <conditionalFormatting sqref="G15:G17">
    <cfRule type="top10" dxfId="2745" priority="19" rank="1"/>
  </conditionalFormatting>
  <conditionalFormatting sqref="F15:F17">
    <cfRule type="expression" dxfId="2744" priority="20">
      <formula>G15=LARGE(G$15:G$17,1)</formula>
    </cfRule>
  </conditionalFormatting>
  <conditionalFormatting sqref="G18:G20">
    <cfRule type="top10" dxfId="2743" priority="21" rank="1"/>
  </conditionalFormatting>
  <conditionalFormatting sqref="F18:F20">
    <cfRule type="expression" dxfId="2742" priority="22">
      <formula>G18=LARGE(G$18:G$20,1)</formula>
    </cfRule>
  </conditionalFormatting>
  <conditionalFormatting sqref="J15:J17">
    <cfRule type="top10" dxfId="2741" priority="29" rank="1"/>
  </conditionalFormatting>
  <conditionalFormatting sqref="J18:J20">
    <cfRule type="top10" dxfId="2740" priority="31" rank="1"/>
  </conditionalFormatting>
  <conditionalFormatting sqref="I15:I17">
    <cfRule type="expression" dxfId="2739" priority="30">
      <formula>J15=LARGE(J$15:J$17,1)</formula>
    </cfRule>
  </conditionalFormatting>
  <conditionalFormatting sqref="I18:I20">
    <cfRule type="expression" dxfId="2738" priority="32">
      <formula>J18=LARGE(J$18:J$20,1)</formula>
    </cfRule>
  </conditionalFormatting>
  <conditionalFormatting sqref="M15:M17">
    <cfRule type="top10" dxfId="2737" priority="39" rank="1"/>
  </conditionalFormatting>
  <conditionalFormatting sqref="M18:M20">
    <cfRule type="top10" dxfId="2736" priority="41" rank="1"/>
  </conditionalFormatting>
  <conditionalFormatting sqref="L15:L17">
    <cfRule type="expression" dxfId="2735" priority="40">
      <formula>M15=LARGE(M$15:M$17,1)</formula>
    </cfRule>
  </conditionalFormatting>
  <conditionalFormatting sqref="L18:L20">
    <cfRule type="expression" dxfId="2734" priority="42">
      <formula>M18=LARGE(M$18:M$20,1)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4" operator="lessThan" id="{37A9F518-1253-4E0D-9AC7-32D024C19C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5" operator="greaterThanOrEqual" id="{45632CC7-A6D2-4E1A-86B3-154DF7B98C8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N26:N126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D6CFD-8DA9-4064-86D6-98F873AF2BCA}">
  <sheetPr codeName="Planilha5"/>
  <dimension ref="A1:N123"/>
  <sheetViews>
    <sheetView topLeftCell="D1" zoomScaleNormal="100" workbookViewId="0">
      <selection activeCell="D28" sqref="D26:M28"/>
    </sheetView>
  </sheetViews>
  <sheetFormatPr defaultColWidth="9.109375" defaultRowHeight="13.8" x14ac:dyDescent="0.25"/>
  <cols>
    <col min="1" max="1" width="0" style="33" hidden="1" customWidth="1"/>
    <col min="2" max="2" width="13.77734375" style="33" bestFit="1" customWidth="1"/>
    <col min="3" max="3" width="43.77734375" style="33" customWidth="1"/>
    <col min="4" max="4" width="14.77734375" style="33" customWidth="1"/>
    <col min="5" max="5" width="14.44140625" style="33" customWidth="1"/>
    <col min="6" max="6" width="23.5546875" style="33" bestFit="1" customWidth="1"/>
    <col min="7" max="7" width="15.33203125" style="33" customWidth="1"/>
    <col min="8" max="8" width="15.77734375" style="33" customWidth="1"/>
    <col min="9" max="9" width="23.5546875" style="33" bestFit="1" customWidth="1"/>
    <col min="10" max="10" width="15.77734375" style="33" customWidth="1"/>
    <col min="11" max="11" width="16" style="33" customWidth="1"/>
    <col min="12" max="12" width="23.5546875" style="33" bestFit="1" customWidth="1"/>
    <col min="13" max="13" width="17.109375" style="33" customWidth="1"/>
    <col min="14" max="14" width="16.77734375" style="33" customWidth="1"/>
    <col min="15" max="15" width="9.109375" style="33"/>
    <col min="16" max="16" width="12.33203125" style="33" bestFit="1" customWidth="1"/>
    <col min="17" max="16384" width="9.109375" style="33"/>
  </cols>
  <sheetData>
    <row r="1" spans="2:13" ht="31.8" customHeight="1" x14ac:dyDescent="0.45">
      <c r="B1" s="52"/>
      <c r="C1" s="52"/>
      <c r="D1" s="52"/>
      <c r="E1" s="52" t="s">
        <v>80</v>
      </c>
      <c r="F1" s="52"/>
      <c r="G1" s="52"/>
      <c r="H1" s="52"/>
      <c r="I1" s="52"/>
      <c r="J1" s="52"/>
      <c r="K1" s="52"/>
      <c r="L1" s="52"/>
      <c r="M1" s="52"/>
    </row>
    <row r="2" spans="2:13" s="47" customFormat="1" ht="6" customHeight="1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2:13" s="47" customFormat="1" ht="6" customHeight="1" x14ac:dyDescent="0.25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2:13" x14ac:dyDescent="0.25">
      <c r="B4" s="67" t="e" cm="1">
        <f t="array" aca="1" ref="B4" ca="1">IF(INDEX(INDIRECT(_xlfn.CONCAT("ListaDeProf",RIGHT(CELL("nome.arquivo"),3))),((COLUMN()-1)/3+1))="","",INDEX(INDIRECT(_xlfn.CONCAT("ListaDeProf",RIGHT(CELL("nome.arquivo"),3))),((COLUMN()-1)/3+1)))</f>
        <v>#REF!</v>
      </c>
      <c r="C4" s="67"/>
      <c r="D4" s="67"/>
      <c r="E4" s="67" t="e" cm="1">
        <f t="array" aca="1" ref="E4" ca="1">IF(INDEX(INDIRECT(_xlfn.CONCAT("ListaDeProf",RIGHT(CELL("nome.arquivo"),3))),((COLUMN()-1)/3+1))="","",INDEX(INDIRECT(_xlfn.CONCAT("ListaDeProf",RIGHT(CELL("nome.arquivo"),3))),((COLUMN()-1)/3+1)))</f>
        <v>#REF!</v>
      </c>
      <c r="F4" s="67"/>
      <c r="G4" s="67"/>
      <c r="H4" s="67" t="e" cm="1">
        <f t="array" aca="1" ref="H4" ca="1">IF(INDEX(INDIRECT(_xlfn.CONCAT("ListaDeProf",RIGHT(CELL("nome.arquivo"),3))),((COLUMN()-1)/3+1))="","",INDEX(INDIRECT(_xlfn.CONCAT("ListaDeProf",RIGHT(CELL("nome.arquivo"),3))),((COLUMN()-1)/3+1)))</f>
        <v>#REF!</v>
      </c>
      <c r="I4" s="67"/>
      <c r="J4" s="67"/>
      <c r="K4" s="67" t="e" cm="1">
        <f t="array" aca="1" ref="K4" ca="1">IF(INDEX(INDIRECT(_xlfn.CONCAT("ListaDeProf",RIGHT(CELL("nome.arquivo"),3))),((COLUMN()-1)/3+1))="","",INDEX(INDIRECT(_xlfn.CONCAT("ListaDeProf",RIGHT(CELL("nome.arquivo"),3))),((COLUMN()-1)/3+1)))</f>
        <v>#REF!</v>
      </c>
      <c r="L4" s="67"/>
      <c r="M4" s="67"/>
    </row>
    <row r="5" spans="2:13" ht="14.4" thickBot="1" x14ac:dyDescent="0.3">
      <c r="B5" s="46" t="e">
        <f ca="1">IF(B4="","","Questão")</f>
        <v>#REF!</v>
      </c>
      <c r="C5" s="46" t="e">
        <f ca="1">IF(B4="","","Desempenho")</f>
        <v>#REF!</v>
      </c>
      <c r="D5" s="46" t="e">
        <f ca="1">IF(B4="","","Percentual")</f>
        <v>#REF!</v>
      </c>
      <c r="E5" s="57" t="e">
        <f ca="1">IF(E4="","","Questão")</f>
        <v>#REF!</v>
      </c>
      <c r="F5" s="57" t="e">
        <f ca="1">IF(E4="","","Desempenho")</f>
        <v>#REF!</v>
      </c>
      <c r="G5" s="57" t="e">
        <f ca="1">IF(E4="","","Percentual")</f>
        <v>#REF!</v>
      </c>
      <c r="H5" s="57" t="e">
        <f ca="1">IF(H4="","","Questão")</f>
        <v>#REF!</v>
      </c>
      <c r="I5" s="57" t="e">
        <f ca="1">IF(H4="","","Desempenho")</f>
        <v>#REF!</v>
      </c>
      <c r="J5" s="57" t="e">
        <f ca="1">IF(H4="","","Percentual")</f>
        <v>#REF!</v>
      </c>
      <c r="K5" s="57" t="e">
        <f ca="1">IF(K4="","","Questão")</f>
        <v>#REF!</v>
      </c>
      <c r="L5" s="57" t="e">
        <f ca="1">IF(K4="","","Desempenho")</f>
        <v>#REF!</v>
      </c>
      <c r="M5" s="57" t="e">
        <f ca="1">IF(K4="","","Percentual")</f>
        <v>#REF!</v>
      </c>
    </row>
    <row r="6" spans="2:13" x14ac:dyDescent="0.25">
      <c r="B6" s="64" t="e" cm="1">
        <f t="array" aca="1" ref="B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6" s="41" t="e">
        <f ca="1">IF(B6="","","Ruim (0,0 ≤ NOTA &lt; 0,5)")</f>
        <v>#REF!</v>
      </c>
      <c r="D6" s="42" t="e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#REF!</v>
      </c>
      <c r="E6" s="64" t="e" cm="1">
        <f t="array" aca="1" ref="E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6" s="41" t="e">
        <f ca="1">IF(E6="","","Ruim (0,0 ≤ NOTA &lt; 0,5)")</f>
        <v>#REF!</v>
      </c>
      <c r="G6" s="42" t="e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#REF!</v>
      </c>
      <c r="H6" s="64" t="e" cm="1">
        <f t="array" aca="1" ref="H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6" s="41" t="e">
        <f ca="1">IF(H6="","","Ruim (0,0 ≤ NOTA &lt; 0,5)")</f>
        <v>#REF!</v>
      </c>
      <c r="J6" s="42" t="e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#REF!</v>
      </c>
      <c r="K6" s="64" t="e" cm="1">
        <f t="array" aca="1" ref="K6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6" s="41" t="e">
        <f ca="1">IF(K6="","","Ruim (0,0 ≤ NOTA &lt; 0,5)")</f>
        <v>#REF!</v>
      </c>
      <c r="M6" s="42" t="e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>#REF!</v>
      </c>
    </row>
    <row r="7" spans="2:13" x14ac:dyDescent="0.25">
      <c r="B7" s="65"/>
      <c r="C7" s="28" t="e">
        <f ca="1">IF(B6="","","Mediano (0,5 ≤ NOTA ≤ 0,7)")</f>
        <v>#REF!</v>
      </c>
      <c r="D7" s="43" t="e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#REF!</v>
      </c>
      <c r="E7" s="65"/>
      <c r="F7" s="28" t="e">
        <f ca="1">IF(E6="","","Mediano (0,5 ≤ NOTA ≤ 0,7)")</f>
        <v>#REF!</v>
      </c>
      <c r="G7" s="43" t="e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#REF!</v>
      </c>
      <c r="H7" s="65"/>
      <c r="I7" s="28" t="e">
        <f ca="1">IF(H6="","","Mediano (0,5 ≤ NOTA ≤ 0,7)")</f>
        <v>#REF!</v>
      </c>
      <c r="J7" s="43" t="e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#REF!</v>
      </c>
      <c r="K7" s="65"/>
      <c r="L7" s="28" t="e">
        <f ca="1">IF(K6="","","Mediano (0,5 ≤ NOTA ≤ 0,7)")</f>
        <v>#REF!</v>
      </c>
      <c r="M7" s="43" t="e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>#REF!</v>
      </c>
    </row>
    <row r="8" spans="2:13" ht="14.4" thickBot="1" x14ac:dyDescent="0.3">
      <c r="B8" s="66"/>
      <c r="C8" s="44" t="e">
        <f ca="1">IF(B6="","","Bom (0,7 &lt; NOTA ≤ 1,0)")</f>
        <v>#REF!</v>
      </c>
      <c r="D8" s="45" t="e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#REF!</v>
      </c>
      <c r="E8" s="66"/>
      <c r="F8" s="44" t="e">
        <f ca="1">IF(E6="","","Bom (0,7 &lt; NOTA ≤ 1,0)")</f>
        <v>#REF!</v>
      </c>
      <c r="G8" s="45" t="e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#REF!</v>
      </c>
      <c r="H8" s="66"/>
      <c r="I8" s="44" t="e">
        <f ca="1">IF(H6="","","Bom (0,7 &lt; NOTA ≤ 1,0)")</f>
        <v>#REF!</v>
      </c>
      <c r="J8" s="45" t="e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#REF!</v>
      </c>
      <c r="K8" s="66"/>
      <c r="L8" s="44" t="e">
        <f ca="1">IF(K6="","","Bom (0,7 &lt; NOTA ≤ 1,0)")</f>
        <v>#REF!</v>
      </c>
      <c r="M8" s="45" t="e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>#REF!</v>
      </c>
    </row>
    <row r="9" spans="2:13" x14ac:dyDescent="0.25">
      <c r="B9" s="64" t="e" cm="1">
        <f t="array" aca="1" ref="B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9" s="41" t="e">
        <f ca="1">IF(B9="","","Ruim (0,0 ≤ NOTA &lt; 0,5)")</f>
        <v>#REF!</v>
      </c>
      <c r="D9" s="42" t="e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#REF!</v>
      </c>
      <c r="E9" s="64" t="e" cm="1">
        <f t="array" aca="1" ref="E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9" s="41" t="e">
        <f ca="1">IF(E9="","","Ruim (0,0 ≤ NOTA &lt; 0,5)")</f>
        <v>#REF!</v>
      </c>
      <c r="G9" s="42" t="e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#REF!</v>
      </c>
      <c r="H9" s="64" t="e" cm="1">
        <f t="array" aca="1" ref="H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9" s="41" t="e">
        <f ca="1">IF(H9="","","Ruim (0,0 ≤ NOTA &lt; 0,5)")</f>
        <v>#REF!</v>
      </c>
      <c r="J9" s="42" t="e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>#REF!</v>
      </c>
      <c r="K9" s="64" t="e" cm="1">
        <f t="array" aca="1" ref="K9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9" s="41" t="e">
        <f ca="1">IF(K9="","","Ruim (0,0 ≤ NOTA &lt; 0,5)")</f>
        <v>#REF!</v>
      </c>
      <c r="M9" s="42" t="e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>#REF!</v>
      </c>
    </row>
    <row r="10" spans="2:13" x14ac:dyDescent="0.25">
      <c r="B10" s="65"/>
      <c r="C10" s="28" t="e">
        <f ca="1">IF(B9="","","Mediano (0,5 ≤ NOTA ≤ 0,7)")</f>
        <v>#REF!</v>
      </c>
      <c r="D10" s="43" t="e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#REF!</v>
      </c>
      <c r="E10" s="65"/>
      <c r="F10" s="28" t="e">
        <f ca="1">IF(E9="","","Mediano (0,5 ≤ NOTA ≤ 0,7)")</f>
        <v>#REF!</v>
      </c>
      <c r="G10" s="43" t="e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#REF!</v>
      </c>
      <c r="H10" s="65"/>
      <c r="I10" s="28" t="e">
        <f ca="1">IF(H9="","","Mediano (0,5 ≤ NOTA ≤ 0,7)")</f>
        <v>#REF!</v>
      </c>
      <c r="J10" s="43" t="e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>#REF!</v>
      </c>
      <c r="K10" s="65"/>
      <c r="L10" s="28" t="e">
        <f ca="1">IF(K9="","","Mediano (0,5 ≤ NOTA ≤ 0,7)")</f>
        <v>#REF!</v>
      </c>
      <c r="M10" s="43" t="e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>#REF!</v>
      </c>
    </row>
    <row r="11" spans="2:13" ht="14.4" thickBot="1" x14ac:dyDescent="0.3">
      <c r="B11" s="66"/>
      <c r="C11" s="44" t="e">
        <f ca="1">IF(B9="","","Bom (0,7 &lt; NOTA ≤ 1,0)")</f>
        <v>#REF!</v>
      </c>
      <c r="D11" s="45" t="e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#REF!</v>
      </c>
      <c r="E11" s="66"/>
      <c r="F11" s="44" t="e">
        <f ca="1">IF(E9="","","Bom (0,7 &lt; NOTA ≤ 1,0)")</f>
        <v>#REF!</v>
      </c>
      <c r="G11" s="45" t="e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#REF!</v>
      </c>
      <c r="H11" s="66"/>
      <c r="I11" s="44" t="e">
        <f ca="1">IF(H9="","","Bom (0,7 &lt; NOTA ≤ 1,0)")</f>
        <v>#REF!</v>
      </c>
      <c r="J11" s="45" t="e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>#REF!</v>
      </c>
      <c r="K11" s="66"/>
      <c r="L11" s="44" t="e">
        <f ca="1">IF(K9="","","Bom (0,7 &lt; NOTA ≤ 1,0)")</f>
        <v>#REF!</v>
      </c>
      <c r="M11" s="45" t="e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>#REF!</v>
      </c>
    </row>
    <row r="12" spans="2:13" x14ac:dyDescent="0.25">
      <c r="B12" s="64" t="e" cm="1">
        <f t="array" aca="1" ref="B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2" s="41" t="e">
        <f ca="1">IF(B12="","","Ruim (0,0 ≤ NOTA &lt; 0,5)")</f>
        <v>#REF!</v>
      </c>
      <c r="D12" s="42" t="e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#REF!</v>
      </c>
      <c r="E12" s="64" t="e" cm="1">
        <f t="array" aca="1" ref="E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2" s="41" t="e">
        <f ca="1">IF(E12="","","Ruim (0,0 ≤ NOTA &lt; 0,5)")</f>
        <v>#REF!</v>
      </c>
      <c r="G12" s="42" t="e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>#REF!</v>
      </c>
      <c r="H12" s="64" t="e" cm="1">
        <f t="array" aca="1" ref="H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2" s="41" t="e">
        <f ca="1">IF(H12="","","Ruim (0,0 ≤ NOTA &lt; 0,5)")</f>
        <v>#REF!</v>
      </c>
      <c r="J12" s="42" t="e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>#REF!</v>
      </c>
      <c r="K12" s="64" t="e" cm="1">
        <f t="array" aca="1" ref="K12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2" s="41" t="e">
        <f ca="1">IF(K12="","","Ruim (0,0 ≤ NOTA &lt; 0,5)")</f>
        <v>#REF!</v>
      </c>
      <c r="M12" s="42" t="e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>#REF!</v>
      </c>
    </row>
    <row r="13" spans="2:13" x14ac:dyDescent="0.25">
      <c r="B13" s="65"/>
      <c r="C13" s="28" t="e">
        <f ca="1">IF(B12="","","Mediano (0,5 ≤ NOTA ≤ 0,7)")</f>
        <v>#REF!</v>
      </c>
      <c r="D13" s="43" t="e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#REF!</v>
      </c>
      <c r="E13" s="65"/>
      <c r="F13" s="28" t="e">
        <f ca="1">IF(E12="","","Mediano (0,5 ≤ NOTA ≤ 0,7)")</f>
        <v>#REF!</v>
      </c>
      <c r="G13" s="43" t="e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>#REF!</v>
      </c>
      <c r="H13" s="65"/>
      <c r="I13" s="28" t="e">
        <f ca="1">IF(H12="","","Mediano (0,5 ≤ NOTA ≤ 0,7)")</f>
        <v>#REF!</v>
      </c>
      <c r="J13" s="43" t="e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>#REF!</v>
      </c>
      <c r="K13" s="65"/>
      <c r="L13" s="28" t="e">
        <f ca="1">IF(K12="","","Mediano (0,5 ≤ NOTA ≤ 0,7)")</f>
        <v>#REF!</v>
      </c>
      <c r="M13" s="43" t="e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>#REF!</v>
      </c>
    </row>
    <row r="14" spans="2:13" ht="14.4" thickBot="1" x14ac:dyDescent="0.3">
      <c r="B14" s="65"/>
      <c r="C14" s="40" t="e">
        <f ca="1">IF(B12="","","Bom (0,7 &lt; NOTA ≤ 1,0)")</f>
        <v>#REF!</v>
      </c>
      <c r="D14" s="48" t="e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#REF!</v>
      </c>
      <c r="E14" s="65"/>
      <c r="F14" s="40" t="e">
        <f ca="1">IF(E12="","","Bom (0,7 &lt; NOTA ≤ 1,0)")</f>
        <v>#REF!</v>
      </c>
      <c r="G14" s="48" t="e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>#REF!</v>
      </c>
      <c r="H14" s="65"/>
      <c r="I14" s="40" t="e">
        <f ca="1">IF(H12="","","Bom (0,7 &lt; NOTA ≤ 1,0)")</f>
        <v>#REF!</v>
      </c>
      <c r="J14" s="48" t="e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>#REF!</v>
      </c>
      <c r="K14" s="65"/>
      <c r="L14" s="40" t="e">
        <f ca="1">IF(K12="","","Bom (0,7 &lt; NOTA ≤ 1,0)")</f>
        <v>#REF!</v>
      </c>
      <c r="M14" s="48" t="e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>#REF!</v>
      </c>
    </row>
    <row r="15" spans="2:13" x14ac:dyDescent="0.25">
      <c r="B15" s="64" t="e" cm="1">
        <f t="array" aca="1" ref="B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5" s="41" t="e">
        <f ca="1">IF(B15="","","Ruim (0,0 ≤ NOTA &lt; 0,5)")</f>
        <v>#REF!</v>
      </c>
      <c r="D15" s="42" t="e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>#REF!</v>
      </c>
      <c r="E15" s="64" t="e" cm="1">
        <f t="array" aca="1" ref="E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5" s="41" t="e">
        <f ca="1">IF(E15="","","Ruim (0,0 ≤ NOTA &lt; 0,5)")</f>
        <v>#REF!</v>
      </c>
      <c r="G15" s="42" t="e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>#REF!</v>
      </c>
      <c r="H15" s="64" t="e" cm="1">
        <f t="array" aca="1" ref="H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5" s="41" t="e">
        <f ca="1">IF(H15="","","Ruim (0,0 ≤ NOTA &lt; 0,5)")</f>
        <v>#REF!</v>
      </c>
      <c r="J15" s="42" t="e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>#REF!</v>
      </c>
      <c r="K15" s="64" t="e" cm="1">
        <f t="array" aca="1" ref="K15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5" s="41" t="e">
        <f ca="1">IF(K15="","","Ruim (0,0 ≤ NOTA &lt; 0,5)")</f>
        <v>#REF!</v>
      </c>
      <c r="M15" s="42" t="e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>#REF!</v>
      </c>
    </row>
    <row r="16" spans="2:13" x14ac:dyDescent="0.25">
      <c r="B16" s="65"/>
      <c r="C16" s="28" t="e">
        <f ca="1">IF(B15="","","Mediano (0,5 ≤ NOTA ≤ 0,7)")</f>
        <v>#REF!</v>
      </c>
      <c r="D16" s="43" t="e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>#REF!</v>
      </c>
      <c r="E16" s="65"/>
      <c r="F16" s="28" t="e">
        <f ca="1">IF(E15="","","Mediano (0,5 ≤ NOTA ≤ 0,7)")</f>
        <v>#REF!</v>
      </c>
      <c r="G16" s="43" t="e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>#REF!</v>
      </c>
      <c r="H16" s="65"/>
      <c r="I16" s="28" t="e">
        <f ca="1">IF(H15="","","Mediano (0,5 ≤ NOTA ≤ 0,7)")</f>
        <v>#REF!</v>
      </c>
      <c r="J16" s="43" t="e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>#REF!</v>
      </c>
      <c r="K16" s="65"/>
      <c r="L16" s="28" t="e">
        <f ca="1">IF(K15="","","Mediano (0,5 ≤ NOTA ≤ 0,7)")</f>
        <v>#REF!</v>
      </c>
      <c r="M16" s="43" t="e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>#REF!</v>
      </c>
    </row>
    <row r="17" spans="1:14" ht="14.4" thickBot="1" x14ac:dyDescent="0.3">
      <c r="B17" s="65"/>
      <c r="C17" s="40" t="e">
        <f ca="1">IF(B15="","","Bom (0,7 &lt; NOTA ≤ 1,0)")</f>
        <v>#REF!</v>
      </c>
      <c r="D17" s="48" t="e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>#REF!</v>
      </c>
      <c r="E17" s="65"/>
      <c r="F17" s="40" t="e">
        <f ca="1">IF(E15="","","Bom (0,7 &lt; NOTA ≤ 1,0)")</f>
        <v>#REF!</v>
      </c>
      <c r="G17" s="48" t="e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>#REF!</v>
      </c>
      <c r="H17" s="65"/>
      <c r="I17" s="40" t="e">
        <f ca="1">IF(H15="","","Bom (0,7 &lt; NOTA ≤ 1,0)")</f>
        <v>#REF!</v>
      </c>
      <c r="J17" s="48" t="e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>#REF!</v>
      </c>
      <c r="K17" s="65"/>
      <c r="L17" s="40" t="e">
        <f ca="1">IF(K15="","","Bom (0,7 &lt; NOTA ≤ 1,0)")</f>
        <v>#REF!</v>
      </c>
      <c r="M17" s="48" t="e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>#REF!</v>
      </c>
    </row>
    <row r="18" spans="1:14" x14ac:dyDescent="0.25">
      <c r="B18" s="69" t="e" cm="1">
        <f t="array" aca="1" ref="B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C18" s="41" t="e">
        <f ca="1">IF(B18="","","Ruim (0,0 ≤ NOTA &lt; 0,5)")</f>
        <v>#REF!</v>
      </c>
      <c r="D18" s="49" t="e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>#REF!</v>
      </c>
      <c r="E18" s="69" t="e" cm="1">
        <f t="array" aca="1" ref="E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F18" s="41" t="e">
        <f ca="1">IF(E18="","","Ruim (0,0 ≤ NOTA &lt; 0,5)")</f>
        <v>#REF!</v>
      </c>
      <c r="G18" s="42" t="e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>#REF!</v>
      </c>
      <c r="H18" s="69" t="e" cm="1">
        <f t="array" aca="1" ref="H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I18" s="41" t="e">
        <f ca="1">IF(H18="","","Ruim (0,0 ≤ NOTA &lt; 0,5)")</f>
        <v>#REF!</v>
      </c>
      <c r="J18" s="42" t="e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>#REF!</v>
      </c>
      <c r="K18" s="69" t="e" cm="1">
        <f t="array" aca="1" ref="K18" ca="1">IF(LEN(INDEX(INDIRECT(_xlfn.CONCAT("Questões",RIGHT(CELL("nome.arquivo"),3),"Prof",((COLUMN()+1)/3))),((ROW()-3)/3)))=0,"",IF(LEN(INDEX(INDIRECT(_xlfn.CONCAT("Questões",RIGHT(CELL("nome.arquivo"),3),"Prof",((COLUMN()+1)/3))),((ROW()-3)/3)))=1,_xlfn.CONCAT("Questão 0",INDEX(INDIRECT(_xlfn.CONCAT("Questões",RIGHT(CELL("nome.arquivo"),3),"Prof",((COLUMN()+1)/3))),((ROW()-3)/3))),_xlfn.CONCAT("Questão ",INDEX(INDIRECT(_xlfn.CONCAT("Questões",RIGHT(CELL("nome.arquivo"),3),"Prof",((COLUMN()+1)/3))),((ROW()-3)/3)))))</f>
        <v>#REF!</v>
      </c>
      <c r="L18" s="41" t="e">
        <f ca="1">IF(K18="","","Ruim (0,0 ≤ NOTA &lt; 0,5)")</f>
        <v>#REF!</v>
      </c>
      <c r="M18" s="42" t="e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>#REF!</v>
      </c>
    </row>
    <row r="19" spans="1:14" x14ac:dyDescent="0.25">
      <c r="B19" s="70"/>
      <c r="C19" s="28" t="e">
        <f ca="1">IF(B18="","","Mediano (0,5 ≤ NOTA ≤ 0,7)")</f>
        <v>#REF!</v>
      </c>
      <c r="D19" s="50" t="e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>#REF!</v>
      </c>
      <c r="E19" s="70"/>
      <c r="F19" s="28" t="e">
        <f ca="1">IF(E18="","","Mediano (0,5 ≤ NOTA ≤ 0,7)")</f>
        <v>#REF!</v>
      </c>
      <c r="G19" s="43" t="e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>#REF!</v>
      </c>
      <c r="H19" s="70"/>
      <c r="I19" s="28" t="e">
        <f ca="1">IF(H18="","","Mediano (0,5 ≤ NOTA ≤ 0,7)")</f>
        <v>#REF!</v>
      </c>
      <c r="J19" s="43" t="e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>#REF!</v>
      </c>
      <c r="K19" s="70"/>
      <c r="L19" s="28" t="e">
        <f ca="1">IF(K18="","","Mediano (0,5 ≤ NOTA ≤ 0,7)")</f>
        <v>#REF!</v>
      </c>
      <c r="M19" s="43" t="e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>#REF!</v>
      </c>
    </row>
    <row r="20" spans="1:14" ht="14.4" thickBot="1" x14ac:dyDescent="0.3">
      <c r="B20" s="71"/>
      <c r="C20" s="44" t="e">
        <f ca="1">IF(B18="","","Bom (0,7 &lt; NOTA ≤ 1,0)")</f>
        <v>#REF!</v>
      </c>
      <c r="D20" s="51" t="e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>#REF!</v>
      </c>
      <c r="E20" s="71"/>
      <c r="F20" s="44" t="e">
        <f ca="1">IF(E18="","","Bom (0,7 &lt; NOTA ≤ 1,0)")</f>
        <v>#REF!</v>
      </c>
      <c r="G20" s="45" t="e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>#REF!</v>
      </c>
      <c r="H20" s="71"/>
      <c r="I20" s="44" t="e">
        <f ca="1">IF(H18="","","Bom (0,7 &lt; NOTA ≤ 1,0)")</f>
        <v>#REF!</v>
      </c>
      <c r="J20" s="45" t="e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>#REF!</v>
      </c>
      <c r="K20" s="71"/>
      <c r="L20" s="44" t="e">
        <f ca="1">IF(K18="","","Bom (0,7 &lt; NOTA ≤ 1,0)")</f>
        <v>#REF!</v>
      </c>
      <c r="M20" s="45" t="e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>#REF!</v>
      </c>
    </row>
    <row r="21" spans="1:14" ht="6" customHeight="1" x14ac:dyDescent="0.25"/>
    <row r="22" spans="1:14" x14ac:dyDescent="0.25">
      <c r="B22" s="68" t="s">
        <v>81</v>
      </c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</row>
    <row r="23" spans="1:14" x14ac:dyDescent="0.25"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</row>
    <row r="24" spans="1:14" ht="6" customHeight="1" x14ac:dyDescent="0.25"/>
    <row r="25" spans="1:14" x14ac:dyDescent="0.25">
      <c r="B25" s="56" t="s">
        <v>1</v>
      </c>
      <c r="C25" s="56" t="s">
        <v>17</v>
      </c>
      <c r="D25" s="56" t="s">
        <v>2</v>
      </c>
      <c r="E25" s="56" t="s">
        <v>3</v>
      </c>
      <c r="F25" s="56" t="s">
        <v>4</v>
      </c>
      <c r="G25" s="56" t="s">
        <v>5</v>
      </c>
      <c r="H25" s="56" t="s">
        <v>6</v>
      </c>
      <c r="I25" s="56" t="s">
        <v>7</v>
      </c>
      <c r="J25" s="56" t="s">
        <v>8</v>
      </c>
      <c r="K25" s="56" t="s">
        <v>9</v>
      </c>
      <c r="L25" s="56" t="s">
        <v>10</v>
      </c>
      <c r="M25" s="56" t="s">
        <v>11</v>
      </c>
      <c r="N25" s="56" t="s">
        <v>0</v>
      </c>
    </row>
    <row r="26" spans="1:14" ht="15.6" x14ac:dyDescent="0.3">
      <c r="A26" s="33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LEONARDO MESQUITA</v>
      </c>
      <c r="D26" s="6">
        <f t="shared" ref="D26:M41" si="0">IF($C26="","",0)</f>
        <v>0</v>
      </c>
      <c r="E26" s="6">
        <f t="shared" si="0"/>
        <v>0</v>
      </c>
      <c r="F26" s="8">
        <f t="shared" si="0"/>
        <v>0</v>
      </c>
      <c r="G26" s="6">
        <f t="shared" si="0"/>
        <v>0</v>
      </c>
      <c r="H26" s="8">
        <f t="shared" si="0"/>
        <v>0</v>
      </c>
      <c r="I26" s="6">
        <f t="shared" si="0"/>
        <v>0</v>
      </c>
      <c r="J26" s="8">
        <f t="shared" si="0"/>
        <v>0</v>
      </c>
      <c r="K26" s="6">
        <f t="shared" si="0"/>
        <v>0</v>
      </c>
      <c r="L26" s="8">
        <f t="shared" si="0"/>
        <v>0</v>
      </c>
      <c r="M26" s="6">
        <f t="shared" si="0"/>
        <v>0</v>
      </c>
      <c r="N26" s="19">
        <f>IF(C26="","",SUM(D26:M26))</f>
        <v>0</v>
      </c>
    </row>
    <row r="27" spans="1:14" ht="15.6" x14ac:dyDescent="0.3">
      <c r="A27" s="33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CITÓ</v>
      </c>
      <c r="D27" s="6">
        <f t="shared" si="0"/>
        <v>0</v>
      </c>
      <c r="E27" s="6">
        <f t="shared" si="0"/>
        <v>0</v>
      </c>
      <c r="F27" s="8">
        <f t="shared" si="0"/>
        <v>0</v>
      </c>
      <c r="G27" s="6">
        <f t="shared" si="0"/>
        <v>0</v>
      </c>
      <c r="H27" s="8">
        <f t="shared" si="0"/>
        <v>0</v>
      </c>
      <c r="I27" s="6">
        <f t="shared" si="0"/>
        <v>0</v>
      </c>
      <c r="J27" s="8">
        <f t="shared" si="0"/>
        <v>0</v>
      </c>
      <c r="K27" s="6">
        <f t="shared" si="0"/>
        <v>0</v>
      </c>
      <c r="L27" s="8">
        <f t="shared" si="0"/>
        <v>0</v>
      </c>
      <c r="M27" s="6">
        <f t="shared" si="0"/>
        <v>0</v>
      </c>
      <c r="N27" s="19">
        <f t="shared" ref="N27:N90" si="1">IF(C27="","",SUM(D27:M27))</f>
        <v>0</v>
      </c>
    </row>
    <row r="28" spans="1:14" ht="15.6" x14ac:dyDescent="0.3">
      <c r="A28" s="33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ARTHUR CITÓ</v>
      </c>
      <c r="D28" s="6">
        <f t="shared" si="0"/>
        <v>0</v>
      </c>
      <c r="E28" s="6">
        <f t="shared" si="0"/>
        <v>0</v>
      </c>
      <c r="F28" s="8">
        <f t="shared" si="0"/>
        <v>0</v>
      </c>
      <c r="G28" s="6">
        <f t="shared" si="0"/>
        <v>0</v>
      </c>
      <c r="H28" s="8">
        <f t="shared" si="0"/>
        <v>0</v>
      </c>
      <c r="I28" s="6">
        <f t="shared" si="0"/>
        <v>0</v>
      </c>
      <c r="J28" s="8">
        <f t="shared" si="0"/>
        <v>0</v>
      </c>
      <c r="K28" s="6">
        <f t="shared" si="0"/>
        <v>0</v>
      </c>
      <c r="L28" s="8">
        <f t="shared" si="0"/>
        <v>0</v>
      </c>
      <c r="M28" s="6">
        <f t="shared" si="0"/>
        <v>0</v>
      </c>
      <c r="N28" s="19">
        <f t="shared" si="1"/>
        <v>0</v>
      </c>
    </row>
    <row r="29" spans="1:14" ht="15.6" x14ac:dyDescent="0.3">
      <c r="A29" s="33">
        <v>4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6" t="str">
        <f t="shared" si="0"/>
        <v/>
      </c>
      <c r="E29" s="6" t="str">
        <f t="shared" si="0"/>
        <v/>
      </c>
      <c r="F29" s="8" t="str">
        <f t="shared" si="0"/>
        <v/>
      </c>
      <c r="G29" s="6" t="str">
        <f t="shared" si="0"/>
        <v/>
      </c>
      <c r="H29" s="8" t="str">
        <f t="shared" si="0"/>
        <v/>
      </c>
      <c r="I29" s="6" t="str">
        <f t="shared" si="0"/>
        <v/>
      </c>
      <c r="J29" s="8" t="str">
        <f t="shared" si="0"/>
        <v/>
      </c>
      <c r="K29" s="6" t="str">
        <f t="shared" si="0"/>
        <v/>
      </c>
      <c r="L29" s="8" t="str">
        <f t="shared" si="0"/>
        <v/>
      </c>
      <c r="M29" s="6" t="str">
        <f t="shared" si="0"/>
        <v/>
      </c>
      <c r="N29" s="19" t="str">
        <f t="shared" si="1"/>
        <v/>
      </c>
    </row>
    <row r="30" spans="1:14" ht="15.6" x14ac:dyDescent="0.3">
      <c r="A30" s="33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6" t="str">
        <f t="shared" si="0"/>
        <v/>
      </c>
      <c r="E30" s="6" t="str">
        <f t="shared" si="0"/>
        <v/>
      </c>
      <c r="F30" s="8" t="str">
        <f t="shared" si="0"/>
        <v/>
      </c>
      <c r="G30" s="6" t="str">
        <f t="shared" si="0"/>
        <v/>
      </c>
      <c r="H30" s="8" t="str">
        <f t="shared" si="0"/>
        <v/>
      </c>
      <c r="I30" s="6" t="str">
        <f t="shared" si="0"/>
        <v/>
      </c>
      <c r="J30" s="8" t="str">
        <f t="shared" si="0"/>
        <v/>
      </c>
      <c r="K30" s="6" t="str">
        <f t="shared" si="0"/>
        <v/>
      </c>
      <c r="L30" s="8" t="str">
        <f t="shared" si="0"/>
        <v/>
      </c>
      <c r="M30" s="6" t="str">
        <f t="shared" si="0"/>
        <v/>
      </c>
      <c r="N30" s="19" t="str">
        <f t="shared" si="1"/>
        <v/>
      </c>
    </row>
    <row r="31" spans="1:14" ht="15.6" x14ac:dyDescent="0.3">
      <c r="A31" s="33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6" t="str">
        <f t="shared" si="0"/>
        <v/>
      </c>
      <c r="E31" s="6" t="str">
        <f t="shared" si="0"/>
        <v/>
      </c>
      <c r="F31" s="8" t="str">
        <f t="shared" si="0"/>
        <v/>
      </c>
      <c r="G31" s="6" t="str">
        <f t="shared" si="0"/>
        <v/>
      </c>
      <c r="H31" s="8" t="str">
        <f t="shared" si="0"/>
        <v/>
      </c>
      <c r="I31" s="6" t="str">
        <f t="shared" si="0"/>
        <v/>
      </c>
      <c r="J31" s="8" t="str">
        <f t="shared" si="0"/>
        <v/>
      </c>
      <c r="K31" s="6" t="str">
        <f t="shared" si="0"/>
        <v/>
      </c>
      <c r="L31" s="8" t="str">
        <f t="shared" si="0"/>
        <v/>
      </c>
      <c r="M31" s="6" t="str">
        <f t="shared" si="0"/>
        <v/>
      </c>
      <c r="N31" s="19" t="str">
        <f t="shared" si="1"/>
        <v/>
      </c>
    </row>
    <row r="32" spans="1:14" ht="15.6" x14ac:dyDescent="0.3">
      <c r="A32" s="33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6" t="str">
        <f t="shared" si="0"/>
        <v/>
      </c>
      <c r="E32" s="6" t="str">
        <f t="shared" si="0"/>
        <v/>
      </c>
      <c r="F32" s="8" t="str">
        <f t="shared" si="0"/>
        <v/>
      </c>
      <c r="G32" s="6" t="str">
        <f t="shared" si="0"/>
        <v/>
      </c>
      <c r="H32" s="8" t="str">
        <f t="shared" si="0"/>
        <v/>
      </c>
      <c r="I32" s="6" t="str">
        <f t="shared" si="0"/>
        <v/>
      </c>
      <c r="J32" s="8" t="str">
        <f t="shared" si="0"/>
        <v/>
      </c>
      <c r="K32" s="6" t="str">
        <f t="shared" si="0"/>
        <v/>
      </c>
      <c r="L32" s="8" t="str">
        <f t="shared" si="0"/>
        <v/>
      </c>
      <c r="M32" s="6" t="str">
        <f t="shared" si="0"/>
        <v/>
      </c>
      <c r="N32" s="19" t="str">
        <f t="shared" si="1"/>
        <v/>
      </c>
    </row>
    <row r="33" spans="1:14" ht="15.6" x14ac:dyDescent="0.3">
      <c r="A33" s="33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6" t="str">
        <f t="shared" si="0"/>
        <v/>
      </c>
      <c r="E33" s="6" t="str">
        <f t="shared" si="0"/>
        <v/>
      </c>
      <c r="F33" s="8" t="str">
        <f t="shared" si="0"/>
        <v/>
      </c>
      <c r="G33" s="6" t="str">
        <f t="shared" si="0"/>
        <v/>
      </c>
      <c r="H33" s="8" t="str">
        <f t="shared" si="0"/>
        <v/>
      </c>
      <c r="I33" s="6" t="str">
        <f t="shared" si="0"/>
        <v/>
      </c>
      <c r="J33" s="8" t="str">
        <f t="shared" si="0"/>
        <v/>
      </c>
      <c r="K33" s="6" t="str">
        <f t="shared" si="0"/>
        <v/>
      </c>
      <c r="L33" s="8" t="str">
        <f t="shared" si="0"/>
        <v/>
      </c>
      <c r="M33" s="6" t="str">
        <f t="shared" si="0"/>
        <v/>
      </c>
      <c r="N33" s="19" t="str">
        <f t="shared" si="1"/>
        <v/>
      </c>
    </row>
    <row r="34" spans="1:14" ht="15.6" x14ac:dyDescent="0.3">
      <c r="A34" s="33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6" t="str">
        <f t="shared" si="0"/>
        <v/>
      </c>
      <c r="E34" s="6" t="str">
        <f t="shared" si="0"/>
        <v/>
      </c>
      <c r="F34" s="8" t="str">
        <f t="shared" si="0"/>
        <v/>
      </c>
      <c r="G34" s="6" t="str">
        <f t="shared" si="0"/>
        <v/>
      </c>
      <c r="H34" s="8" t="str">
        <f t="shared" si="0"/>
        <v/>
      </c>
      <c r="I34" s="6" t="str">
        <f t="shared" si="0"/>
        <v/>
      </c>
      <c r="J34" s="8" t="str">
        <f t="shared" si="0"/>
        <v/>
      </c>
      <c r="K34" s="6" t="str">
        <f t="shared" si="0"/>
        <v/>
      </c>
      <c r="L34" s="8" t="str">
        <f t="shared" si="0"/>
        <v/>
      </c>
      <c r="M34" s="6" t="str">
        <f t="shared" si="0"/>
        <v/>
      </c>
      <c r="N34" s="19" t="str">
        <f t="shared" si="1"/>
        <v/>
      </c>
    </row>
    <row r="35" spans="1:14" ht="15.6" x14ac:dyDescent="0.3">
      <c r="A35" s="33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6" t="str">
        <f t="shared" si="0"/>
        <v/>
      </c>
      <c r="E35" s="6" t="str">
        <f t="shared" si="0"/>
        <v/>
      </c>
      <c r="F35" s="8" t="str">
        <f t="shared" si="0"/>
        <v/>
      </c>
      <c r="G35" s="6" t="str">
        <f t="shared" si="0"/>
        <v/>
      </c>
      <c r="H35" s="8" t="str">
        <f t="shared" si="0"/>
        <v/>
      </c>
      <c r="I35" s="6" t="str">
        <f t="shared" si="0"/>
        <v/>
      </c>
      <c r="J35" s="8" t="str">
        <f t="shared" si="0"/>
        <v/>
      </c>
      <c r="K35" s="6" t="str">
        <f t="shared" si="0"/>
        <v/>
      </c>
      <c r="L35" s="8" t="str">
        <f t="shared" si="0"/>
        <v/>
      </c>
      <c r="M35" s="6" t="str">
        <f t="shared" si="0"/>
        <v/>
      </c>
      <c r="N35" s="19" t="str">
        <f t="shared" si="1"/>
        <v/>
      </c>
    </row>
    <row r="36" spans="1:14" ht="15.6" x14ac:dyDescent="0.3">
      <c r="A36" s="33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6" t="str">
        <f t="shared" si="0"/>
        <v/>
      </c>
      <c r="E36" s="6" t="str">
        <f t="shared" si="0"/>
        <v/>
      </c>
      <c r="F36" s="8" t="str">
        <f t="shared" si="0"/>
        <v/>
      </c>
      <c r="G36" s="6" t="str">
        <f t="shared" si="0"/>
        <v/>
      </c>
      <c r="H36" s="8" t="str">
        <f t="shared" si="0"/>
        <v/>
      </c>
      <c r="I36" s="6" t="str">
        <f t="shared" si="0"/>
        <v/>
      </c>
      <c r="J36" s="8" t="str">
        <f t="shared" si="0"/>
        <v/>
      </c>
      <c r="K36" s="6" t="str">
        <f t="shared" si="0"/>
        <v/>
      </c>
      <c r="L36" s="8" t="str">
        <f t="shared" si="0"/>
        <v/>
      </c>
      <c r="M36" s="6" t="str">
        <f t="shared" si="0"/>
        <v/>
      </c>
      <c r="N36" s="19" t="str">
        <f t="shared" si="1"/>
        <v/>
      </c>
    </row>
    <row r="37" spans="1:14" ht="15.6" x14ac:dyDescent="0.3">
      <c r="A37" s="33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6" t="str">
        <f t="shared" si="0"/>
        <v/>
      </c>
      <c r="E37" s="6" t="str">
        <f t="shared" si="0"/>
        <v/>
      </c>
      <c r="F37" s="8" t="str">
        <f t="shared" si="0"/>
        <v/>
      </c>
      <c r="G37" s="6" t="str">
        <f t="shared" si="0"/>
        <v/>
      </c>
      <c r="H37" s="8" t="str">
        <f t="shared" si="0"/>
        <v/>
      </c>
      <c r="I37" s="6" t="str">
        <f t="shared" si="0"/>
        <v/>
      </c>
      <c r="J37" s="8" t="str">
        <f t="shared" si="0"/>
        <v/>
      </c>
      <c r="K37" s="6" t="str">
        <f t="shared" si="0"/>
        <v/>
      </c>
      <c r="L37" s="8" t="str">
        <f t="shared" si="0"/>
        <v/>
      </c>
      <c r="M37" s="6" t="str">
        <f t="shared" si="0"/>
        <v/>
      </c>
      <c r="N37" s="19" t="str">
        <f t="shared" si="1"/>
        <v/>
      </c>
    </row>
    <row r="38" spans="1:14" ht="15.6" x14ac:dyDescent="0.3">
      <c r="A38" s="33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6" t="str">
        <f t="shared" si="0"/>
        <v/>
      </c>
      <c r="E38" s="6" t="str">
        <f t="shared" si="0"/>
        <v/>
      </c>
      <c r="F38" s="8" t="str">
        <f t="shared" si="0"/>
        <v/>
      </c>
      <c r="G38" s="6" t="str">
        <f t="shared" si="0"/>
        <v/>
      </c>
      <c r="H38" s="8" t="str">
        <f t="shared" si="0"/>
        <v/>
      </c>
      <c r="I38" s="6" t="str">
        <f t="shared" si="0"/>
        <v/>
      </c>
      <c r="J38" s="8" t="str">
        <f t="shared" si="0"/>
        <v/>
      </c>
      <c r="K38" s="6" t="str">
        <f t="shared" si="0"/>
        <v/>
      </c>
      <c r="L38" s="8" t="str">
        <f t="shared" si="0"/>
        <v/>
      </c>
      <c r="M38" s="6" t="str">
        <f t="shared" si="0"/>
        <v/>
      </c>
      <c r="N38" s="19" t="str">
        <f t="shared" si="1"/>
        <v/>
      </c>
    </row>
    <row r="39" spans="1:14" ht="15.6" x14ac:dyDescent="0.3">
      <c r="A39" s="33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6" t="str">
        <f t="shared" si="0"/>
        <v/>
      </c>
      <c r="E39" s="6" t="str">
        <f t="shared" si="0"/>
        <v/>
      </c>
      <c r="F39" s="8" t="str">
        <f t="shared" si="0"/>
        <v/>
      </c>
      <c r="G39" s="6" t="str">
        <f t="shared" si="0"/>
        <v/>
      </c>
      <c r="H39" s="8" t="str">
        <f t="shared" si="0"/>
        <v/>
      </c>
      <c r="I39" s="6" t="str">
        <f t="shared" si="0"/>
        <v/>
      </c>
      <c r="J39" s="8" t="str">
        <f t="shared" si="0"/>
        <v/>
      </c>
      <c r="K39" s="6" t="str">
        <f t="shared" si="0"/>
        <v/>
      </c>
      <c r="L39" s="8" t="str">
        <f t="shared" si="0"/>
        <v/>
      </c>
      <c r="M39" s="6" t="str">
        <f t="shared" si="0"/>
        <v/>
      </c>
      <c r="N39" s="19" t="str">
        <f t="shared" si="1"/>
        <v/>
      </c>
    </row>
    <row r="40" spans="1:14" ht="15.6" x14ac:dyDescent="0.3">
      <c r="A40" s="33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6" t="str">
        <f t="shared" si="0"/>
        <v/>
      </c>
      <c r="E40" s="6" t="str">
        <f t="shared" si="0"/>
        <v/>
      </c>
      <c r="F40" s="8" t="str">
        <f t="shared" si="0"/>
        <v/>
      </c>
      <c r="G40" s="6" t="str">
        <f t="shared" si="0"/>
        <v/>
      </c>
      <c r="H40" s="8" t="str">
        <f t="shared" si="0"/>
        <v/>
      </c>
      <c r="I40" s="6" t="str">
        <f t="shared" si="0"/>
        <v/>
      </c>
      <c r="J40" s="8" t="str">
        <f t="shared" si="0"/>
        <v/>
      </c>
      <c r="K40" s="6" t="str">
        <f t="shared" si="0"/>
        <v/>
      </c>
      <c r="L40" s="8" t="str">
        <f t="shared" si="0"/>
        <v/>
      </c>
      <c r="M40" s="6" t="str">
        <f t="shared" si="0"/>
        <v/>
      </c>
      <c r="N40" s="19" t="str">
        <f t="shared" si="1"/>
        <v/>
      </c>
    </row>
    <row r="41" spans="1:14" ht="15.6" x14ac:dyDescent="0.3">
      <c r="A41" s="33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6" t="str">
        <f t="shared" si="0"/>
        <v/>
      </c>
      <c r="E41" s="6" t="str">
        <f t="shared" si="0"/>
        <v/>
      </c>
      <c r="F41" s="8" t="str">
        <f t="shared" si="0"/>
        <v/>
      </c>
      <c r="G41" s="6" t="str">
        <f t="shared" si="0"/>
        <v/>
      </c>
      <c r="H41" s="8" t="str">
        <f t="shared" si="0"/>
        <v/>
      </c>
      <c r="I41" s="6" t="str">
        <f t="shared" si="0"/>
        <v/>
      </c>
      <c r="J41" s="8" t="str">
        <f t="shared" si="0"/>
        <v/>
      </c>
      <c r="K41" s="6" t="str">
        <f t="shared" si="0"/>
        <v/>
      </c>
      <c r="L41" s="8" t="str">
        <f t="shared" si="0"/>
        <v/>
      </c>
      <c r="M41" s="6" t="str">
        <f t="shared" si="0"/>
        <v/>
      </c>
      <c r="N41" s="19" t="str">
        <f t="shared" si="1"/>
        <v/>
      </c>
    </row>
    <row r="42" spans="1:14" ht="15.6" x14ac:dyDescent="0.3">
      <c r="A42" s="33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6" t="str">
        <f t="shared" ref="D42:M67" si="2">IF($C42="","",0)</f>
        <v/>
      </c>
      <c r="E42" s="6" t="str">
        <f t="shared" si="2"/>
        <v/>
      </c>
      <c r="F42" s="8" t="str">
        <f t="shared" si="2"/>
        <v/>
      </c>
      <c r="G42" s="6" t="str">
        <f t="shared" si="2"/>
        <v/>
      </c>
      <c r="H42" s="8" t="str">
        <f t="shared" si="2"/>
        <v/>
      </c>
      <c r="I42" s="6" t="str">
        <f t="shared" si="2"/>
        <v/>
      </c>
      <c r="J42" s="8" t="str">
        <f t="shared" si="2"/>
        <v/>
      </c>
      <c r="K42" s="6" t="str">
        <f t="shared" si="2"/>
        <v/>
      </c>
      <c r="L42" s="8" t="str">
        <f t="shared" si="2"/>
        <v/>
      </c>
      <c r="M42" s="6" t="str">
        <f t="shared" si="2"/>
        <v/>
      </c>
      <c r="N42" s="19" t="str">
        <f t="shared" si="1"/>
        <v/>
      </c>
    </row>
    <row r="43" spans="1:14" ht="15.6" x14ac:dyDescent="0.3">
      <c r="A43" s="33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6" t="str">
        <f t="shared" si="2"/>
        <v/>
      </c>
      <c r="E43" s="6" t="str">
        <f t="shared" si="2"/>
        <v/>
      </c>
      <c r="F43" s="8" t="str">
        <f t="shared" si="2"/>
        <v/>
      </c>
      <c r="G43" s="6" t="str">
        <f t="shared" si="2"/>
        <v/>
      </c>
      <c r="H43" s="8" t="str">
        <f t="shared" si="2"/>
        <v/>
      </c>
      <c r="I43" s="6" t="str">
        <f t="shared" si="2"/>
        <v/>
      </c>
      <c r="J43" s="8" t="str">
        <f t="shared" si="2"/>
        <v/>
      </c>
      <c r="K43" s="6" t="str">
        <f t="shared" si="2"/>
        <v/>
      </c>
      <c r="L43" s="8" t="str">
        <f t="shared" si="2"/>
        <v/>
      </c>
      <c r="M43" s="6" t="str">
        <f t="shared" si="2"/>
        <v/>
      </c>
      <c r="N43" s="19" t="str">
        <f t="shared" si="1"/>
        <v/>
      </c>
    </row>
    <row r="44" spans="1:14" ht="15.6" x14ac:dyDescent="0.3">
      <c r="A44" s="33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6" t="str">
        <f t="shared" si="2"/>
        <v/>
      </c>
      <c r="E44" s="6" t="str">
        <f t="shared" si="2"/>
        <v/>
      </c>
      <c r="F44" s="8" t="str">
        <f t="shared" si="2"/>
        <v/>
      </c>
      <c r="G44" s="6" t="str">
        <f t="shared" si="2"/>
        <v/>
      </c>
      <c r="H44" s="8" t="str">
        <f t="shared" si="2"/>
        <v/>
      </c>
      <c r="I44" s="6" t="str">
        <f t="shared" si="2"/>
        <v/>
      </c>
      <c r="J44" s="8" t="str">
        <f t="shared" si="2"/>
        <v/>
      </c>
      <c r="K44" s="6" t="str">
        <f t="shared" si="2"/>
        <v/>
      </c>
      <c r="L44" s="8" t="str">
        <f t="shared" si="2"/>
        <v/>
      </c>
      <c r="M44" s="6" t="str">
        <f t="shared" si="2"/>
        <v/>
      </c>
      <c r="N44" s="19" t="str">
        <f t="shared" si="1"/>
        <v/>
      </c>
    </row>
    <row r="45" spans="1:14" ht="15.6" x14ac:dyDescent="0.3">
      <c r="A45" s="33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6" t="str">
        <f t="shared" si="2"/>
        <v/>
      </c>
      <c r="E45" s="6" t="str">
        <f t="shared" si="2"/>
        <v/>
      </c>
      <c r="F45" s="8" t="str">
        <f t="shared" si="2"/>
        <v/>
      </c>
      <c r="G45" s="6" t="str">
        <f t="shared" si="2"/>
        <v/>
      </c>
      <c r="H45" s="8" t="str">
        <f t="shared" si="2"/>
        <v/>
      </c>
      <c r="I45" s="6" t="str">
        <f t="shared" si="2"/>
        <v/>
      </c>
      <c r="J45" s="8" t="str">
        <f t="shared" si="2"/>
        <v/>
      </c>
      <c r="K45" s="6" t="str">
        <f t="shared" si="2"/>
        <v/>
      </c>
      <c r="L45" s="8" t="str">
        <f t="shared" si="2"/>
        <v/>
      </c>
      <c r="M45" s="6" t="str">
        <f t="shared" si="2"/>
        <v/>
      </c>
      <c r="N45" s="19" t="str">
        <f t="shared" si="1"/>
        <v/>
      </c>
    </row>
    <row r="46" spans="1:14" ht="15.6" x14ac:dyDescent="0.3">
      <c r="A46" s="33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6" t="str">
        <f t="shared" si="2"/>
        <v/>
      </c>
      <c r="E46" s="6" t="str">
        <f t="shared" si="2"/>
        <v/>
      </c>
      <c r="F46" s="8" t="str">
        <f t="shared" si="2"/>
        <v/>
      </c>
      <c r="G46" s="6" t="str">
        <f t="shared" si="2"/>
        <v/>
      </c>
      <c r="H46" s="8" t="str">
        <f t="shared" si="2"/>
        <v/>
      </c>
      <c r="I46" s="6" t="str">
        <f t="shared" si="2"/>
        <v/>
      </c>
      <c r="J46" s="8" t="str">
        <f t="shared" si="2"/>
        <v/>
      </c>
      <c r="K46" s="6" t="str">
        <f t="shared" si="2"/>
        <v/>
      </c>
      <c r="L46" s="8" t="str">
        <f t="shared" si="2"/>
        <v/>
      </c>
      <c r="M46" s="6" t="str">
        <f t="shared" si="2"/>
        <v/>
      </c>
      <c r="N46" s="19" t="str">
        <f t="shared" si="1"/>
        <v/>
      </c>
    </row>
    <row r="47" spans="1:14" ht="15.6" x14ac:dyDescent="0.3">
      <c r="A47" s="33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6" t="str">
        <f t="shared" si="2"/>
        <v/>
      </c>
      <c r="E47" s="6" t="str">
        <f t="shared" si="2"/>
        <v/>
      </c>
      <c r="F47" s="8" t="str">
        <f t="shared" si="2"/>
        <v/>
      </c>
      <c r="G47" s="6" t="str">
        <f t="shared" si="2"/>
        <v/>
      </c>
      <c r="H47" s="8" t="str">
        <f t="shared" si="2"/>
        <v/>
      </c>
      <c r="I47" s="6" t="str">
        <f t="shared" si="2"/>
        <v/>
      </c>
      <c r="J47" s="8" t="str">
        <f t="shared" si="2"/>
        <v/>
      </c>
      <c r="K47" s="6" t="str">
        <f t="shared" si="2"/>
        <v/>
      </c>
      <c r="L47" s="8" t="str">
        <f t="shared" si="2"/>
        <v/>
      </c>
      <c r="M47" s="6" t="str">
        <f t="shared" si="2"/>
        <v/>
      </c>
      <c r="N47" s="19" t="str">
        <f t="shared" si="1"/>
        <v/>
      </c>
    </row>
    <row r="48" spans="1:14" ht="15.6" x14ac:dyDescent="0.3">
      <c r="A48" s="33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6" t="str">
        <f t="shared" si="2"/>
        <v/>
      </c>
      <c r="E48" s="6" t="str">
        <f t="shared" si="2"/>
        <v/>
      </c>
      <c r="F48" s="8" t="str">
        <f t="shared" si="2"/>
        <v/>
      </c>
      <c r="G48" s="6" t="str">
        <f t="shared" si="2"/>
        <v/>
      </c>
      <c r="H48" s="8" t="str">
        <f t="shared" si="2"/>
        <v/>
      </c>
      <c r="I48" s="6" t="str">
        <f t="shared" si="2"/>
        <v/>
      </c>
      <c r="J48" s="8" t="str">
        <f t="shared" si="2"/>
        <v/>
      </c>
      <c r="K48" s="6" t="str">
        <f t="shared" si="2"/>
        <v/>
      </c>
      <c r="L48" s="8" t="str">
        <f t="shared" si="2"/>
        <v/>
      </c>
      <c r="M48" s="6" t="str">
        <f t="shared" si="2"/>
        <v/>
      </c>
      <c r="N48" s="19" t="str">
        <f t="shared" si="1"/>
        <v/>
      </c>
    </row>
    <row r="49" spans="1:14" ht="15.6" x14ac:dyDescent="0.3">
      <c r="A49" s="33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6" t="str">
        <f t="shared" si="2"/>
        <v/>
      </c>
      <c r="E49" s="6" t="str">
        <f t="shared" si="2"/>
        <v/>
      </c>
      <c r="F49" s="8" t="str">
        <f t="shared" si="2"/>
        <v/>
      </c>
      <c r="G49" s="6" t="str">
        <f t="shared" si="2"/>
        <v/>
      </c>
      <c r="H49" s="8" t="str">
        <f t="shared" si="2"/>
        <v/>
      </c>
      <c r="I49" s="6" t="str">
        <f t="shared" si="2"/>
        <v/>
      </c>
      <c r="J49" s="8" t="str">
        <f t="shared" si="2"/>
        <v/>
      </c>
      <c r="K49" s="6" t="str">
        <f t="shared" si="2"/>
        <v/>
      </c>
      <c r="L49" s="8" t="str">
        <f t="shared" si="2"/>
        <v/>
      </c>
      <c r="M49" s="6" t="str">
        <f t="shared" si="2"/>
        <v/>
      </c>
      <c r="N49" s="19" t="str">
        <f t="shared" si="1"/>
        <v/>
      </c>
    </row>
    <row r="50" spans="1:14" ht="15.6" x14ac:dyDescent="0.3">
      <c r="A50" s="33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6" t="str">
        <f t="shared" si="2"/>
        <v/>
      </c>
      <c r="E50" s="6" t="str">
        <f t="shared" si="2"/>
        <v/>
      </c>
      <c r="F50" s="8" t="str">
        <f t="shared" si="2"/>
        <v/>
      </c>
      <c r="G50" s="6" t="str">
        <f t="shared" si="2"/>
        <v/>
      </c>
      <c r="H50" s="8" t="str">
        <f t="shared" si="2"/>
        <v/>
      </c>
      <c r="I50" s="6" t="str">
        <f t="shared" si="2"/>
        <v/>
      </c>
      <c r="J50" s="8" t="str">
        <f t="shared" si="2"/>
        <v/>
      </c>
      <c r="K50" s="6" t="str">
        <f t="shared" si="2"/>
        <v/>
      </c>
      <c r="L50" s="8" t="str">
        <f t="shared" si="2"/>
        <v/>
      </c>
      <c r="M50" s="6" t="str">
        <f t="shared" si="2"/>
        <v/>
      </c>
      <c r="N50" s="19" t="str">
        <f t="shared" si="1"/>
        <v/>
      </c>
    </row>
    <row r="51" spans="1:14" ht="15.6" x14ac:dyDescent="0.3">
      <c r="A51" s="33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6" t="str">
        <f t="shared" si="2"/>
        <v/>
      </c>
      <c r="E51" s="6" t="str">
        <f t="shared" si="2"/>
        <v/>
      </c>
      <c r="F51" s="8" t="str">
        <f t="shared" si="2"/>
        <v/>
      </c>
      <c r="G51" s="6" t="str">
        <f t="shared" si="2"/>
        <v/>
      </c>
      <c r="H51" s="8" t="str">
        <f t="shared" si="2"/>
        <v/>
      </c>
      <c r="I51" s="6" t="str">
        <f t="shared" si="2"/>
        <v/>
      </c>
      <c r="J51" s="8" t="str">
        <f t="shared" si="2"/>
        <v/>
      </c>
      <c r="K51" s="6" t="str">
        <f t="shared" si="2"/>
        <v/>
      </c>
      <c r="L51" s="8" t="str">
        <f t="shared" si="2"/>
        <v/>
      </c>
      <c r="M51" s="6" t="str">
        <f t="shared" si="2"/>
        <v/>
      </c>
      <c r="N51" s="19" t="str">
        <f t="shared" si="1"/>
        <v/>
      </c>
    </row>
    <row r="52" spans="1:14" ht="15.6" x14ac:dyDescent="0.3">
      <c r="A52" s="33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6" t="str">
        <f t="shared" si="2"/>
        <v/>
      </c>
      <c r="E52" s="6" t="str">
        <f t="shared" si="2"/>
        <v/>
      </c>
      <c r="F52" s="8" t="str">
        <f t="shared" si="2"/>
        <v/>
      </c>
      <c r="G52" s="6" t="str">
        <f t="shared" si="2"/>
        <v/>
      </c>
      <c r="H52" s="8" t="str">
        <f t="shared" si="2"/>
        <v/>
      </c>
      <c r="I52" s="6" t="str">
        <f t="shared" si="2"/>
        <v/>
      </c>
      <c r="J52" s="8" t="str">
        <f t="shared" si="2"/>
        <v/>
      </c>
      <c r="K52" s="6" t="str">
        <f t="shared" si="2"/>
        <v/>
      </c>
      <c r="L52" s="8" t="str">
        <f t="shared" si="2"/>
        <v/>
      </c>
      <c r="M52" s="6" t="str">
        <f t="shared" si="2"/>
        <v/>
      </c>
      <c r="N52" s="19" t="str">
        <f t="shared" si="1"/>
        <v/>
      </c>
    </row>
    <row r="53" spans="1:14" ht="15.6" x14ac:dyDescent="0.3">
      <c r="A53" s="33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6" t="str">
        <f t="shared" si="2"/>
        <v/>
      </c>
      <c r="E53" s="6" t="str">
        <f t="shared" si="2"/>
        <v/>
      </c>
      <c r="F53" s="8" t="str">
        <f t="shared" si="2"/>
        <v/>
      </c>
      <c r="G53" s="6" t="str">
        <f t="shared" si="2"/>
        <v/>
      </c>
      <c r="H53" s="8" t="str">
        <f t="shared" si="2"/>
        <v/>
      </c>
      <c r="I53" s="6" t="str">
        <f t="shared" si="2"/>
        <v/>
      </c>
      <c r="J53" s="8" t="str">
        <f t="shared" si="2"/>
        <v/>
      </c>
      <c r="K53" s="6" t="str">
        <f t="shared" si="2"/>
        <v/>
      </c>
      <c r="L53" s="8" t="str">
        <f t="shared" si="2"/>
        <v/>
      </c>
      <c r="M53" s="6" t="str">
        <f t="shared" si="2"/>
        <v/>
      </c>
      <c r="N53" s="19" t="str">
        <f t="shared" si="1"/>
        <v/>
      </c>
    </row>
    <row r="54" spans="1:14" ht="15.6" x14ac:dyDescent="0.3">
      <c r="A54" s="33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6" t="str">
        <f t="shared" si="2"/>
        <v/>
      </c>
      <c r="E54" s="6" t="str">
        <f t="shared" si="2"/>
        <v/>
      </c>
      <c r="F54" s="33" t="str">
        <f t="shared" si="2"/>
        <v/>
      </c>
      <c r="G54" s="33" t="str">
        <f t="shared" si="2"/>
        <v/>
      </c>
      <c r="H54" s="33" t="str">
        <f t="shared" si="2"/>
        <v/>
      </c>
      <c r="I54" s="33" t="str">
        <f t="shared" si="2"/>
        <v/>
      </c>
      <c r="J54" s="33" t="str">
        <f t="shared" si="2"/>
        <v/>
      </c>
      <c r="K54" s="33" t="str">
        <f t="shared" si="2"/>
        <v/>
      </c>
      <c r="L54" s="33" t="str">
        <f t="shared" si="2"/>
        <v/>
      </c>
      <c r="M54" s="33" t="str">
        <f t="shared" si="2"/>
        <v/>
      </c>
      <c r="N54" s="19" t="str">
        <f t="shared" si="1"/>
        <v/>
      </c>
    </row>
    <row r="55" spans="1:14" ht="15.6" x14ac:dyDescent="0.3">
      <c r="A55" s="33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6" t="str">
        <f t="shared" si="2"/>
        <v/>
      </c>
      <c r="E55" s="6" t="str">
        <f t="shared" si="2"/>
        <v/>
      </c>
      <c r="F55" s="33" t="str">
        <f t="shared" si="2"/>
        <v/>
      </c>
      <c r="G55" s="33" t="str">
        <f t="shared" si="2"/>
        <v/>
      </c>
      <c r="H55" s="33" t="str">
        <f t="shared" si="2"/>
        <v/>
      </c>
      <c r="I55" s="33" t="str">
        <f t="shared" si="2"/>
        <v/>
      </c>
      <c r="J55" s="33" t="str">
        <f t="shared" si="2"/>
        <v/>
      </c>
      <c r="K55" s="33" t="str">
        <f t="shared" si="2"/>
        <v/>
      </c>
      <c r="L55" s="33" t="str">
        <f t="shared" si="2"/>
        <v/>
      </c>
      <c r="M55" s="33" t="str">
        <f t="shared" si="2"/>
        <v/>
      </c>
      <c r="N55" s="19" t="str">
        <f t="shared" si="1"/>
        <v/>
      </c>
    </row>
    <row r="56" spans="1:14" ht="15.6" x14ac:dyDescent="0.3">
      <c r="A56" s="33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6" t="str">
        <f t="shared" si="2"/>
        <v/>
      </c>
      <c r="E56" s="6" t="str">
        <f t="shared" si="2"/>
        <v/>
      </c>
      <c r="F56" s="33" t="str">
        <f t="shared" si="2"/>
        <v/>
      </c>
      <c r="G56" s="33" t="str">
        <f t="shared" si="2"/>
        <v/>
      </c>
      <c r="H56" s="33" t="str">
        <f t="shared" si="2"/>
        <v/>
      </c>
      <c r="I56" s="33" t="str">
        <f t="shared" si="2"/>
        <v/>
      </c>
      <c r="J56" s="33" t="str">
        <f t="shared" si="2"/>
        <v/>
      </c>
      <c r="K56" s="33" t="str">
        <f t="shared" si="2"/>
        <v/>
      </c>
      <c r="L56" s="33" t="str">
        <f t="shared" si="2"/>
        <v/>
      </c>
      <c r="M56" s="33" t="str">
        <f t="shared" si="2"/>
        <v/>
      </c>
      <c r="N56" s="19" t="str">
        <f t="shared" si="1"/>
        <v/>
      </c>
    </row>
    <row r="57" spans="1:14" ht="15.6" x14ac:dyDescent="0.3">
      <c r="A57" s="33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6" t="str">
        <f t="shared" si="2"/>
        <v/>
      </c>
      <c r="E57" s="6" t="str">
        <f t="shared" si="2"/>
        <v/>
      </c>
      <c r="F57" s="33" t="str">
        <f t="shared" si="2"/>
        <v/>
      </c>
      <c r="G57" s="33" t="str">
        <f t="shared" si="2"/>
        <v/>
      </c>
      <c r="H57" s="33" t="str">
        <f t="shared" si="2"/>
        <v/>
      </c>
      <c r="I57" s="33" t="str">
        <f t="shared" si="2"/>
        <v/>
      </c>
      <c r="J57" s="33" t="str">
        <f t="shared" si="2"/>
        <v/>
      </c>
      <c r="K57" s="33" t="str">
        <f t="shared" si="2"/>
        <v/>
      </c>
      <c r="L57" s="33" t="str">
        <f t="shared" si="2"/>
        <v/>
      </c>
      <c r="M57" s="33" t="str">
        <f t="shared" si="2"/>
        <v/>
      </c>
      <c r="N57" s="19" t="str">
        <f t="shared" si="1"/>
        <v/>
      </c>
    </row>
    <row r="58" spans="1:14" ht="15.6" x14ac:dyDescent="0.3">
      <c r="A58" s="33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6" t="str">
        <f t="shared" si="2"/>
        <v/>
      </c>
      <c r="E58" s="6" t="str">
        <f t="shared" si="2"/>
        <v/>
      </c>
      <c r="F58" s="33" t="str">
        <f t="shared" si="2"/>
        <v/>
      </c>
      <c r="G58" s="33" t="str">
        <f t="shared" si="2"/>
        <v/>
      </c>
      <c r="H58" s="33" t="str">
        <f t="shared" si="2"/>
        <v/>
      </c>
      <c r="I58" s="33" t="str">
        <f t="shared" si="2"/>
        <v/>
      </c>
      <c r="J58" s="33" t="str">
        <f t="shared" si="2"/>
        <v/>
      </c>
      <c r="K58" s="33" t="str">
        <f t="shared" si="2"/>
        <v/>
      </c>
      <c r="L58" s="33" t="str">
        <f t="shared" si="2"/>
        <v/>
      </c>
      <c r="M58" s="33" t="str">
        <f t="shared" si="2"/>
        <v/>
      </c>
      <c r="N58" s="19" t="str">
        <f t="shared" si="1"/>
        <v/>
      </c>
    </row>
    <row r="59" spans="1:14" ht="15.6" x14ac:dyDescent="0.3">
      <c r="A59" s="33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6" t="str">
        <f t="shared" si="2"/>
        <v/>
      </c>
      <c r="E59" s="6" t="str">
        <f t="shared" si="2"/>
        <v/>
      </c>
      <c r="F59" s="33" t="str">
        <f t="shared" si="2"/>
        <v/>
      </c>
      <c r="G59" s="33" t="str">
        <f t="shared" si="2"/>
        <v/>
      </c>
      <c r="H59" s="33" t="str">
        <f t="shared" si="2"/>
        <v/>
      </c>
      <c r="I59" s="33" t="str">
        <f t="shared" si="2"/>
        <v/>
      </c>
      <c r="J59" s="33" t="str">
        <f t="shared" si="2"/>
        <v/>
      </c>
      <c r="K59" s="33" t="str">
        <f t="shared" si="2"/>
        <v/>
      </c>
      <c r="L59" s="33" t="str">
        <f t="shared" si="2"/>
        <v/>
      </c>
      <c r="M59" s="33" t="str">
        <f t="shared" si="2"/>
        <v/>
      </c>
      <c r="N59" s="19" t="str">
        <f t="shared" si="1"/>
        <v/>
      </c>
    </row>
    <row r="60" spans="1:14" ht="15.6" x14ac:dyDescent="0.3">
      <c r="A60" s="33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6" t="str">
        <f t="shared" si="2"/>
        <v/>
      </c>
      <c r="E60" s="6" t="str">
        <f t="shared" si="2"/>
        <v/>
      </c>
      <c r="F60" s="33" t="str">
        <f t="shared" si="2"/>
        <v/>
      </c>
      <c r="G60" s="33" t="str">
        <f t="shared" si="2"/>
        <v/>
      </c>
      <c r="H60" s="33" t="str">
        <f t="shared" si="2"/>
        <v/>
      </c>
      <c r="I60" s="33" t="str">
        <f t="shared" si="2"/>
        <v/>
      </c>
      <c r="J60" s="33" t="str">
        <f t="shared" si="2"/>
        <v/>
      </c>
      <c r="K60" s="33" t="str">
        <f t="shared" si="2"/>
        <v/>
      </c>
      <c r="L60" s="33" t="str">
        <f t="shared" si="2"/>
        <v/>
      </c>
      <c r="M60" s="33" t="str">
        <f t="shared" si="2"/>
        <v/>
      </c>
      <c r="N60" s="19" t="str">
        <f t="shared" si="1"/>
        <v/>
      </c>
    </row>
    <row r="61" spans="1:14" ht="15.6" x14ac:dyDescent="0.3">
      <c r="A61" s="33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6" t="str">
        <f t="shared" si="2"/>
        <v/>
      </c>
      <c r="E61" s="6" t="str">
        <f t="shared" si="2"/>
        <v/>
      </c>
      <c r="F61" s="33" t="str">
        <f t="shared" si="2"/>
        <v/>
      </c>
      <c r="G61" s="33" t="str">
        <f t="shared" si="2"/>
        <v/>
      </c>
      <c r="H61" s="33" t="str">
        <f t="shared" si="2"/>
        <v/>
      </c>
      <c r="I61" s="33" t="str">
        <f t="shared" si="2"/>
        <v/>
      </c>
      <c r="J61" s="33" t="str">
        <f t="shared" si="2"/>
        <v/>
      </c>
      <c r="K61" s="33" t="str">
        <f t="shared" si="2"/>
        <v/>
      </c>
      <c r="L61" s="33" t="str">
        <f t="shared" si="2"/>
        <v/>
      </c>
      <c r="M61" s="33" t="str">
        <f t="shared" si="2"/>
        <v/>
      </c>
      <c r="N61" s="19" t="str">
        <f t="shared" si="1"/>
        <v/>
      </c>
    </row>
    <row r="62" spans="1:14" ht="15.6" x14ac:dyDescent="0.3">
      <c r="A62" s="33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6" t="str">
        <f t="shared" si="2"/>
        <v/>
      </c>
      <c r="E62" s="6" t="str">
        <f t="shared" si="2"/>
        <v/>
      </c>
      <c r="F62" s="33" t="str">
        <f t="shared" si="2"/>
        <v/>
      </c>
      <c r="G62" s="33" t="str">
        <f t="shared" si="2"/>
        <v/>
      </c>
      <c r="H62" s="33" t="str">
        <f t="shared" si="2"/>
        <v/>
      </c>
      <c r="I62" s="33" t="str">
        <f t="shared" si="2"/>
        <v/>
      </c>
      <c r="J62" s="33" t="str">
        <f t="shared" si="2"/>
        <v/>
      </c>
      <c r="K62" s="33" t="str">
        <f t="shared" si="2"/>
        <v/>
      </c>
      <c r="L62" s="33" t="str">
        <f t="shared" si="2"/>
        <v/>
      </c>
      <c r="M62" s="33" t="str">
        <f t="shared" si="2"/>
        <v/>
      </c>
      <c r="N62" s="19" t="str">
        <f t="shared" si="1"/>
        <v/>
      </c>
    </row>
    <row r="63" spans="1:14" ht="15.6" x14ac:dyDescent="0.3">
      <c r="A63" s="33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6" t="str">
        <f t="shared" si="2"/>
        <v/>
      </c>
      <c r="E63" s="6" t="str">
        <f t="shared" si="2"/>
        <v/>
      </c>
      <c r="F63" s="33" t="str">
        <f t="shared" si="2"/>
        <v/>
      </c>
      <c r="G63" s="33" t="str">
        <f t="shared" si="2"/>
        <v/>
      </c>
      <c r="H63" s="33" t="str">
        <f t="shared" si="2"/>
        <v/>
      </c>
      <c r="I63" s="33" t="str">
        <f t="shared" si="2"/>
        <v/>
      </c>
      <c r="J63" s="33" t="str">
        <f t="shared" si="2"/>
        <v/>
      </c>
      <c r="K63" s="33" t="str">
        <f t="shared" si="2"/>
        <v/>
      </c>
      <c r="L63" s="33" t="str">
        <f t="shared" si="2"/>
        <v/>
      </c>
      <c r="M63" s="33" t="str">
        <f t="shared" si="2"/>
        <v/>
      </c>
      <c r="N63" s="19" t="str">
        <f t="shared" si="1"/>
        <v/>
      </c>
    </row>
    <row r="64" spans="1:14" ht="15.6" x14ac:dyDescent="0.3">
      <c r="A64" s="33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6" t="str">
        <f t="shared" si="2"/>
        <v/>
      </c>
      <c r="E64" s="6" t="str">
        <f t="shared" si="2"/>
        <v/>
      </c>
      <c r="F64" s="33" t="str">
        <f t="shared" si="2"/>
        <v/>
      </c>
      <c r="G64" s="33" t="str">
        <f t="shared" si="2"/>
        <v/>
      </c>
      <c r="H64" s="33" t="str">
        <f t="shared" si="2"/>
        <v/>
      </c>
      <c r="I64" s="33" t="str">
        <f t="shared" si="2"/>
        <v/>
      </c>
      <c r="J64" s="33" t="str">
        <f t="shared" si="2"/>
        <v/>
      </c>
      <c r="K64" s="33" t="str">
        <f t="shared" si="2"/>
        <v/>
      </c>
      <c r="L64" s="33" t="str">
        <f t="shared" si="2"/>
        <v/>
      </c>
      <c r="M64" s="33" t="str">
        <f t="shared" si="2"/>
        <v/>
      </c>
      <c r="N64" s="19" t="str">
        <f t="shared" si="1"/>
        <v/>
      </c>
    </row>
    <row r="65" spans="1:14" ht="15.6" x14ac:dyDescent="0.3">
      <c r="A65" s="33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6" t="str">
        <f t="shared" si="2"/>
        <v/>
      </c>
      <c r="E65" s="6" t="str">
        <f t="shared" si="2"/>
        <v/>
      </c>
      <c r="F65" s="33" t="str">
        <f t="shared" si="2"/>
        <v/>
      </c>
      <c r="G65" s="33" t="str">
        <f t="shared" si="2"/>
        <v/>
      </c>
      <c r="H65" s="33" t="str">
        <f t="shared" si="2"/>
        <v/>
      </c>
      <c r="I65" s="33" t="str">
        <f t="shared" si="2"/>
        <v/>
      </c>
      <c r="J65" s="33" t="str">
        <f t="shared" si="2"/>
        <v/>
      </c>
      <c r="K65" s="33" t="str">
        <f t="shared" si="2"/>
        <v/>
      </c>
      <c r="L65" s="33" t="str">
        <f t="shared" si="2"/>
        <v/>
      </c>
      <c r="M65" s="33" t="str">
        <f t="shared" si="2"/>
        <v/>
      </c>
      <c r="N65" s="19" t="str">
        <f t="shared" si="1"/>
        <v/>
      </c>
    </row>
    <row r="66" spans="1:14" ht="15.6" x14ac:dyDescent="0.3">
      <c r="A66" s="33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6" t="str">
        <f t="shared" si="2"/>
        <v/>
      </c>
      <c r="E66" s="6" t="str">
        <f t="shared" si="2"/>
        <v/>
      </c>
      <c r="F66" s="33" t="str">
        <f t="shared" si="2"/>
        <v/>
      </c>
      <c r="G66" s="33" t="str">
        <f t="shared" si="2"/>
        <v/>
      </c>
      <c r="H66" s="33" t="str">
        <f t="shared" si="2"/>
        <v/>
      </c>
      <c r="I66" s="33" t="str">
        <f t="shared" si="2"/>
        <v/>
      </c>
      <c r="J66" s="33" t="str">
        <f t="shared" si="2"/>
        <v/>
      </c>
      <c r="K66" s="33" t="str">
        <f t="shared" si="2"/>
        <v/>
      </c>
      <c r="L66" s="33" t="str">
        <f t="shared" si="2"/>
        <v/>
      </c>
      <c r="M66" s="33" t="str">
        <f t="shared" si="2"/>
        <v/>
      </c>
      <c r="N66" s="19" t="str">
        <f t="shared" si="1"/>
        <v/>
      </c>
    </row>
    <row r="67" spans="1:14" ht="15.6" x14ac:dyDescent="0.3">
      <c r="A67" s="33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6" t="str">
        <f t="shared" si="2"/>
        <v/>
      </c>
      <c r="E67" s="6" t="str">
        <f t="shared" si="2"/>
        <v/>
      </c>
      <c r="F67" s="33" t="str">
        <f t="shared" si="2"/>
        <v/>
      </c>
      <c r="G67" s="33" t="str">
        <f t="shared" si="2"/>
        <v/>
      </c>
      <c r="H67" s="33" t="str">
        <f t="shared" si="2"/>
        <v/>
      </c>
      <c r="I67" s="33" t="str">
        <f t="shared" ref="I67:M98" si="3">IF($C67="","",0)</f>
        <v/>
      </c>
      <c r="J67" s="33" t="str">
        <f t="shared" si="3"/>
        <v/>
      </c>
      <c r="K67" s="33" t="str">
        <f t="shared" si="3"/>
        <v/>
      </c>
      <c r="L67" s="33" t="str">
        <f t="shared" si="3"/>
        <v/>
      </c>
      <c r="M67" s="33" t="str">
        <f t="shared" si="3"/>
        <v/>
      </c>
      <c r="N67" s="19" t="str">
        <f t="shared" si="1"/>
        <v/>
      </c>
    </row>
    <row r="68" spans="1:14" ht="15.6" x14ac:dyDescent="0.3">
      <c r="A68" s="33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6" t="str">
        <f t="shared" ref="D68:K99" si="4">IF($C68="","",0)</f>
        <v/>
      </c>
      <c r="E68" s="6" t="str">
        <f t="shared" si="4"/>
        <v/>
      </c>
      <c r="F68" s="33" t="str">
        <f t="shared" si="4"/>
        <v/>
      </c>
      <c r="G68" s="33" t="str">
        <f t="shared" si="4"/>
        <v/>
      </c>
      <c r="H68" s="33" t="str">
        <f t="shared" si="4"/>
        <v/>
      </c>
      <c r="I68" s="33" t="str">
        <f t="shared" si="4"/>
        <v/>
      </c>
      <c r="J68" s="33" t="str">
        <f t="shared" si="4"/>
        <v/>
      </c>
      <c r="K68" s="33" t="str">
        <f t="shared" si="4"/>
        <v/>
      </c>
      <c r="L68" s="33" t="str">
        <f t="shared" si="3"/>
        <v/>
      </c>
      <c r="M68" s="33" t="str">
        <f t="shared" si="3"/>
        <v/>
      </c>
      <c r="N68" s="19" t="str">
        <f t="shared" si="1"/>
        <v/>
      </c>
    </row>
    <row r="69" spans="1:14" ht="15.6" x14ac:dyDescent="0.3">
      <c r="A69" s="33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6" t="str">
        <f t="shared" si="4"/>
        <v/>
      </c>
      <c r="E69" s="6" t="str">
        <f t="shared" si="4"/>
        <v/>
      </c>
      <c r="F69" s="33" t="str">
        <f t="shared" si="4"/>
        <v/>
      </c>
      <c r="G69" s="33" t="str">
        <f t="shared" si="4"/>
        <v/>
      </c>
      <c r="H69" s="33" t="str">
        <f t="shared" si="4"/>
        <v/>
      </c>
      <c r="I69" s="33" t="str">
        <f t="shared" si="4"/>
        <v/>
      </c>
      <c r="J69" s="33" t="str">
        <f t="shared" si="4"/>
        <v/>
      </c>
      <c r="K69" s="33" t="str">
        <f t="shared" si="4"/>
        <v/>
      </c>
      <c r="L69" s="33" t="str">
        <f t="shared" si="3"/>
        <v/>
      </c>
      <c r="M69" s="33" t="str">
        <f t="shared" si="3"/>
        <v/>
      </c>
      <c r="N69" s="19" t="str">
        <f t="shared" si="1"/>
        <v/>
      </c>
    </row>
    <row r="70" spans="1:14" ht="15.6" x14ac:dyDescent="0.3">
      <c r="A70" s="33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6" t="str">
        <f t="shared" si="4"/>
        <v/>
      </c>
      <c r="E70" s="6" t="str">
        <f t="shared" si="4"/>
        <v/>
      </c>
      <c r="F70" s="33" t="str">
        <f t="shared" si="4"/>
        <v/>
      </c>
      <c r="G70" s="33" t="str">
        <f t="shared" si="4"/>
        <v/>
      </c>
      <c r="H70" s="33" t="str">
        <f t="shared" si="4"/>
        <v/>
      </c>
      <c r="I70" s="33" t="str">
        <f t="shared" si="4"/>
        <v/>
      </c>
      <c r="J70" s="33" t="str">
        <f t="shared" si="4"/>
        <v/>
      </c>
      <c r="K70" s="33" t="str">
        <f t="shared" si="4"/>
        <v/>
      </c>
      <c r="L70" s="33" t="str">
        <f t="shared" si="3"/>
        <v/>
      </c>
      <c r="M70" s="33" t="str">
        <f t="shared" si="3"/>
        <v/>
      </c>
      <c r="N70" s="19" t="str">
        <f t="shared" si="1"/>
        <v/>
      </c>
    </row>
    <row r="71" spans="1:14" ht="15.6" x14ac:dyDescent="0.3">
      <c r="A71" s="33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6" t="str">
        <f t="shared" si="4"/>
        <v/>
      </c>
      <c r="E71" s="6" t="str">
        <f t="shared" si="4"/>
        <v/>
      </c>
      <c r="F71" s="33" t="str">
        <f t="shared" si="4"/>
        <v/>
      </c>
      <c r="G71" s="33" t="str">
        <f t="shared" si="4"/>
        <v/>
      </c>
      <c r="H71" s="33" t="str">
        <f t="shared" si="4"/>
        <v/>
      </c>
      <c r="I71" s="33" t="str">
        <f t="shared" si="4"/>
        <v/>
      </c>
      <c r="J71" s="33" t="str">
        <f t="shared" si="4"/>
        <v/>
      </c>
      <c r="K71" s="33" t="str">
        <f t="shared" si="4"/>
        <v/>
      </c>
      <c r="L71" s="33" t="str">
        <f t="shared" si="3"/>
        <v/>
      </c>
      <c r="M71" s="33" t="str">
        <f t="shared" si="3"/>
        <v/>
      </c>
      <c r="N71" s="19" t="str">
        <f t="shared" si="1"/>
        <v/>
      </c>
    </row>
    <row r="72" spans="1:14" ht="15.6" x14ac:dyDescent="0.3">
      <c r="A72" s="33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6" t="str">
        <f t="shared" si="4"/>
        <v/>
      </c>
      <c r="E72" s="6" t="str">
        <f t="shared" si="4"/>
        <v/>
      </c>
      <c r="F72" s="33" t="str">
        <f t="shared" si="4"/>
        <v/>
      </c>
      <c r="G72" s="33" t="str">
        <f t="shared" si="4"/>
        <v/>
      </c>
      <c r="H72" s="33" t="str">
        <f t="shared" si="4"/>
        <v/>
      </c>
      <c r="I72" s="33" t="str">
        <f t="shared" si="4"/>
        <v/>
      </c>
      <c r="J72" s="33" t="str">
        <f t="shared" si="4"/>
        <v/>
      </c>
      <c r="K72" s="33" t="str">
        <f t="shared" si="4"/>
        <v/>
      </c>
      <c r="L72" s="33" t="str">
        <f t="shared" si="3"/>
        <v/>
      </c>
      <c r="M72" s="33" t="str">
        <f t="shared" si="3"/>
        <v/>
      </c>
      <c r="N72" s="19" t="str">
        <f t="shared" si="1"/>
        <v/>
      </c>
    </row>
    <row r="73" spans="1:14" ht="15.6" x14ac:dyDescent="0.3">
      <c r="A73" s="33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6" t="str">
        <f t="shared" si="4"/>
        <v/>
      </c>
      <c r="E73" s="6" t="str">
        <f t="shared" si="4"/>
        <v/>
      </c>
      <c r="F73" s="33" t="str">
        <f t="shared" si="4"/>
        <v/>
      </c>
      <c r="G73" s="33" t="str">
        <f t="shared" si="4"/>
        <v/>
      </c>
      <c r="H73" s="33" t="str">
        <f t="shared" si="4"/>
        <v/>
      </c>
      <c r="I73" s="33" t="str">
        <f t="shared" si="4"/>
        <v/>
      </c>
      <c r="J73" s="33" t="str">
        <f t="shared" si="4"/>
        <v/>
      </c>
      <c r="K73" s="33" t="str">
        <f t="shared" si="4"/>
        <v/>
      </c>
      <c r="L73" s="33" t="str">
        <f t="shared" si="3"/>
        <v/>
      </c>
      <c r="M73" s="33" t="str">
        <f t="shared" si="3"/>
        <v/>
      </c>
      <c r="N73" s="19" t="str">
        <f t="shared" si="1"/>
        <v/>
      </c>
    </row>
    <row r="74" spans="1:14" ht="15.6" x14ac:dyDescent="0.3">
      <c r="A74" s="33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6" t="str">
        <f t="shared" si="4"/>
        <v/>
      </c>
      <c r="E74" s="6" t="str">
        <f t="shared" si="4"/>
        <v/>
      </c>
      <c r="F74" s="33" t="str">
        <f t="shared" si="4"/>
        <v/>
      </c>
      <c r="G74" s="33" t="str">
        <f t="shared" si="4"/>
        <v/>
      </c>
      <c r="H74" s="33" t="str">
        <f t="shared" si="4"/>
        <v/>
      </c>
      <c r="I74" s="33" t="str">
        <f t="shared" si="4"/>
        <v/>
      </c>
      <c r="J74" s="33" t="str">
        <f t="shared" si="4"/>
        <v/>
      </c>
      <c r="K74" s="33" t="str">
        <f t="shared" si="4"/>
        <v/>
      </c>
      <c r="L74" s="33" t="str">
        <f t="shared" si="3"/>
        <v/>
      </c>
      <c r="M74" s="33" t="str">
        <f t="shared" si="3"/>
        <v/>
      </c>
      <c r="N74" s="19" t="str">
        <f t="shared" si="1"/>
        <v/>
      </c>
    </row>
    <row r="75" spans="1:14" ht="15.6" x14ac:dyDescent="0.3">
      <c r="A75" s="33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6" t="str">
        <f t="shared" si="4"/>
        <v/>
      </c>
      <c r="E75" s="6" t="str">
        <f t="shared" si="4"/>
        <v/>
      </c>
      <c r="F75" s="33" t="str">
        <f t="shared" si="4"/>
        <v/>
      </c>
      <c r="G75" s="33" t="str">
        <f t="shared" si="4"/>
        <v/>
      </c>
      <c r="H75" s="33" t="str">
        <f t="shared" si="4"/>
        <v/>
      </c>
      <c r="I75" s="33" t="str">
        <f t="shared" si="4"/>
        <v/>
      </c>
      <c r="J75" s="33" t="str">
        <f t="shared" si="4"/>
        <v/>
      </c>
      <c r="K75" s="33" t="str">
        <f t="shared" si="4"/>
        <v/>
      </c>
      <c r="L75" s="33" t="str">
        <f t="shared" si="3"/>
        <v/>
      </c>
      <c r="M75" s="33" t="str">
        <f t="shared" si="3"/>
        <v/>
      </c>
      <c r="N75" s="19" t="str">
        <f t="shared" si="1"/>
        <v/>
      </c>
    </row>
    <row r="76" spans="1:14" ht="15.6" x14ac:dyDescent="0.3">
      <c r="A76" s="33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6" t="str">
        <f t="shared" si="4"/>
        <v/>
      </c>
      <c r="E76" s="6" t="str">
        <f t="shared" si="4"/>
        <v/>
      </c>
      <c r="F76" s="33" t="str">
        <f t="shared" si="4"/>
        <v/>
      </c>
      <c r="G76" s="33" t="str">
        <f t="shared" si="4"/>
        <v/>
      </c>
      <c r="H76" s="33" t="str">
        <f t="shared" si="4"/>
        <v/>
      </c>
      <c r="I76" s="33" t="str">
        <f t="shared" si="4"/>
        <v/>
      </c>
      <c r="J76" s="33" t="str">
        <f t="shared" si="4"/>
        <v/>
      </c>
      <c r="K76" s="33" t="str">
        <f t="shared" si="4"/>
        <v/>
      </c>
      <c r="L76" s="33" t="str">
        <f t="shared" si="3"/>
        <v/>
      </c>
      <c r="M76" s="33" t="str">
        <f t="shared" si="3"/>
        <v/>
      </c>
      <c r="N76" s="19" t="str">
        <f t="shared" si="1"/>
        <v/>
      </c>
    </row>
    <row r="77" spans="1:14" ht="15.6" x14ac:dyDescent="0.3">
      <c r="A77" s="33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6" t="str">
        <f t="shared" si="4"/>
        <v/>
      </c>
      <c r="E77" s="6" t="str">
        <f t="shared" si="4"/>
        <v/>
      </c>
      <c r="F77" s="33" t="str">
        <f t="shared" si="4"/>
        <v/>
      </c>
      <c r="G77" s="33" t="str">
        <f t="shared" si="4"/>
        <v/>
      </c>
      <c r="H77" s="33" t="str">
        <f t="shared" si="4"/>
        <v/>
      </c>
      <c r="I77" s="33" t="str">
        <f t="shared" si="4"/>
        <v/>
      </c>
      <c r="J77" s="33" t="str">
        <f t="shared" si="4"/>
        <v/>
      </c>
      <c r="K77" s="33" t="str">
        <f t="shared" si="4"/>
        <v/>
      </c>
      <c r="L77" s="33" t="str">
        <f t="shared" si="3"/>
        <v/>
      </c>
      <c r="M77" s="33" t="str">
        <f t="shared" si="3"/>
        <v/>
      </c>
      <c r="N77" s="19" t="str">
        <f t="shared" si="1"/>
        <v/>
      </c>
    </row>
    <row r="78" spans="1:14" ht="15.6" x14ac:dyDescent="0.3">
      <c r="A78" s="33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6" t="str">
        <f t="shared" si="4"/>
        <v/>
      </c>
      <c r="E78" s="6" t="str">
        <f t="shared" si="4"/>
        <v/>
      </c>
      <c r="F78" s="33" t="str">
        <f t="shared" si="4"/>
        <v/>
      </c>
      <c r="G78" s="33" t="str">
        <f t="shared" si="4"/>
        <v/>
      </c>
      <c r="H78" s="33" t="str">
        <f t="shared" si="4"/>
        <v/>
      </c>
      <c r="I78" s="33" t="str">
        <f t="shared" si="4"/>
        <v/>
      </c>
      <c r="J78" s="33" t="str">
        <f t="shared" si="4"/>
        <v/>
      </c>
      <c r="K78" s="33" t="str">
        <f t="shared" si="4"/>
        <v/>
      </c>
      <c r="L78" s="33" t="str">
        <f t="shared" si="3"/>
        <v/>
      </c>
      <c r="M78" s="33" t="str">
        <f t="shared" si="3"/>
        <v/>
      </c>
      <c r="N78" s="19" t="str">
        <f t="shared" si="1"/>
        <v/>
      </c>
    </row>
    <row r="79" spans="1:14" ht="15.6" x14ac:dyDescent="0.3">
      <c r="A79" s="33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6" t="str">
        <f t="shared" si="4"/>
        <v/>
      </c>
      <c r="E79" s="6" t="str">
        <f t="shared" si="4"/>
        <v/>
      </c>
      <c r="F79" s="33" t="str">
        <f t="shared" si="4"/>
        <v/>
      </c>
      <c r="G79" s="33" t="str">
        <f t="shared" si="4"/>
        <v/>
      </c>
      <c r="H79" s="33" t="str">
        <f t="shared" si="4"/>
        <v/>
      </c>
      <c r="I79" s="33" t="str">
        <f t="shared" si="4"/>
        <v/>
      </c>
      <c r="J79" s="33" t="str">
        <f t="shared" si="4"/>
        <v/>
      </c>
      <c r="K79" s="33" t="str">
        <f t="shared" si="4"/>
        <v/>
      </c>
      <c r="L79" s="33" t="str">
        <f t="shared" si="3"/>
        <v/>
      </c>
      <c r="M79" s="33" t="str">
        <f t="shared" si="3"/>
        <v/>
      </c>
      <c r="N79" s="19" t="str">
        <f t="shared" si="1"/>
        <v/>
      </c>
    </row>
    <row r="80" spans="1:14" ht="15.6" x14ac:dyDescent="0.3">
      <c r="A80" s="33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6" t="str">
        <f t="shared" si="4"/>
        <v/>
      </c>
      <c r="E80" s="6" t="str">
        <f t="shared" si="4"/>
        <v/>
      </c>
      <c r="F80" s="33" t="str">
        <f t="shared" si="4"/>
        <v/>
      </c>
      <c r="G80" s="33" t="str">
        <f t="shared" si="4"/>
        <v/>
      </c>
      <c r="H80" s="33" t="str">
        <f t="shared" si="4"/>
        <v/>
      </c>
      <c r="I80" s="33" t="str">
        <f t="shared" si="4"/>
        <v/>
      </c>
      <c r="J80" s="33" t="str">
        <f t="shared" si="4"/>
        <v/>
      </c>
      <c r="K80" s="33" t="str">
        <f t="shared" si="4"/>
        <v/>
      </c>
      <c r="L80" s="33" t="str">
        <f t="shared" si="3"/>
        <v/>
      </c>
      <c r="M80" s="33" t="str">
        <f t="shared" si="3"/>
        <v/>
      </c>
      <c r="N80" s="19" t="str">
        <f t="shared" si="1"/>
        <v/>
      </c>
    </row>
    <row r="81" spans="1:14" ht="15.6" x14ac:dyDescent="0.3">
      <c r="A81" s="33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6" t="str">
        <f t="shared" si="4"/>
        <v/>
      </c>
      <c r="E81" s="6" t="str">
        <f t="shared" si="4"/>
        <v/>
      </c>
      <c r="F81" s="33" t="str">
        <f t="shared" si="4"/>
        <v/>
      </c>
      <c r="G81" s="33" t="str">
        <f t="shared" si="4"/>
        <v/>
      </c>
      <c r="H81" s="33" t="str">
        <f t="shared" si="4"/>
        <v/>
      </c>
      <c r="I81" s="33" t="str">
        <f t="shared" si="4"/>
        <v/>
      </c>
      <c r="J81" s="33" t="str">
        <f t="shared" si="4"/>
        <v/>
      </c>
      <c r="K81" s="33" t="str">
        <f t="shared" si="4"/>
        <v/>
      </c>
      <c r="L81" s="33" t="str">
        <f t="shared" si="3"/>
        <v/>
      </c>
      <c r="M81" s="33" t="str">
        <f t="shared" si="3"/>
        <v/>
      </c>
      <c r="N81" s="19" t="str">
        <f t="shared" si="1"/>
        <v/>
      </c>
    </row>
    <row r="82" spans="1:14" ht="15.6" x14ac:dyDescent="0.3">
      <c r="A82" s="33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6" t="str">
        <f t="shared" si="4"/>
        <v/>
      </c>
      <c r="E82" s="6" t="str">
        <f t="shared" si="4"/>
        <v/>
      </c>
      <c r="F82" s="33" t="str">
        <f t="shared" si="4"/>
        <v/>
      </c>
      <c r="G82" s="33" t="str">
        <f t="shared" si="4"/>
        <v/>
      </c>
      <c r="H82" s="33" t="str">
        <f t="shared" si="4"/>
        <v/>
      </c>
      <c r="I82" s="33" t="str">
        <f t="shared" si="4"/>
        <v/>
      </c>
      <c r="J82" s="33" t="str">
        <f t="shared" si="4"/>
        <v/>
      </c>
      <c r="K82" s="33" t="str">
        <f t="shared" si="4"/>
        <v/>
      </c>
      <c r="L82" s="33" t="str">
        <f t="shared" si="3"/>
        <v/>
      </c>
      <c r="M82" s="33" t="str">
        <f t="shared" si="3"/>
        <v/>
      </c>
      <c r="N82" s="19" t="str">
        <f t="shared" si="1"/>
        <v/>
      </c>
    </row>
    <row r="83" spans="1:14" ht="15.6" x14ac:dyDescent="0.3">
      <c r="A83" s="33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6" t="str">
        <f t="shared" si="4"/>
        <v/>
      </c>
      <c r="E83" s="6" t="str">
        <f t="shared" si="4"/>
        <v/>
      </c>
      <c r="F83" s="33" t="str">
        <f t="shared" si="4"/>
        <v/>
      </c>
      <c r="G83" s="33" t="str">
        <f t="shared" si="4"/>
        <v/>
      </c>
      <c r="H83" s="33" t="str">
        <f t="shared" si="4"/>
        <v/>
      </c>
      <c r="I83" s="33" t="str">
        <f t="shared" si="4"/>
        <v/>
      </c>
      <c r="J83" s="33" t="str">
        <f t="shared" si="4"/>
        <v/>
      </c>
      <c r="K83" s="33" t="str">
        <f t="shared" si="4"/>
        <v/>
      </c>
      <c r="L83" s="33" t="str">
        <f t="shared" si="3"/>
        <v/>
      </c>
      <c r="M83" s="33" t="str">
        <f t="shared" si="3"/>
        <v/>
      </c>
      <c r="N83" s="19" t="str">
        <f t="shared" si="1"/>
        <v/>
      </c>
    </row>
    <row r="84" spans="1:14" ht="15.6" x14ac:dyDescent="0.3">
      <c r="A84" s="33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6" t="str">
        <f t="shared" si="4"/>
        <v/>
      </c>
      <c r="E84" s="6" t="str">
        <f t="shared" si="4"/>
        <v/>
      </c>
      <c r="F84" s="33" t="str">
        <f t="shared" si="4"/>
        <v/>
      </c>
      <c r="G84" s="33" t="str">
        <f t="shared" si="4"/>
        <v/>
      </c>
      <c r="H84" s="33" t="str">
        <f t="shared" si="4"/>
        <v/>
      </c>
      <c r="I84" s="33" t="str">
        <f t="shared" si="4"/>
        <v/>
      </c>
      <c r="J84" s="33" t="str">
        <f t="shared" si="4"/>
        <v/>
      </c>
      <c r="K84" s="33" t="str">
        <f t="shared" si="4"/>
        <v/>
      </c>
      <c r="L84" s="33" t="str">
        <f t="shared" si="3"/>
        <v/>
      </c>
      <c r="M84" s="33" t="str">
        <f t="shared" si="3"/>
        <v/>
      </c>
      <c r="N84" s="19" t="str">
        <f t="shared" si="1"/>
        <v/>
      </c>
    </row>
    <row r="85" spans="1:14" ht="15.6" x14ac:dyDescent="0.3">
      <c r="A85" s="33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6" t="str">
        <f t="shared" si="4"/>
        <v/>
      </c>
      <c r="E85" s="6" t="str">
        <f t="shared" si="4"/>
        <v/>
      </c>
      <c r="F85" s="33" t="str">
        <f t="shared" si="4"/>
        <v/>
      </c>
      <c r="G85" s="33" t="str">
        <f t="shared" si="4"/>
        <v/>
      </c>
      <c r="H85" s="33" t="str">
        <f t="shared" si="4"/>
        <v/>
      </c>
      <c r="I85" s="33" t="str">
        <f t="shared" si="4"/>
        <v/>
      </c>
      <c r="J85" s="33" t="str">
        <f t="shared" si="4"/>
        <v/>
      </c>
      <c r="K85" s="33" t="str">
        <f t="shared" si="4"/>
        <v/>
      </c>
      <c r="L85" s="33" t="str">
        <f t="shared" si="3"/>
        <v/>
      </c>
      <c r="M85" s="33" t="str">
        <f t="shared" si="3"/>
        <v/>
      </c>
      <c r="N85" s="19" t="str">
        <f t="shared" si="1"/>
        <v/>
      </c>
    </row>
    <row r="86" spans="1:14" ht="15.6" x14ac:dyDescent="0.3">
      <c r="A86" s="33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6" t="str">
        <f t="shared" si="4"/>
        <v/>
      </c>
      <c r="E86" s="6" t="str">
        <f t="shared" si="4"/>
        <v/>
      </c>
      <c r="F86" s="33" t="str">
        <f t="shared" si="4"/>
        <v/>
      </c>
      <c r="G86" s="33" t="str">
        <f t="shared" si="4"/>
        <v/>
      </c>
      <c r="H86" s="33" t="str">
        <f t="shared" si="4"/>
        <v/>
      </c>
      <c r="I86" s="33" t="str">
        <f t="shared" si="4"/>
        <v/>
      </c>
      <c r="J86" s="33" t="str">
        <f t="shared" si="4"/>
        <v/>
      </c>
      <c r="K86" s="33" t="str">
        <f t="shared" si="4"/>
        <v/>
      </c>
      <c r="L86" s="33" t="str">
        <f t="shared" si="3"/>
        <v/>
      </c>
      <c r="M86" s="33" t="str">
        <f t="shared" si="3"/>
        <v/>
      </c>
      <c r="N86" s="19" t="str">
        <f t="shared" si="1"/>
        <v/>
      </c>
    </row>
    <row r="87" spans="1:14" ht="15.6" x14ac:dyDescent="0.3">
      <c r="A87" s="33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6" t="str">
        <f t="shared" si="4"/>
        <v/>
      </c>
      <c r="E87" s="6" t="str">
        <f t="shared" si="4"/>
        <v/>
      </c>
      <c r="F87" s="33" t="str">
        <f t="shared" si="4"/>
        <v/>
      </c>
      <c r="G87" s="33" t="str">
        <f t="shared" si="4"/>
        <v/>
      </c>
      <c r="H87" s="33" t="str">
        <f t="shared" si="4"/>
        <v/>
      </c>
      <c r="I87" s="33" t="str">
        <f t="shared" si="4"/>
        <v/>
      </c>
      <c r="J87" s="33" t="str">
        <f t="shared" si="4"/>
        <v/>
      </c>
      <c r="K87" s="33" t="str">
        <f t="shared" si="4"/>
        <v/>
      </c>
      <c r="L87" s="33" t="str">
        <f t="shared" si="3"/>
        <v/>
      </c>
      <c r="M87" s="33" t="str">
        <f t="shared" si="3"/>
        <v/>
      </c>
      <c r="N87" s="19" t="str">
        <f t="shared" si="1"/>
        <v/>
      </c>
    </row>
    <row r="88" spans="1:14" ht="15.6" x14ac:dyDescent="0.3">
      <c r="A88" s="33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6" t="str">
        <f t="shared" si="4"/>
        <v/>
      </c>
      <c r="E88" s="6" t="str">
        <f t="shared" si="4"/>
        <v/>
      </c>
      <c r="F88" s="33" t="str">
        <f t="shared" si="4"/>
        <v/>
      </c>
      <c r="G88" s="33" t="str">
        <f t="shared" si="4"/>
        <v/>
      </c>
      <c r="H88" s="33" t="str">
        <f t="shared" si="4"/>
        <v/>
      </c>
      <c r="I88" s="33" t="str">
        <f t="shared" si="4"/>
        <v/>
      </c>
      <c r="J88" s="33" t="str">
        <f t="shared" si="4"/>
        <v/>
      </c>
      <c r="K88" s="33" t="str">
        <f t="shared" si="4"/>
        <v/>
      </c>
      <c r="L88" s="33" t="str">
        <f t="shared" si="3"/>
        <v/>
      </c>
      <c r="M88" s="33" t="str">
        <f t="shared" si="3"/>
        <v/>
      </c>
      <c r="N88" s="19" t="str">
        <f t="shared" si="1"/>
        <v/>
      </c>
    </row>
    <row r="89" spans="1:14" ht="15.6" x14ac:dyDescent="0.3">
      <c r="A89" s="33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6" t="str">
        <f t="shared" si="4"/>
        <v/>
      </c>
      <c r="E89" s="6" t="str">
        <f t="shared" si="4"/>
        <v/>
      </c>
      <c r="F89" s="33" t="str">
        <f t="shared" si="4"/>
        <v/>
      </c>
      <c r="G89" s="33" t="str">
        <f t="shared" si="4"/>
        <v/>
      </c>
      <c r="H89" s="33" t="str">
        <f t="shared" si="4"/>
        <v/>
      </c>
      <c r="I89" s="33" t="str">
        <f t="shared" si="4"/>
        <v/>
      </c>
      <c r="J89" s="33" t="str">
        <f t="shared" si="4"/>
        <v/>
      </c>
      <c r="K89" s="33" t="str">
        <f t="shared" si="4"/>
        <v/>
      </c>
      <c r="L89" s="33" t="str">
        <f t="shared" si="3"/>
        <v/>
      </c>
      <c r="M89" s="33" t="str">
        <f t="shared" si="3"/>
        <v/>
      </c>
      <c r="N89" s="19" t="str">
        <f t="shared" si="1"/>
        <v/>
      </c>
    </row>
    <row r="90" spans="1:14" ht="15.6" x14ac:dyDescent="0.3">
      <c r="A90" s="33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6" t="str">
        <f t="shared" si="4"/>
        <v/>
      </c>
      <c r="E90" s="6" t="str">
        <f t="shared" si="4"/>
        <v/>
      </c>
      <c r="F90" s="33" t="str">
        <f t="shared" si="4"/>
        <v/>
      </c>
      <c r="G90" s="33" t="str">
        <f t="shared" si="4"/>
        <v/>
      </c>
      <c r="H90" s="33" t="str">
        <f t="shared" si="4"/>
        <v/>
      </c>
      <c r="I90" s="33" t="str">
        <f t="shared" si="4"/>
        <v/>
      </c>
      <c r="J90" s="33" t="str">
        <f t="shared" si="4"/>
        <v/>
      </c>
      <c r="K90" s="33" t="str">
        <f t="shared" si="4"/>
        <v/>
      </c>
      <c r="L90" s="33" t="str">
        <f t="shared" si="3"/>
        <v/>
      </c>
      <c r="M90" s="33" t="str">
        <f t="shared" si="3"/>
        <v/>
      </c>
      <c r="N90" s="19" t="str">
        <f t="shared" si="1"/>
        <v/>
      </c>
    </row>
    <row r="91" spans="1:14" ht="15.6" x14ac:dyDescent="0.3">
      <c r="A91" s="33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6" t="str">
        <f t="shared" si="4"/>
        <v/>
      </c>
      <c r="E91" s="6" t="str">
        <f t="shared" si="4"/>
        <v/>
      </c>
      <c r="F91" s="33" t="str">
        <f t="shared" si="4"/>
        <v/>
      </c>
      <c r="G91" s="33" t="str">
        <f t="shared" si="4"/>
        <v/>
      </c>
      <c r="H91" s="33" t="str">
        <f t="shared" si="4"/>
        <v/>
      </c>
      <c r="I91" s="33" t="str">
        <f t="shared" si="4"/>
        <v/>
      </c>
      <c r="J91" s="33" t="str">
        <f t="shared" si="4"/>
        <v/>
      </c>
      <c r="K91" s="33" t="str">
        <f t="shared" si="4"/>
        <v/>
      </c>
      <c r="L91" s="33" t="str">
        <f t="shared" si="3"/>
        <v/>
      </c>
      <c r="M91" s="33" t="str">
        <f t="shared" si="3"/>
        <v/>
      </c>
      <c r="N91" s="19" t="str">
        <f t="shared" ref="N91:N123" si="5">IF(C91="","",SUM(D91:M91))</f>
        <v/>
      </c>
    </row>
    <row r="92" spans="1:14" ht="15.6" x14ac:dyDescent="0.3">
      <c r="A92" s="33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6" t="str">
        <f t="shared" si="4"/>
        <v/>
      </c>
      <c r="E92" s="6" t="str">
        <f t="shared" si="4"/>
        <v/>
      </c>
      <c r="F92" s="33" t="str">
        <f t="shared" si="4"/>
        <v/>
      </c>
      <c r="G92" s="33" t="str">
        <f t="shared" si="4"/>
        <v/>
      </c>
      <c r="H92" s="33" t="str">
        <f t="shared" si="4"/>
        <v/>
      </c>
      <c r="I92" s="33" t="str">
        <f t="shared" si="4"/>
        <v/>
      </c>
      <c r="J92" s="33" t="str">
        <f t="shared" si="4"/>
        <v/>
      </c>
      <c r="K92" s="33" t="str">
        <f t="shared" si="4"/>
        <v/>
      </c>
      <c r="L92" s="33" t="str">
        <f t="shared" si="3"/>
        <v/>
      </c>
      <c r="M92" s="33" t="str">
        <f t="shared" si="3"/>
        <v/>
      </c>
      <c r="N92" s="19" t="str">
        <f t="shared" si="5"/>
        <v/>
      </c>
    </row>
    <row r="93" spans="1:14" ht="15.6" x14ac:dyDescent="0.3">
      <c r="A93" s="33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6" t="str">
        <f t="shared" si="4"/>
        <v/>
      </c>
      <c r="E93" s="6" t="str">
        <f t="shared" si="4"/>
        <v/>
      </c>
      <c r="F93" s="33" t="str">
        <f t="shared" si="4"/>
        <v/>
      </c>
      <c r="G93" s="33" t="str">
        <f t="shared" si="4"/>
        <v/>
      </c>
      <c r="H93" s="33" t="str">
        <f t="shared" si="4"/>
        <v/>
      </c>
      <c r="I93" s="33" t="str">
        <f t="shared" si="4"/>
        <v/>
      </c>
      <c r="J93" s="33" t="str">
        <f t="shared" si="4"/>
        <v/>
      </c>
      <c r="K93" s="33" t="str">
        <f t="shared" si="4"/>
        <v/>
      </c>
      <c r="L93" s="33" t="str">
        <f t="shared" si="3"/>
        <v/>
      </c>
      <c r="M93" s="33" t="str">
        <f t="shared" si="3"/>
        <v/>
      </c>
      <c r="N93" s="19" t="str">
        <f t="shared" si="5"/>
        <v/>
      </c>
    </row>
    <row r="94" spans="1:14" ht="15.6" x14ac:dyDescent="0.3">
      <c r="A94" s="33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6" t="str">
        <f t="shared" si="4"/>
        <v/>
      </c>
      <c r="E94" s="6" t="str">
        <f t="shared" si="4"/>
        <v/>
      </c>
      <c r="F94" s="33" t="str">
        <f t="shared" si="4"/>
        <v/>
      </c>
      <c r="G94" s="33" t="str">
        <f t="shared" si="4"/>
        <v/>
      </c>
      <c r="H94" s="33" t="str">
        <f t="shared" si="4"/>
        <v/>
      </c>
      <c r="I94" s="33" t="str">
        <f t="shared" si="4"/>
        <v/>
      </c>
      <c r="J94" s="33" t="str">
        <f t="shared" si="4"/>
        <v/>
      </c>
      <c r="K94" s="33" t="str">
        <f t="shared" si="4"/>
        <v/>
      </c>
      <c r="L94" s="33" t="str">
        <f t="shared" si="3"/>
        <v/>
      </c>
      <c r="M94" s="33" t="str">
        <f t="shared" si="3"/>
        <v/>
      </c>
      <c r="N94" s="19" t="str">
        <f t="shared" si="5"/>
        <v/>
      </c>
    </row>
    <row r="95" spans="1:14" ht="15.6" x14ac:dyDescent="0.3">
      <c r="A95" s="33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6" t="str">
        <f t="shared" si="4"/>
        <v/>
      </c>
      <c r="E95" s="6" t="str">
        <f t="shared" si="4"/>
        <v/>
      </c>
      <c r="F95" s="33" t="str">
        <f t="shared" si="4"/>
        <v/>
      </c>
      <c r="G95" s="33" t="str">
        <f t="shared" si="4"/>
        <v/>
      </c>
      <c r="H95" s="33" t="str">
        <f t="shared" si="4"/>
        <v/>
      </c>
      <c r="I95" s="33" t="str">
        <f t="shared" si="4"/>
        <v/>
      </c>
      <c r="J95" s="33" t="str">
        <f t="shared" si="4"/>
        <v/>
      </c>
      <c r="K95" s="33" t="str">
        <f t="shared" si="4"/>
        <v/>
      </c>
      <c r="L95" s="33" t="str">
        <f t="shared" si="3"/>
        <v/>
      </c>
      <c r="M95" s="33" t="str">
        <f t="shared" si="3"/>
        <v/>
      </c>
      <c r="N95" s="19" t="str">
        <f t="shared" si="5"/>
        <v/>
      </c>
    </row>
    <row r="96" spans="1:14" ht="15.6" x14ac:dyDescent="0.3">
      <c r="A96" s="33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6" t="str">
        <f t="shared" si="4"/>
        <v/>
      </c>
      <c r="E96" s="6" t="str">
        <f t="shared" si="4"/>
        <v/>
      </c>
      <c r="F96" s="33" t="str">
        <f t="shared" si="4"/>
        <v/>
      </c>
      <c r="G96" s="33" t="str">
        <f t="shared" si="4"/>
        <v/>
      </c>
      <c r="H96" s="33" t="str">
        <f t="shared" si="4"/>
        <v/>
      </c>
      <c r="I96" s="33" t="str">
        <f t="shared" si="4"/>
        <v/>
      </c>
      <c r="J96" s="33" t="str">
        <f t="shared" si="4"/>
        <v/>
      </c>
      <c r="K96" s="33" t="str">
        <f t="shared" si="4"/>
        <v/>
      </c>
      <c r="L96" s="33" t="str">
        <f t="shared" si="3"/>
        <v/>
      </c>
      <c r="M96" s="33" t="str">
        <f t="shared" si="3"/>
        <v/>
      </c>
      <c r="N96" s="19" t="str">
        <f t="shared" si="5"/>
        <v/>
      </c>
    </row>
    <row r="97" spans="1:14" ht="15.6" x14ac:dyDescent="0.3">
      <c r="A97" s="33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6" t="str">
        <f t="shared" si="4"/>
        <v/>
      </c>
      <c r="E97" s="6" t="str">
        <f t="shared" si="4"/>
        <v/>
      </c>
      <c r="F97" s="33" t="str">
        <f t="shared" si="4"/>
        <v/>
      </c>
      <c r="G97" s="33" t="str">
        <f t="shared" si="4"/>
        <v/>
      </c>
      <c r="H97" s="33" t="str">
        <f t="shared" si="4"/>
        <v/>
      </c>
      <c r="I97" s="33" t="str">
        <f t="shared" si="4"/>
        <v/>
      </c>
      <c r="J97" s="33" t="str">
        <f t="shared" si="4"/>
        <v/>
      </c>
      <c r="K97" s="33" t="str">
        <f t="shared" si="4"/>
        <v/>
      </c>
      <c r="L97" s="33" t="str">
        <f t="shared" si="3"/>
        <v/>
      </c>
      <c r="M97" s="33" t="str">
        <f t="shared" si="3"/>
        <v/>
      </c>
      <c r="N97" s="19" t="str">
        <f t="shared" si="5"/>
        <v/>
      </c>
    </row>
    <row r="98" spans="1:14" ht="15.6" x14ac:dyDescent="0.3">
      <c r="A98" s="33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6" t="str">
        <f t="shared" si="4"/>
        <v/>
      </c>
      <c r="E98" s="6" t="str">
        <f t="shared" si="4"/>
        <v/>
      </c>
      <c r="F98" s="33" t="str">
        <f t="shared" si="4"/>
        <v/>
      </c>
      <c r="G98" s="33" t="str">
        <f t="shared" si="4"/>
        <v/>
      </c>
      <c r="H98" s="33" t="str">
        <f t="shared" si="4"/>
        <v/>
      </c>
      <c r="I98" s="33" t="str">
        <f t="shared" si="4"/>
        <v/>
      </c>
      <c r="J98" s="33" t="str">
        <f t="shared" si="4"/>
        <v/>
      </c>
      <c r="K98" s="33" t="str">
        <f t="shared" si="4"/>
        <v/>
      </c>
      <c r="L98" s="33" t="str">
        <f t="shared" si="3"/>
        <v/>
      </c>
      <c r="M98" s="33" t="str">
        <f t="shared" si="3"/>
        <v/>
      </c>
      <c r="N98" s="19" t="str">
        <f t="shared" si="5"/>
        <v/>
      </c>
    </row>
    <row r="99" spans="1:14" ht="15.6" x14ac:dyDescent="0.3">
      <c r="A99" s="33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6" t="str">
        <f t="shared" si="4"/>
        <v/>
      </c>
      <c r="E99" s="6" t="str">
        <f t="shared" si="4"/>
        <v/>
      </c>
      <c r="F99" s="33" t="str">
        <f t="shared" si="4"/>
        <v/>
      </c>
      <c r="G99" s="33" t="str">
        <f t="shared" si="4"/>
        <v/>
      </c>
      <c r="H99" s="33" t="str">
        <f t="shared" si="4"/>
        <v/>
      </c>
      <c r="I99" s="33" t="str">
        <f t="shared" si="4"/>
        <v/>
      </c>
      <c r="J99" s="33" t="str">
        <f t="shared" si="4"/>
        <v/>
      </c>
      <c r="K99" s="33" t="str">
        <f t="shared" ref="K99:M115" si="6">IF($C99="","",0)</f>
        <v/>
      </c>
      <c r="L99" s="33" t="str">
        <f t="shared" si="6"/>
        <v/>
      </c>
      <c r="M99" s="33" t="str">
        <f t="shared" si="6"/>
        <v/>
      </c>
      <c r="N99" s="19" t="str">
        <f t="shared" si="5"/>
        <v/>
      </c>
    </row>
    <row r="100" spans="1:14" ht="15.6" x14ac:dyDescent="0.3">
      <c r="A100" s="33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6" t="str">
        <f t="shared" ref="D100:M123" si="7">IF($C100="","",0)</f>
        <v/>
      </c>
      <c r="E100" s="6" t="str">
        <f t="shared" si="7"/>
        <v/>
      </c>
      <c r="F100" s="33" t="str">
        <f t="shared" si="7"/>
        <v/>
      </c>
      <c r="G100" s="33" t="str">
        <f t="shared" si="7"/>
        <v/>
      </c>
      <c r="H100" s="33" t="str">
        <f t="shared" si="7"/>
        <v/>
      </c>
      <c r="I100" s="33" t="str">
        <f t="shared" si="7"/>
        <v/>
      </c>
      <c r="J100" s="33" t="str">
        <f t="shared" si="7"/>
        <v/>
      </c>
      <c r="K100" s="33" t="str">
        <f t="shared" si="7"/>
        <v/>
      </c>
      <c r="L100" s="33" t="str">
        <f t="shared" si="6"/>
        <v/>
      </c>
      <c r="M100" s="33" t="str">
        <f t="shared" si="6"/>
        <v/>
      </c>
      <c r="N100" s="19" t="str">
        <f t="shared" si="5"/>
        <v/>
      </c>
    </row>
    <row r="101" spans="1:14" ht="15.6" x14ac:dyDescent="0.3">
      <c r="A101" s="33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6" t="str">
        <f t="shared" si="7"/>
        <v/>
      </c>
      <c r="E101" s="6" t="str">
        <f t="shared" si="7"/>
        <v/>
      </c>
      <c r="F101" s="33" t="str">
        <f t="shared" si="7"/>
        <v/>
      </c>
      <c r="G101" s="33" t="str">
        <f t="shared" si="7"/>
        <v/>
      </c>
      <c r="H101" s="33" t="str">
        <f t="shared" si="7"/>
        <v/>
      </c>
      <c r="I101" s="33" t="str">
        <f t="shared" si="7"/>
        <v/>
      </c>
      <c r="J101" s="33" t="str">
        <f t="shared" si="7"/>
        <v/>
      </c>
      <c r="K101" s="33" t="str">
        <f t="shared" si="7"/>
        <v/>
      </c>
      <c r="L101" s="33" t="str">
        <f t="shared" si="6"/>
        <v/>
      </c>
      <c r="M101" s="33" t="str">
        <f t="shared" si="6"/>
        <v/>
      </c>
      <c r="N101" s="19" t="str">
        <f t="shared" si="5"/>
        <v/>
      </c>
    </row>
    <row r="102" spans="1:14" ht="15.6" x14ac:dyDescent="0.3">
      <c r="A102" s="33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6" t="str">
        <f t="shared" si="7"/>
        <v/>
      </c>
      <c r="E102" s="6" t="str">
        <f t="shared" si="7"/>
        <v/>
      </c>
      <c r="F102" s="33" t="str">
        <f t="shared" si="7"/>
        <v/>
      </c>
      <c r="G102" s="33" t="str">
        <f t="shared" si="7"/>
        <v/>
      </c>
      <c r="H102" s="33" t="str">
        <f t="shared" si="7"/>
        <v/>
      </c>
      <c r="I102" s="33" t="str">
        <f t="shared" si="7"/>
        <v/>
      </c>
      <c r="J102" s="33" t="str">
        <f t="shared" si="7"/>
        <v/>
      </c>
      <c r="K102" s="33" t="str">
        <f t="shared" si="7"/>
        <v/>
      </c>
      <c r="L102" s="33" t="str">
        <f t="shared" si="6"/>
        <v/>
      </c>
      <c r="M102" s="33" t="str">
        <f t="shared" si="6"/>
        <v/>
      </c>
      <c r="N102" s="19" t="str">
        <f t="shared" si="5"/>
        <v/>
      </c>
    </row>
    <row r="103" spans="1:14" ht="15.6" x14ac:dyDescent="0.3">
      <c r="A103" s="33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6" t="str">
        <f t="shared" si="7"/>
        <v/>
      </c>
      <c r="E103" s="6" t="str">
        <f t="shared" si="7"/>
        <v/>
      </c>
      <c r="F103" s="33" t="str">
        <f t="shared" si="7"/>
        <v/>
      </c>
      <c r="G103" s="33" t="str">
        <f t="shared" si="7"/>
        <v/>
      </c>
      <c r="H103" s="33" t="str">
        <f t="shared" si="7"/>
        <v/>
      </c>
      <c r="I103" s="33" t="str">
        <f t="shared" si="7"/>
        <v/>
      </c>
      <c r="J103" s="33" t="str">
        <f t="shared" si="7"/>
        <v/>
      </c>
      <c r="K103" s="33" t="str">
        <f t="shared" si="7"/>
        <v/>
      </c>
      <c r="L103" s="33" t="str">
        <f t="shared" si="6"/>
        <v/>
      </c>
      <c r="M103" s="33" t="str">
        <f t="shared" si="6"/>
        <v/>
      </c>
      <c r="N103" s="19" t="str">
        <f t="shared" si="5"/>
        <v/>
      </c>
    </row>
    <row r="104" spans="1:14" ht="15.6" x14ac:dyDescent="0.3">
      <c r="A104" s="33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6" t="str">
        <f t="shared" si="7"/>
        <v/>
      </c>
      <c r="E104" s="6" t="str">
        <f t="shared" si="7"/>
        <v/>
      </c>
      <c r="F104" s="33" t="str">
        <f t="shared" si="7"/>
        <v/>
      </c>
      <c r="G104" s="33" t="str">
        <f t="shared" si="7"/>
        <v/>
      </c>
      <c r="H104" s="33" t="str">
        <f t="shared" si="7"/>
        <v/>
      </c>
      <c r="I104" s="33" t="str">
        <f t="shared" si="7"/>
        <v/>
      </c>
      <c r="J104" s="33" t="str">
        <f t="shared" si="7"/>
        <v/>
      </c>
      <c r="K104" s="33" t="str">
        <f t="shared" si="7"/>
        <v/>
      </c>
      <c r="L104" s="33" t="str">
        <f t="shared" si="6"/>
        <v/>
      </c>
      <c r="M104" s="33" t="str">
        <f t="shared" si="6"/>
        <v/>
      </c>
      <c r="N104" s="19" t="str">
        <f t="shared" si="5"/>
        <v/>
      </c>
    </row>
    <row r="105" spans="1:14" ht="15.6" x14ac:dyDescent="0.3">
      <c r="A105" s="33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6" t="str">
        <f t="shared" si="7"/>
        <v/>
      </c>
      <c r="E105" s="6" t="str">
        <f t="shared" si="7"/>
        <v/>
      </c>
      <c r="F105" s="33" t="str">
        <f t="shared" si="7"/>
        <v/>
      </c>
      <c r="G105" s="33" t="str">
        <f t="shared" si="7"/>
        <v/>
      </c>
      <c r="H105" s="33" t="str">
        <f t="shared" si="7"/>
        <v/>
      </c>
      <c r="I105" s="33" t="str">
        <f t="shared" si="7"/>
        <v/>
      </c>
      <c r="J105" s="33" t="str">
        <f t="shared" si="7"/>
        <v/>
      </c>
      <c r="K105" s="33" t="str">
        <f t="shared" si="7"/>
        <v/>
      </c>
      <c r="L105" s="33" t="str">
        <f t="shared" si="6"/>
        <v/>
      </c>
      <c r="M105" s="33" t="str">
        <f t="shared" si="6"/>
        <v/>
      </c>
      <c r="N105" s="19" t="str">
        <f t="shared" si="5"/>
        <v/>
      </c>
    </row>
    <row r="106" spans="1:14" ht="15.6" x14ac:dyDescent="0.3">
      <c r="A106" s="33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6" t="str">
        <f t="shared" si="7"/>
        <v/>
      </c>
      <c r="E106" s="6" t="str">
        <f t="shared" si="7"/>
        <v/>
      </c>
      <c r="F106" s="33" t="str">
        <f t="shared" si="7"/>
        <v/>
      </c>
      <c r="G106" s="33" t="str">
        <f t="shared" si="7"/>
        <v/>
      </c>
      <c r="H106" s="33" t="str">
        <f t="shared" si="7"/>
        <v/>
      </c>
      <c r="I106" s="33" t="str">
        <f t="shared" si="7"/>
        <v/>
      </c>
      <c r="J106" s="33" t="str">
        <f t="shared" si="7"/>
        <v/>
      </c>
      <c r="K106" s="33" t="str">
        <f t="shared" si="7"/>
        <v/>
      </c>
      <c r="L106" s="33" t="str">
        <f t="shared" si="6"/>
        <v/>
      </c>
      <c r="M106" s="33" t="str">
        <f t="shared" si="6"/>
        <v/>
      </c>
      <c r="N106" s="19" t="str">
        <f t="shared" si="5"/>
        <v/>
      </c>
    </row>
    <row r="107" spans="1:14" ht="15.6" x14ac:dyDescent="0.3">
      <c r="A107" s="33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6" t="str">
        <f t="shared" si="7"/>
        <v/>
      </c>
      <c r="E107" s="6" t="str">
        <f t="shared" si="7"/>
        <v/>
      </c>
      <c r="F107" s="33" t="str">
        <f t="shared" si="7"/>
        <v/>
      </c>
      <c r="G107" s="33" t="str">
        <f t="shared" si="7"/>
        <v/>
      </c>
      <c r="H107" s="33" t="str">
        <f t="shared" si="7"/>
        <v/>
      </c>
      <c r="I107" s="33" t="str">
        <f t="shared" si="7"/>
        <v/>
      </c>
      <c r="J107" s="33" t="str">
        <f t="shared" si="7"/>
        <v/>
      </c>
      <c r="K107" s="33" t="str">
        <f t="shared" si="7"/>
        <v/>
      </c>
      <c r="L107" s="33" t="str">
        <f t="shared" si="6"/>
        <v/>
      </c>
      <c r="M107" s="33" t="str">
        <f t="shared" si="6"/>
        <v/>
      </c>
      <c r="N107" s="19" t="str">
        <f t="shared" si="5"/>
        <v/>
      </c>
    </row>
    <row r="108" spans="1:14" ht="15.6" x14ac:dyDescent="0.3">
      <c r="A108" s="33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6" t="str">
        <f t="shared" si="7"/>
        <v/>
      </c>
      <c r="E108" s="6" t="str">
        <f t="shared" si="7"/>
        <v/>
      </c>
      <c r="F108" s="33" t="str">
        <f t="shared" si="7"/>
        <v/>
      </c>
      <c r="G108" s="33" t="str">
        <f t="shared" si="7"/>
        <v/>
      </c>
      <c r="H108" s="33" t="str">
        <f t="shared" si="7"/>
        <v/>
      </c>
      <c r="I108" s="33" t="str">
        <f t="shared" si="7"/>
        <v/>
      </c>
      <c r="J108" s="33" t="str">
        <f t="shared" si="7"/>
        <v/>
      </c>
      <c r="K108" s="33" t="str">
        <f t="shared" si="7"/>
        <v/>
      </c>
      <c r="L108" s="33" t="str">
        <f t="shared" si="6"/>
        <v/>
      </c>
      <c r="M108" s="33" t="str">
        <f t="shared" si="6"/>
        <v/>
      </c>
      <c r="N108" s="19" t="str">
        <f t="shared" si="5"/>
        <v/>
      </c>
    </row>
    <row r="109" spans="1:14" ht="15.6" x14ac:dyDescent="0.3">
      <c r="A109" s="33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6" t="str">
        <f t="shared" si="7"/>
        <v/>
      </c>
      <c r="E109" s="6" t="str">
        <f t="shared" si="7"/>
        <v/>
      </c>
      <c r="F109" s="33" t="str">
        <f t="shared" si="7"/>
        <v/>
      </c>
      <c r="G109" s="33" t="str">
        <f t="shared" si="7"/>
        <v/>
      </c>
      <c r="H109" s="33" t="str">
        <f t="shared" si="7"/>
        <v/>
      </c>
      <c r="I109" s="33" t="str">
        <f t="shared" si="7"/>
        <v/>
      </c>
      <c r="J109" s="33" t="str">
        <f t="shared" si="7"/>
        <v/>
      </c>
      <c r="K109" s="33" t="str">
        <f t="shared" si="7"/>
        <v/>
      </c>
      <c r="L109" s="33" t="str">
        <f t="shared" si="6"/>
        <v/>
      </c>
      <c r="M109" s="33" t="str">
        <f t="shared" si="6"/>
        <v/>
      </c>
      <c r="N109" s="19" t="str">
        <f t="shared" si="5"/>
        <v/>
      </c>
    </row>
    <row r="110" spans="1:14" ht="15.6" x14ac:dyDescent="0.3">
      <c r="A110" s="33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6" t="str">
        <f t="shared" si="7"/>
        <v/>
      </c>
      <c r="E110" s="6" t="str">
        <f t="shared" si="7"/>
        <v/>
      </c>
      <c r="F110" s="33" t="str">
        <f t="shared" si="7"/>
        <v/>
      </c>
      <c r="G110" s="33" t="str">
        <f t="shared" si="7"/>
        <v/>
      </c>
      <c r="H110" s="33" t="str">
        <f t="shared" si="7"/>
        <v/>
      </c>
      <c r="I110" s="33" t="str">
        <f t="shared" si="7"/>
        <v/>
      </c>
      <c r="J110" s="33" t="str">
        <f t="shared" si="7"/>
        <v/>
      </c>
      <c r="K110" s="33" t="str">
        <f t="shared" si="7"/>
        <v/>
      </c>
      <c r="L110" s="33" t="str">
        <f t="shared" si="6"/>
        <v/>
      </c>
      <c r="M110" s="33" t="str">
        <f t="shared" si="6"/>
        <v/>
      </c>
      <c r="N110" s="19" t="str">
        <f t="shared" si="5"/>
        <v/>
      </c>
    </row>
    <row r="111" spans="1:14" ht="15.6" x14ac:dyDescent="0.3">
      <c r="A111" s="33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6" t="str">
        <f t="shared" si="7"/>
        <v/>
      </c>
      <c r="E111" s="6" t="str">
        <f t="shared" si="7"/>
        <v/>
      </c>
      <c r="F111" s="33" t="str">
        <f t="shared" si="7"/>
        <v/>
      </c>
      <c r="G111" s="33" t="str">
        <f t="shared" si="7"/>
        <v/>
      </c>
      <c r="H111" s="33" t="str">
        <f t="shared" si="7"/>
        <v/>
      </c>
      <c r="I111" s="33" t="str">
        <f t="shared" si="7"/>
        <v/>
      </c>
      <c r="J111" s="33" t="str">
        <f t="shared" si="7"/>
        <v/>
      </c>
      <c r="K111" s="33" t="str">
        <f t="shared" si="7"/>
        <v/>
      </c>
      <c r="L111" s="33" t="str">
        <f t="shared" si="6"/>
        <v/>
      </c>
      <c r="M111" s="33" t="str">
        <f t="shared" si="6"/>
        <v/>
      </c>
      <c r="N111" s="19" t="str">
        <f t="shared" si="5"/>
        <v/>
      </c>
    </row>
    <row r="112" spans="1:14" ht="15.6" x14ac:dyDescent="0.3">
      <c r="A112" s="33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6" t="str">
        <f t="shared" si="7"/>
        <v/>
      </c>
      <c r="E112" s="6" t="str">
        <f t="shared" si="7"/>
        <v/>
      </c>
      <c r="F112" s="33" t="str">
        <f t="shared" si="7"/>
        <v/>
      </c>
      <c r="G112" s="33" t="str">
        <f t="shared" si="7"/>
        <v/>
      </c>
      <c r="H112" s="33" t="str">
        <f t="shared" si="7"/>
        <v/>
      </c>
      <c r="I112" s="33" t="str">
        <f t="shared" si="7"/>
        <v/>
      </c>
      <c r="J112" s="33" t="str">
        <f t="shared" si="7"/>
        <v/>
      </c>
      <c r="K112" s="33" t="str">
        <f t="shared" si="7"/>
        <v/>
      </c>
      <c r="L112" s="33" t="str">
        <f t="shared" si="6"/>
        <v/>
      </c>
      <c r="M112" s="33" t="str">
        <f t="shared" si="6"/>
        <v/>
      </c>
      <c r="N112" s="19" t="str">
        <f t="shared" si="5"/>
        <v/>
      </c>
    </row>
    <row r="113" spans="1:14" ht="15.6" x14ac:dyDescent="0.3">
      <c r="A113" s="33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6" t="str">
        <f t="shared" si="7"/>
        <v/>
      </c>
      <c r="E113" s="6" t="str">
        <f t="shared" si="7"/>
        <v/>
      </c>
      <c r="F113" s="33" t="str">
        <f t="shared" si="7"/>
        <v/>
      </c>
      <c r="G113" s="33" t="str">
        <f t="shared" si="7"/>
        <v/>
      </c>
      <c r="H113" s="33" t="str">
        <f t="shared" si="7"/>
        <v/>
      </c>
      <c r="I113" s="33" t="str">
        <f t="shared" si="7"/>
        <v/>
      </c>
      <c r="J113" s="33" t="str">
        <f t="shared" si="7"/>
        <v/>
      </c>
      <c r="K113" s="33" t="str">
        <f t="shared" si="7"/>
        <v/>
      </c>
      <c r="L113" s="33" t="str">
        <f t="shared" si="6"/>
        <v/>
      </c>
      <c r="M113" s="33" t="str">
        <f t="shared" si="6"/>
        <v/>
      </c>
      <c r="N113" s="19" t="str">
        <f t="shared" si="5"/>
        <v/>
      </c>
    </row>
    <row r="114" spans="1:14" ht="15.6" x14ac:dyDescent="0.3">
      <c r="A114" s="33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6" t="str">
        <f t="shared" si="7"/>
        <v/>
      </c>
      <c r="E114" s="6" t="str">
        <f t="shared" si="7"/>
        <v/>
      </c>
      <c r="F114" s="33" t="str">
        <f t="shared" si="7"/>
        <v/>
      </c>
      <c r="G114" s="33" t="str">
        <f t="shared" si="7"/>
        <v/>
      </c>
      <c r="H114" s="33" t="str">
        <f t="shared" si="7"/>
        <v/>
      </c>
      <c r="I114" s="33" t="str">
        <f t="shared" si="7"/>
        <v/>
      </c>
      <c r="J114" s="33" t="str">
        <f t="shared" si="7"/>
        <v/>
      </c>
      <c r="K114" s="33" t="str">
        <f t="shared" si="7"/>
        <v/>
      </c>
      <c r="L114" s="33" t="str">
        <f t="shared" si="6"/>
        <v/>
      </c>
      <c r="M114" s="33" t="str">
        <f t="shared" si="6"/>
        <v/>
      </c>
      <c r="N114" s="19" t="str">
        <f t="shared" si="5"/>
        <v/>
      </c>
    </row>
    <row r="115" spans="1:14" ht="15.6" x14ac:dyDescent="0.3">
      <c r="A115" s="33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6" t="str">
        <f t="shared" si="7"/>
        <v/>
      </c>
      <c r="E115" s="6" t="str">
        <f t="shared" si="7"/>
        <v/>
      </c>
      <c r="F115" s="33" t="str">
        <f t="shared" si="7"/>
        <v/>
      </c>
      <c r="G115" s="33" t="str">
        <f t="shared" si="7"/>
        <v/>
      </c>
      <c r="H115" s="33" t="str">
        <f t="shared" si="7"/>
        <v/>
      </c>
      <c r="I115" s="33" t="str">
        <f t="shared" si="7"/>
        <v/>
      </c>
      <c r="J115" s="33" t="str">
        <f t="shared" si="7"/>
        <v/>
      </c>
      <c r="K115" s="33" t="str">
        <f t="shared" si="7"/>
        <v/>
      </c>
      <c r="L115" s="33" t="str">
        <f t="shared" si="6"/>
        <v/>
      </c>
      <c r="M115" s="33" t="str">
        <f t="shared" si="6"/>
        <v/>
      </c>
      <c r="N115" s="19" t="str">
        <f t="shared" si="5"/>
        <v/>
      </c>
    </row>
    <row r="116" spans="1:14" ht="15.6" x14ac:dyDescent="0.3">
      <c r="A116" s="33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6" t="str">
        <f t="shared" si="7"/>
        <v/>
      </c>
      <c r="E116" s="6" t="str">
        <f t="shared" si="7"/>
        <v/>
      </c>
      <c r="F116" s="33" t="str">
        <f t="shared" si="7"/>
        <v/>
      </c>
      <c r="G116" s="33" t="str">
        <f t="shared" si="7"/>
        <v/>
      </c>
      <c r="H116" s="33" t="str">
        <f t="shared" si="7"/>
        <v/>
      </c>
      <c r="I116" s="33" t="str">
        <f t="shared" si="7"/>
        <v/>
      </c>
      <c r="J116" s="33" t="str">
        <f t="shared" si="7"/>
        <v/>
      </c>
      <c r="K116" s="33" t="str">
        <f t="shared" si="7"/>
        <v/>
      </c>
      <c r="L116" s="33" t="str">
        <f t="shared" si="7"/>
        <v/>
      </c>
      <c r="M116" s="33" t="str">
        <f t="shared" si="7"/>
        <v/>
      </c>
      <c r="N116" s="19" t="str">
        <f t="shared" si="5"/>
        <v/>
      </c>
    </row>
    <row r="117" spans="1:14" ht="15.6" x14ac:dyDescent="0.3">
      <c r="A117" s="33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6" t="str">
        <f t="shared" si="7"/>
        <v/>
      </c>
      <c r="E117" s="6" t="str">
        <f t="shared" si="7"/>
        <v/>
      </c>
      <c r="F117" s="33" t="str">
        <f t="shared" si="7"/>
        <v/>
      </c>
      <c r="G117" s="33" t="str">
        <f t="shared" si="7"/>
        <v/>
      </c>
      <c r="H117" s="33" t="str">
        <f t="shared" si="7"/>
        <v/>
      </c>
      <c r="I117" s="33" t="str">
        <f t="shared" si="7"/>
        <v/>
      </c>
      <c r="J117" s="33" t="str">
        <f t="shared" si="7"/>
        <v/>
      </c>
      <c r="K117" s="33" t="str">
        <f t="shared" si="7"/>
        <v/>
      </c>
      <c r="L117" s="33" t="str">
        <f t="shared" si="7"/>
        <v/>
      </c>
      <c r="M117" s="33" t="str">
        <f t="shared" si="7"/>
        <v/>
      </c>
      <c r="N117" s="19" t="str">
        <f t="shared" si="5"/>
        <v/>
      </c>
    </row>
    <row r="118" spans="1:14" ht="15.6" x14ac:dyDescent="0.3">
      <c r="A118" s="33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6" t="str">
        <f t="shared" si="7"/>
        <v/>
      </c>
      <c r="E118" s="6" t="str">
        <f t="shared" si="7"/>
        <v/>
      </c>
      <c r="F118" s="33" t="str">
        <f t="shared" si="7"/>
        <v/>
      </c>
      <c r="G118" s="33" t="str">
        <f t="shared" si="7"/>
        <v/>
      </c>
      <c r="H118" s="33" t="str">
        <f t="shared" si="7"/>
        <v/>
      </c>
      <c r="I118" s="33" t="str">
        <f t="shared" si="7"/>
        <v/>
      </c>
      <c r="J118" s="33" t="str">
        <f t="shared" si="7"/>
        <v/>
      </c>
      <c r="K118" s="33" t="str">
        <f t="shared" si="7"/>
        <v/>
      </c>
      <c r="L118" s="33" t="str">
        <f t="shared" si="7"/>
        <v/>
      </c>
      <c r="M118" s="33" t="str">
        <f t="shared" si="7"/>
        <v/>
      </c>
      <c r="N118" s="19" t="str">
        <f t="shared" si="5"/>
        <v/>
      </c>
    </row>
    <row r="119" spans="1:14" ht="15.6" x14ac:dyDescent="0.3">
      <c r="A119" s="33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6" t="str">
        <f t="shared" si="7"/>
        <v/>
      </c>
      <c r="E119" s="6" t="str">
        <f t="shared" si="7"/>
        <v/>
      </c>
      <c r="F119" s="33" t="str">
        <f t="shared" si="7"/>
        <v/>
      </c>
      <c r="G119" s="33" t="str">
        <f t="shared" si="7"/>
        <v/>
      </c>
      <c r="H119" s="33" t="str">
        <f t="shared" si="7"/>
        <v/>
      </c>
      <c r="I119" s="33" t="str">
        <f t="shared" si="7"/>
        <v/>
      </c>
      <c r="J119" s="33" t="str">
        <f t="shared" si="7"/>
        <v/>
      </c>
      <c r="K119" s="33" t="str">
        <f t="shared" si="7"/>
        <v/>
      </c>
      <c r="L119" s="33" t="str">
        <f t="shared" si="7"/>
        <v/>
      </c>
      <c r="M119" s="33" t="str">
        <f t="shared" si="7"/>
        <v/>
      </c>
      <c r="N119" s="19" t="str">
        <f t="shared" si="5"/>
        <v/>
      </c>
    </row>
    <row r="120" spans="1:14" ht="15.6" x14ac:dyDescent="0.3">
      <c r="A120" s="33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6" t="str">
        <f t="shared" si="7"/>
        <v/>
      </c>
      <c r="E120" s="6" t="str">
        <f t="shared" si="7"/>
        <v/>
      </c>
      <c r="F120" s="33" t="str">
        <f t="shared" si="7"/>
        <v/>
      </c>
      <c r="G120" s="33" t="str">
        <f t="shared" si="7"/>
        <v/>
      </c>
      <c r="H120" s="33" t="str">
        <f t="shared" si="7"/>
        <v/>
      </c>
      <c r="I120" s="33" t="str">
        <f t="shared" si="7"/>
        <v/>
      </c>
      <c r="J120" s="33" t="str">
        <f t="shared" si="7"/>
        <v/>
      </c>
      <c r="K120" s="33" t="str">
        <f t="shared" si="7"/>
        <v/>
      </c>
      <c r="L120" s="33" t="str">
        <f t="shared" si="7"/>
        <v/>
      </c>
      <c r="M120" s="33" t="str">
        <f t="shared" si="7"/>
        <v/>
      </c>
      <c r="N120" s="19" t="str">
        <f t="shared" si="5"/>
        <v/>
      </c>
    </row>
    <row r="121" spans="1:14" ht="15.6" x14ac:dyDescent="0.3">
      <c r="A121" s="33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6" t="str">
        <f t="shared" si="7"/>
        <v/>
      </c>
      <c r="E121" s="6" t="str">
        <f t="shared" si="7"/>
        <v/>
      </c>
      <c r="F121" s="33" t="str">
        <f t="shared" si="7"/>
        <v/>
      </c>
      <c r="G121" s="33" t="str">
        <f t="shared" si="7"/>
        <v/>
      </c>
      <c r="H121" s="33" t="str">
        <f t="shared" si="7"/>
        <v/>
      </c>
      <c r="I121" s="33" t="str">
        <f t="shared" si="7"/>
        <v/>
      </c>
      <c r="J121" s="33" t="str">
        <f t="shared" si="7"/>
        <v/>
      </c>
      <c r="K121" s="33" t="str">
        <f t="shared" si="7"/>
        <v/>
      </c>
      <c r="L121" s="33" t="str">
        <f t="shared" si="7"/>
        <v/>
      </c>
      <c r="M121" s="33" t="str">
        <f t="shared" si="7"/>
        <v/>
      </c>
      <c r="N121" s="19" t="str">
        <f t="shared" si="5"/>
        <v/>
      </c>
    </row>
    <row r="122" spans="1:14" ht="15.6" x14ac:dyDescent="0.3">
      <c r="A122" s="33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6" t="str">
        <f t="shared" si="7"/>
        <v/>
      </c>
      <c r="E122" s="6" t="str">
        <f t="shared" si="7"/>
        <v/>
      </c>
      <c r="F122" s="33" t="str">
        <f t="shared" si="7"/>
        <v/>
      </c>
      <c r="G122" s="33" t="str">
        <f t="shared" si="7"/>
        <v/>
      </c>
      <c r="H122" s="33" t="str">
        <f t="shared" si="7"/>
        <v/>
      </c>
      <c r="I122" s="33" t="str">
        <f t="shared" si="7"/>
        <v/>
      </c>
      <c r="J122" s="33" t="str">
        <f t="shared" si="7"/>
        <v/>
      </c>
      <c r="K122" s="33" t="str">
        <f t="shared" si="7"/>
        <v/>
      </c>
      <c r="L122" s="33" t="str">
        <f t="shared" si="7"/>
        <v/>
      </c>
      <c r="M122" s="33" t="str">
        <f t="shared" si="7"/>
        <v/>
      </c>
      <c r="N122" s="19" t="str">
        <f t="shared" si="5"/>
        <v/>
      </c>
    </row>
    <row r="123" spans="1:14" ht="15.6" x14ac:dyDescent="0.3">
      <c r="A123" s="33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6" t="str">
        <f t="shared" si="7"/>
        <v/>
      </c>
      <c r="E123" s="6" t="str">
        <f t="shared" si="7"/>
        <v/>
      </c>
      <c r="F123" s="33" t="str">
        <f t="shared" si="7"/>
        <v/>
      </c>
      <c r="G123" s="33" t="str">
        <f t="shared" si="7"/>
        <v/>
      </c>
      <c r="H123" s="33" t="str">
        <f t="shared" si="7"/>
        <v/>
      </c>
      <c r="I123" s="33" t="str">
        <f t="shared" si="7"/>
        <v/>
      </c>
      <c r="J123" s="33" t="str">
        <f t="shared" si="7"/>
        <v/>
      </c>
      <c r="K123" s="33" t="str">
        <f t="shared" si="7"/>
        <v/>
      </c>
      <c r="L123" s="33" t="str">
        <f t="shared" si="7"/>
        <v/>
      </c>
      <c r="M123" s="33" t="str">
        <f t="shared" si="7"/>
        <v/>
      </c>
      <c r="N123" s="19" t="str">
        <f t="shared" si="5"/>
        <v/>
      </c>
    </row>
  </sheetData>
  <autoFilter ref="A25:N123" xr:uid="{180D6CFD-8DA9-4064-86D6-98F873AF2BCA}"/>
  <mergeCells count="25">
    <mergeCell ref="B22:M23"/>
    <mergeCell ref="B15:B17"/>
    <mergeCell ref="K15:K17"/>
    <mergeCell ref="H15:H17"/>
    <mergeCell ref="E15:E17"/>
    <mergeCell ref="B18:B20"/>
    <mergeCell ref="E18:E20"/>
    <mergeCell ref="H18:H20"/>
    <mergeCell ref="K18:K20"/>
    <mergeCell ref="B6:B8"/>
    <mergeCell ref="B9:B11"/>
    <mergeCell ref="B12:B14"/>
    <mergeCell ref="B4:D4"/>
    <mergeCell ref="E4:G4"/>
    <mergeCell ref="E6:E8"/>
    <mergeCell ref="E9:E11"/>
    <mergeCell ref="E12:E14"/>
    <mergeCell ref="H4:J4"/>
    <mergeCell ref="H6:H8"/>
    <mergeCell ref="H9:H11"/>
    <mergeCell ref="H12:H14"/>
    <mergeCell ref="K4:M4"/>
    <mergeCell ref="K6:K8"/>
    <mergeCell ref="K9:K11"/>
    <mergeCell ref="K12:K14"/>
  </mergeCells>
  <conditionalFormatting sqref="B26:C1126 G26:G126 I26:I126 K26:K126 M26:M126 E26:E126">
    <cfRule type="cellIs" dxfId="2731" priority="73" operator="notEqual">
      <formula>""</formula>
    </cfRule>
  </conditionalFormatting>
  <conditionalFormatting sqref="B26:N126">
    <cfRule type="cellIs" dxfId="2730" priority="1" operator="equal">
      <formula>""</formula>
    </cfRule>
  </conditionalFormatting>
  <conditionalFormatting sqref="F26:F126 H26:H126 J26:J126 L26:L126 D26:D126">
    <cfRule type="cellIs" dxfId="2729" priority="70" operator="notEqual">
      <formula>""</formula>
    </cfRule>
  </conditionalFormatting>
  <conditionalFormatting sqref="D26:D126">
    <cfRule type="cellIs" dxfId="2728" priority="69" operator="notEqual">
      <formula>""</formula>
    </cfRule>
  </conditionalFormatting>
  <conditionalFormatting sqref="D6:D8">
    <cfRule type="top10" dxfId="2727" priority="3" rank="1"/>
  </conditionalFormatting>
  <conditionalFormatting sqref="C6:C8">
    <cfRule type="expression" dxfId="2726" priority="4">
      <formula>D6=LARGE(D$6:D$8,1)</formula>
    </cfRule>
  </conditionalFormatting>
  <conditionalFormatting sqref="C9:C11">
    <cfRule type="expression" dxfId="2725" priority="6">
      <formula>D9=LARGE(D$9:D$11,1)</formula>
    </cfRule>
  </conditionalFormatting>
  <conditionalFormatting sqref="D9:D11">
    <cfRule type="top10" dxfId="2724" priority="5" rank="1"/>
  </conditionalFormatting>
  <conditionalFormatting sqref="D12:D14">
    <cfRule type="top10" dxfId="2723" priority="7" rank="1"/>
  </conditionalFormatting>
  <conditionalFormatting sqref="G6:G8">
    <cfRule type="top10" dxfId="2722" priority="13" rank="1"/>
  </conditionalFormatting>
  <conditionalFormatting sqref="G9:G11">
    <cfRule type="top10" dxfId="2721" priority="15" rank="1"/>
  </conditionalFormatting>
  <conditionalFormatting sqref="G12:G14">
    <cfRule type="top10" dxfId="2720" priority="17" rank="1"/>
  </conditionalFormatting>
  <conditionalFormatting sqref="J6:J8">
    <cfRule type="top10" dxfId="2719" priority="23" rank="1"/>
  </conditionalFormatting>
  <conditionalFormatting sqref="J9:J11">
    <cfRule type="top10" dxfId="2718" priority="25" rank="1"/>
  </conditionalFormatting>
  <conditionalFormatting sqref="J12:J14">
    <cfRule type="top10" dxfId="2717" priority="27" rank="1"/>
  </conditionalFormatting>
  <conditionalFormatting sqref="M6:M8">
    <cfRule type="top10" dxfId="2716" priority="33" rank="1"/>
  </conditionalFormatting>
  <conditionalFormatting sqref="M9:M11">
    <cfRule type="top10" dxfId="2715" priority="35" rank="1"/>
  </conditionalFormatting>
  <conditionalFormatting sqref="M12:M14">
    <cfRule type="top10" dxfId="2714" priority="37" rank="1"/>
  </conditionalFormatting>
  <conditionalFormatting sqref="C12:C14">
    <cfRule type="expression" dxfId="2713" priority="8">
      <formula>D12=LARGE(D$12:D$14,1)</formula>
    </cfRule>
  </conditionalFormatting>
  <conditionalFormatting sqref="F6:F8">
    <cfRule type="expression" dxfId="2712" priority="14">
      <formula>G6=LARGE(G$6:G$8,1)</formula>
    </cfRule>
  </conditionalFormatting>
  <conditionalFormatting sqref="F9:F11">
    <cfRule type="expression" dxfId="2711" priority="16">
      <formula>G9=LARGE(G$9:G$11,1)</formula>
    </cfRule>
  </conditionalFormatting>
  <conditionalFormatting sqref="F12:F14">
    <cfRule type="expression" dxfId="2710" priority="18">
      <formula>G12=LARGE(G$12:G$14,1)</formula>
    </cfRule>
  </conditionalFormatting>
  <conditionalFormatting sqref="I6:I8">
    <cfRule type="expression" dxfId="2709" priority="24">
      <formula>J6=LARGE(J$6:J$8,1)</formula>
    </cfRule>
  </conditionalFormatting>
  <conditionalFormatting sqref="I9:I11">
    <cfRule type="expression" dxfId="2708" priority="26">
      <formula>J9=LARGE(J$9:J$11,1)</formula>
    </cfRule>
  </conditionalFormatting>
  <conditionalFormatting sqref="I12:I14">
    <cfRule type="expression" dxfId="2707" priority="28">
      <formula>J12=LARGE(J$12:J$14,1)</formula>
    </cfRule>
  </conditionalFormatting>
  <conditionalFormatting sqref="L6:L8">
    <cfRule type="expression" dxfId="2706" priority="34">
      <formula>M6=LARGE(M$6:M$8,1)</formula>
    </cfRule>
  </conditionalFormatting>
  <conditionalFormatting sqref="L9:L11">
    <cfRule type="expression" dxfId="2705" priority="36">
      <formula>M9=LARGE(M$9:M$11,1)</formula>
    </cfRule>
  </conditionalFormatting>
  <conditionalFormatting sqref="L12:L14">
    <cfRule type="expression" dxfId="2704" priority="38">
      <formula>M12=LARGE(M$12:M$14,1)</formula>
    </cfRule>
  </conditionalFormatting>
  <conditionalFormatting sqref="D18:D20">
    <cfRule type="top10" dxfId="2703" priority="11" rank="1"/>
  </conditionalFormatting>
  <conditionalFormatting sqref="C18:C20">
    <cfRule type="expression" dxfId="2702" priority="12">
      <formula>D18=LARGE(D$18:D$20,1)</formula>
    </cfRule>
  </conditionalFormatting>
  <conditionalFormatting sqref="B4:M20">
    <cfRule type="cellIs" dxfId="2701" priority="2" operator="equal">
      <formula>""</formula>
    </cfRule>
  </conditionalFormatting>
  <conditionalFormatting sqref="C15:C17">
    <cfRule type="expression" dxfId="2700" priority="10">
      <formula>D15=LARGE(D$15:D$17,1)</formula>
    </cfRule>
  </conditionalFormatting>
  <conditionalFormatting sqref="D15:D17">
    <cfRule type="top10" dxfId="2699" priority="9" rank="1"/>
  </conditionalFormatting>
  <conditionalFormatting sqref="G15:G17">
    <cfRule type="top10" dxfId="2698" priority="19" rank="1"/>
  </conditionalFormatting>
  <conditionalFormatting sqref="F15:F17">
    <cfRule type="expression" dxfId="2697" priority="20">
      <formula>G15=LARGE(G$15:G$17,1)</formula>
    </cfRule>
  </conditionalFormatting>
  <conditionalFormatting sqref="G18:G20">
    <cfRule type="top10" dxfId="2696" priority="21" rank="1"/>
  </conditionalFormatting>
  <conditionalFormatting sqref="F18:F20">
    <cfRule type="expression" dxfId="2695" priority="22">
      <formula>G18=LARGE(G$18:G$20,1)</formula>
    </cfRule>
  </conditionalFormatting>
  <conditionalFormatting sqref="J15:J17">
    <cfRule type="top10" dxfId="2694" priority="29" rank="1"/>
  </conditionalFormatting>
  <conditionalFormatting sqref="J18:J20">
    <cfRule type="top10" dxfId="2693" priority="31" rank="1"/>
  </conditionalFormatting>
  <conditionalFormatting sqref="I15:I17">
    <cfRule type="expression" dxfId="2692" priority="30">
      <formula>J15=LARGE(J$15:J$17,1)</formula>
    </cfRule>
  </conditionalFormatting>
  <conditionalFormatting sqref="I18:I20">
    <cfRule type="expression" dxfId="2691" priority="32">
      <formula>J18=LARGE(J$18:J$20,1)</formula>
    </cfRule>
  </conditionalFormatting>
  <conditionalFormatting sqref="M15:M17">
    <cfRule type="top10" dxfId="2690" priority="39" rank="1"/>
  </conditionalFormatting>
  <conditionalFormatting sqref="M18:M20">
    <cfRule type="top10" dxfId="2689" priority="41" rank="1"/>
  </conditionalFormatting>
  <conditionalFormatting sqref="L15:L17">
    <cfRule type="expression" dxfId="2688" priority="40">
      <formula>M15=LARGE(M$15:M$17,1)</formula>
    </cfRule>
  </conditionalFormatting>
  <conditionalFormatting sqref="L18:L20">
    <cfRule type="expression" dxfId="2687" priority="42">
      <formula>M18=LARGE(M$18:M$20,1)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4" operator="lessThan" id="{DD12CECB-FFBB-4CF4-B7F9-4929FD813C7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5" operator="greaterThanOrEqual" id="{9D87DB7D-A0A4-4294-888E-E258351E068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N26:N126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43E7-87E9-43FC-95CC-794105A68325}">
  <sheetPr codeName="Planilha6"/>
  <dimension ref="A1:I99"/>
  <sheetViews>
    <sheetView topLeftCell="B1" zoomScaleNormal="100" workbookViewId="0">
      <selection activeCell="G9" sqref="G9"/>
    </sheetView>
  </sheetViews>
  <sheetFormatPr defaultColWidth="9.109375" defaultRowHeight="13.8" x14ac:dyDescent="0.25"/>
  <cols>
    <col min="1" max="1" width="0" style="33" hidden="1" customWidth="1"/>
    <col min="2" max="2" width="9.6640625" style="33" customWidth="1"/>
    <col min="3" max="3" width="43.77734375" style="33" customWidth="1"/>
    <col min="4" max="4" width="27.44140625" style="33" customWidth="1"/>
    <col min="5" max="5" width="26.33203125" style="33" customWidth="1"/>
    <col min="6" max="6" width="24.77734375" style="33" customWidth="1"/>
    <col min="7" max="7" width="26.33203125" style="33" customWidth="1"/>
    <col min="8" max="8" width="29.33203125" style="33" customWidth="1"/>
    <col min="9" max="9" width="26.77734375" style="33" customWidth="1"/>
    <col min="10" max="16384" width="9.109375" style="33"/>
  </cols>
  <sheetData>
    <row r="1" spans="1:9" x14ac:dyDescent="0.25">
      <c r="B1" s="54" t="s">
        <v>1</v>
      </c>
      <c r="C1" s="54" t="s">
        <v>17</v>
      </c>
      <c r="D1" s="23" t="s">
        <v>41</v>
      </c>
      <c r="E1" s="55" t="s">
        <v>42</v>
      </c>
      <c r="F1" s="9" t="s">
        <v>43</v>
      </c>
      <c r="G1" s="55" t="s">
        <v>44</v>
      </c>
      <c r="H1" s="55" t="s">
        <v>45</v>
      </c>
      <c r="I1" s="55" t="s">
        <v>32</v>
      </c>
    </row>
    <row r="2" spans="1:9" ht="15.6" x14ac:dyDescent="0.3">
      <c r="A2" s="33">
        <v>1</v>
      </c>
      <c r="B2" s="2" t="str" cm="1">
        <f t="array" ref="B2">IF(ISERROR(INDEX(ListaDeAlunos,$A2,COLUMN()-1)),"",INDEX(ListaDeAlunos,$A2,COLUMN()-1))</f>
        <v>3°</v>
      </c>
      <c r="C2" s="2" t="str" cm="1">
        <f t="array" ref="C2">IF(ISERROR(INDEX(ListaDeAlunos,$A2,COLUMN()-1)),"",INDEX(ListaDeAlunos,$A2,COLUMN()-1))</f>
        <v>LEONARDO MESQUITA</v>
      </c>
      <c r="D2" s="8">
        <f t="shared" ref="D2:G66" si="0">IF($C2="","",0)</f>
        <v>0</v>
      </c>
      <c r="E2" s="24">
        <f t="shared" ref="E2:H29" si="1">IF($C2="","",0)</f>
        <v>0</v>
      </c>
      <c r="F2" s="8">
        <f t="shared" si="1"/>
        <v>0</v>
      </c>
      <c r="G2" s="24">
        <f t="shared" si="1"/>
        <v>0</v>
      </c>
      <c r="H2" s="8">
        <f t="shared" si="1"/>
        <v>0</v>
      </c>
      <c r="I2" s="21">
        <f>IF($C2="","",SUM(D2:H2))</f>
        <v>0</v>
      </c>
    </row>
    <row r="3" spans="1:9" ht="15.6" x14ac:dyDescent="0.3">
      <c r="A3" s="33">
        <v>2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CAIO CITÓ</v>
      </c>
      <c r="D3" s="8">
        <f t="shared" si="0"/>
        <v>0</v>
      </c>
      <c r="E3" s="24">
        <f t="shared" si="1"/>
        <v>0</v>
      </c>
      <c r="F3" s="8">
        <f t="shared" si="1"/>
        <v>0</v>
      </c>
      <c r="G3" s="24">
        <f t="shared" si="1"/>
        <v>0</v>
      </c>
      <c r="H3" s="8">
        <f t="shared" si="1"/>
        <v>0</v>
      </c>
      <c r="I3" s="21">
        <f t="shared" ref="I3:I66" si="2">IF($C3="","",SUM(D3:H3))</f>
        <v>0</v>
      </c>
    </row>
    <row r="4" spans="1:9" ht="15.6" x14ac:dyDescent="0.3">
      <c r="A4" s="33">
        <v>3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ARTHUR CITÓ</v>
      </c>
      <c r="D4" s="8">
        <f t="shared" si="0"/>
        <v>0</v>
      </c>
      <c r="E4" s="24">
        <f t="shared" si="1"/>
        <v>0</v>
      </c>
      <c r="F4" s="8">
        <f t="shared" si="1"/>
        <v>0</v>
      </c>
      <c r="G4" s="24">
        <f t="shared" si="1"/>
        <v>0</v>
      </c>
      <c r="H4" s="8">
        <f t="shared" si="1"/>
        <v>0</v>
      </c>
      <c r="I4" s="21">
        <f t="shared" si="2"/>
        <v>0</v>
      </c>
    </row>
    <row r="5" spans="1:9" ht="15.6" x14ac:dyDescent="0.3">
      <c r="A5" s="33">
        <v>4</v>
      </c>
      <c r="B5" s="2" t="str" cm="1">
        <f t="array" ref="B5">IF(ISERROR(INDEX(ListaDeAlunos,$A5,COLUMN()-1)),"",INDEX(ListaDeAlunos,$A5,COLUMN()-1))</f>
        <v/>
      </c>
      <c r="C5" s="2" t="str" cm="1">
        <f t="array" ref="C5">IF(ISERROR(INDEX(ListaDeAlunos,$A5,COLUMN()-1)),"",INDEX(ListaDeAlunos,$A5,COLUMN()-1))</f>
        <v/>
      </c>
      <c r="D5" s="8" t="str">
        <f t="shared" si="0"/>
        <v/>
      </c>
      <c r="E5" s="24" t="str">
        <f t="shared" si="1"/>
        <v/>
      </c>
      <c r="F5" s="8" t="str">
        <f t="shared" si="1"/>
        <v/>
      </c>
      <c r="G5" s="24" t="str">
        <f t="shared" si="1"/>
        <v/>
      </c>
      <c r="H5" s="8" t="str">
        <f t="shared" si="1"/>
        <v/>
      </c>
      <c r="I5" s="21" t="str">
        <f t="shared" si="2"/>
        <v/>
      </c>
    </row>
    <row r="6" spans="1:9" ht="15.6" x14ac:dyDescent="0.3">
      <c r="A6" s="33">
        <v>5</v>
      </c>
      <c r="B6" s="2" t="str" cm="1">
        <f t="array" ref="B6">IF(ISERROR(INDEX(ListaDeAlunos,$A6,COLUMN()-1)),"",INDEX(ListaDeAlunos,$A6,COLUMN()-1))</f>
        <v/>
      </c>
      <c r="C6" s="2" t="str" cm="1">
        <f t="array" ref="C6">IF(ISERROR(INDEX(ListaDeAlunos,$A6,COLUMN()-1)),"",INDEX(ListaDeAlunos,$A6,COLUMN()-1))</f>
        <v/>
      </c>
      <c r="D6" s="8" t="str">
        <f t="shared" si="0"/>
        <v/>
      </c>
      <c r="E6" s="24" t="str">
        <f t="shared" si="1"/>
        <v/>
      </c>
      <c r="F6" s="8" t="str">
        <f t="shared" si="1"/>
        <v/>
      </c>
      <c r="G6" s="24" t="str">
        <f t="shared" si="1"/>
        <v/>
      </c>
      <c r="H6" s="8" t="str">
        <f t="shared" si="1"/>
        <v/>
      </c>
      <c r="I6" s="21" t="str">
        <f t="shared" si="2"/>
        <v/>
      </c>
    </row>
    <row r="7" spans="1:9" ht="15.6" x14ac:dyDescent="0.3">
      <c r="A7" s="33">
        <v>6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8" t="str">
        <f t="shared" si="0"/>
        <v/>
      </c>
      <c r="E7" s="24" t="str">
        <f t="shared" si="1"/>
        <v/>
      </c>
      <c r="F7" s="8" t="str">
        <f t="shared" si="1"/>
        <v/>
      </c>
      <c r="G7" s="24" t="str">
        <f t="shared" si="1"/>
        <v/>
      </c>
      <c r="H7" s="8" t="str">
        <f t="shared" si="1"/>
        <v/>
      </c>
      <c r="I7" s="21" t="str">
        <f t="shared" si="2"/>
        <v/>
      </c>
    </row>
    <row r="8" spans="1:9" ht="15.6" x14ac:dyDescent="0.3">
      <c r="A8" s="33">
        <v>7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8" t="str">
        <f t="shared" si="0"/>
        <v/>
      </c>
      <c r="E8" s="24" t="str">
        <f t="shared" si="1"/>
        <v/>
      </c>
      <c r="F8" s="8" t="str">
        <f t="shared" si="1"/>
        <v/>
      </c>
      <c r="G8" s="24" t="str">
        <f t="shared" si="1"/>
        <v/>
      </c>
      <c r="H8" s="8" t="str">
        <f t="shared" si="1"/>
        <v/>
      </c>
      <c r="I8" s="21" t="str">
        <f t="shared" si="2"/>
        <v/>
      </c>
    </row>
    <row r="9" spans="1:9" ht="15.6" x14ac:dyDescent="0.3">
      <c r="A9" s="33">
        <v>8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8" t="str">
        <f t="shared" si="0"/>
        <v/>
      </c>
      <c r="E9" s="24" t="str">
        <f t="shared" si="1"/>
        <v/>
      </c>
      <c r="F9" s="8" t="str">
        <f t="shared" si="1"/>
        <v/>
      </c>
      <c r="G9" s="24" t="str">
        <f t="shared" si="1"/>
        <v/>
      </c>
      <c r="H9" s="8" t="str">
        <f t="shared" si="1"/>
        <v/>
      </c>
      <c r="I9" s="21" t="str">
        <f t="shared" si="2"/>
        <v/>
      </c>
    </row>
    <row r="10" spans="1:9" ht="15.6" x14ac:dyDescent="0.3">
      <c r="A10" s="33">
        <v>9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8" t="str">
        <f t="shared" si="0"/>
        <v/>
      </c>
      <c r="E10" s="24" t="str">
        <f t="shared" si="1"/>
        <v/>
      </c>
      <c r="F10" s="8" t="str">
        <f t="shared" si="1"/>
        <v/>
      </c>
      <c r="G10" s="24" t="str">
        <f t="shared" si="1"/>
        <v/>
      </c>
      <c r="H10" s="8" t="str">
        <f t="shared" si="1"/>
        <v/>
      </c>
      <c r="I10" s="21" t="str">
        <f t="shared" si="2"/>
        <v/>
      </c>
    </row>
    <row r="11" spans="1:9" ht="15.6" x14ac:dyDescent="0.3">
      <c r="A11" s="33">
        <v>10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8" t="str">
        <f t="shared" si="0"/>
        <v/>
      </c>
      <c r="E11" s="24" t="str">
        <f t="shared" si="1"/>
        <v/>
      </c>
      <c r="F11" s="8" t="str">
        <f t="shared" si="1"/>
        <v/>
      </c>
      <c r="G11" s="24" t="str">
        <f t="shared" si="1"/>
        <v/>
      </c>
      <c r="H11" s="8" t="str">
        <f t="shared" si="1"/>
        <v/>
      </c>
      <c r="I11" s="21" t="str">
        <f t="shared" si="2"/>
        <v/>
      </c>
    </row>
    <row r="12" spans="1:9" ht="15.6" x14ac:dyDescent="0.3">
      <c r="A12" s="33">
        <v>11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8" t="str">
        <f t="shared" si="0"/>
        <v/>
      </c>
      <c r="E12" s="24" t="str">
        <f t="shared" si="1"/>
        <v/>
      </c>
      <c r="F12" s="8" t="str">
        <f t="shared" si="1"/>
        <v/>
      </c>
      <c r="G12" s="24" t="str">
        <f t="shared" si="1"/>
        <v/>
      </c>
      <c r="H12" s="8" t="str">
        <f t="shared" si="1"/>
        <v/>
      </c>
      <c r="I12" s="21" t="str">
        <f t="shared" si="2"/>
        <v/>
      </c>
    </row>
    <row r="13" spans="1:9" ht="15.6" x14ac:dyDescent="0.3">
      <c r="A13" s="33">
        <v>12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8" t="str">
        <f t="shared" si="0"/>
        <v/>
      </c>
      <c r="E13" s="24" t="str">
        <f t="shared" si="1"/>
        <v/>
      </c>
      <c r="F13" s="8" t="str">
        <f t="shared" si="1"/>
        <v/>
      </c>
      <c r="G13" s="24" t="str">
        <f t="shared" si="1"/>
        <v/>
      </c>
      <c r="H13" s="8" t="str">
        <f t="shared" si="1"/>
        <v/>
      </c>
      <c r="I13" s="21" t="str">
        <f t="shared" si="2"/>
        <v/>
      </c>
    </row>
    <row r="14" spans="1:9" ht="15.6" x14ac:dyDescent="0.3">
      <c r="A14" s="33">
        <v>13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8" t="str">
        <f t="shared" si="0"/>
        <v/>
      </c>
      <c r="E14" s="24" t="str">
        <f t="shared" si="1"/>
        <v/>
      </c>
      <c r="F14" s="8" t="str">
        <f t="shared" si="1"/>
        <v/>
      </c>
      <c r="G14" s="24" t="str">
        <f t="shared" si="1"/>
        <v/>
      </c>
      <c r="H14" s="8" t="str">
        <f t="shared" si="1"/>
        <v/>
      </c>
      <c r="I14" s="21" t="str">
        <f t="shared" si="2"/>
        <v/>
      </c>
    </row>
    <row r="15" spans="1:9" ht="15.6" x14ac:dyDescent="0.3">
      <c r="A15" s="33">
        <v>14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8" t="str">
        <f t="shared" si="0"/>
        <v/>
      </c>
      <c r="E15" s="24" t="str">
        <f t="shared" si="1"/>
        <v/>
      </c>
      <c r="F15" s="8" t="str">
        <f t="shared" si="1"/>
        <v/>
      </c>
      <c r="G15" s="24" t="str">
        <f t="shared" si="1"/>
        <v/>
      </c>
      <c r="H15" s="8" t="str">
        <f t="shared" si="1"/>
        <v/>
      </c>
      <c r="I15" s="21" t="str">
        <f t="shared" si="2"/>
        <v/>
      </c>
    </row>
    <row r="16" spans="1:9" ht="15.6" x14ac:dyDescent="0.3">
      <c r="A16" s="33">
        <v>15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8" t="str">
        <f t="shared" si="0"/>
        <v/>
      </c>
      <c r="E16" s="24" t="str">
        <f t="shared" si="1"/>
        <v/>
      </c>
      <c r="F16" s="8" t="str">
        <f t="shared" si="1"/>
        <v/>
      </c>
      <c r="G16" s="24" t="str">
        <f t="shared" si="1"/>
        <v/>
      </c>
      <c r="H16" s="8" t="str">
        <f t="shared" si="1"/>
        <v/>
      </c>
      <c r="I16" s="21" t="str">
        <f t="shared" si="2"/>
        <v/>
      </c>
    </row>
    <row r="17" spans="1:9" ht="15.6" x14ac:dyDescent="0.3">
      <c r="A17" s="33">
        <v>16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8" t="str">
        <f t="shared" si="0"/>
        <v/>
      </c>
      <c r="E17" s="24" t="str">
        <f t="shared" si="1"/>
        <v/>
      </c>
      <c r="F17" s="8" t="str">
        <f t="shared" si="1"/>
        <v/>
      </c>
      <c r="G17" s="24" t="str">
        <f t="shared" si="1"/>
        <v/>
      </c>
      <c r="H17" s="8" t="str">
        <f t="shared" si="1"/>
        <v/>
      </c>
      <c r="I17" s="21" t="str">
        <f t="shared" si="2"/>
        <v/>
      </c>
    </row>
    <row r="18" spans="1:9" ht="15.6" x14ac:dyDescent="0.3">
      <c r="A18" s="33">
        <v>17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8" t="str">
        <f t="shared" si="0"/>
        <v/>
      </c>
      <c r="E18" s="24" t="str">
        <f t="shared" si="1"/>
        <v/>
      </c>
      <c r="F18" s="8" t="str">
        <f t="shared" si="1"/>
        <v/>
      </c>
      <c r="G18" s="24" t="str">
        <f t="shared" si="1"/>
        <v/>
      </c>
      <c r="H18" s="8" t="str">
        <f t="shared" si="1"/>
        <v/>
      </c>
      <c r="I18" s="21" t="str">
        <f t="shared" si="2"/>
        <v/>
      </c>
    </row>
    <row r="19" spans="1:9" ht="15.6" x14ac:dyDescent="0.3">
      <c r="A19" s="33">
        <v>18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8" t="str">
        <f t="shared" si="0"/>
        <v/>
      </c>
      <c r="E19" s="24" t="str">
        <f t="shared" si="1"/>
        <v/>
      </c>
      <c r="F19" s="8" t="str">
        <f t="shared" si="1"/>
        <v/>
      </c>
      <c r="G19" s="24" t="str">
        <f t="shared" si="1"/>
        <v/>
      </c>
      <c r="H19" s="8" t="str">
        <f t="shared" si="1"/>
        <v/>
      </c>
      <c r="I19" s="21" t="str">
        <f t="shared" si="2"/>
        <v/>
      </c>
    </row>
    <row r="20" spans="1:9" ht="15.6" x14ac:dyDescent="0.3">
      <c r="A20" s="33">
        <v>19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8" t="str">
        <f t="shared" si="0"/>
        <v/>
      </c>
      <c r="E20" s="24" t="str">
        <f t="shared" si="1"/>
        <v/>
      </c>
      <c r="F20" s="8" t="str">
        <f t="shared" si="1"/>
        <v/>
      </c>
      <c r="G20" s="24" t="str">
        <f t="shared" si="1"/>
        <v/>
      </c>
      <c r="H20" s="8" t="str">
        <f t="shared" si="1"/>
        <v/>
      </c>
      <c r="I20" s="21" t="str">
        <f t="shared" si="2"/>
        <v/>
      </c>
    </row>
    <row r="21" spans="1:9" ht="15.6" x14ac:dyDescent="0.3">
      <c r="A21" s="33">
        <v>20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8" t="str">
        <f t="shared" si="0"/>
        <v/>
      </c>
      <c r="E21" s="24" t="str">
        <f t="shared" si="1"/>
        <v/>
      </c>
      <c r="F21" s="8" t="str">
        <f t="shared" si="1"/>
        <v/>
      </c>
      <c r="G21" s="24" t="str">
        <f t="shared" si="1"/>
        <v/>
      </c>
      <c r="H21" s="8" t="str">
        <f t="shared" si="1"/>
        <v/>
      </c>
      <c r="I21" s="21" t="str">
        <f t="shared" si="2"/>
        <v/>
      </c>
    </row>
    <row r="22" spans="1:9" ht="15.6" x14ac:dyDescent="0.3">
      <c r="A22" s="33">
        <v>21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8" t="str">
        <f t="shared" si="0"/>
        <v/>
      </c>
      <c r="E22" s="24" t="str">
        <f t="shared" si="1"/>
        <v/>
      </c>
      <c r="F22" s="8" t="str">
        <f t="shared" si="1"/>
        <v/>
      </c>
      <c r="G22" s="24" t="str">
        <f t="shared" si="1"/>
        <v/>
      </c>
      <c r="H22" s="8" t="str">
        <f t="shared" si="1"/>
        <v/>
      </c>
      <c r="I22" s="21" t="str">
        <f t="shared" si="2"/>
        <v/>
      </c>
    </row>
    <row r="23" spans="1:9" ht="15.6" x14ac:dyDescent="0.3">
      <c r="A23" s="33">
        <v>22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8" t="str">
        <f t="shared" si="0"/>
        <v/>
      </c>
      <c r="E23" s="24" t="str">
        <f t="shared" si="1"/>
        <v/>
      </c>
      <c r="F23" s="8" t="str">
        <f t="shared" si="1"/>
        <v/>
      </c>
      <c r="G23" s="24" t="str">
        <f t="shared" si="1"/>
        <v/>
      </c>
      <c r="H23" s="8" t="str">
        <f t="shared" si="1"/>
        <v/>
      </c>
      <c r="I23" s="21" t="str">
        <f t="shared" si="2"/>
        <v/>
      </c>
    </row>
    <row r="24" spans="1:9" ht="15.6" x14ac:dyDescent="0.3">
      <c r="A24" s="33">
        <v>23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8" t="str">
        <f t="shared" si="0"/>
        <v/>
      </c>
      <c r="E24" s="24" t="str">
        <f t="shared" si="1"/>
        <v/>
      </c>
      <c r="F24" s="8" t="str">
        <f t="shared" si="1"/>
        <v/>
      </c>
      <c r="G24" s="24" t="str">
        <f t="shared" si="1"/>
        <v/>
      </c>
      <c r="H24" s="8" t="str">
        <f t="shared" si="1"/>
        <v/>
      </c>
      <c r="I24" s="21" t="str">
        <f t="shared" si="2"/>
        <v/>
      </c>
    </row>
    <row r="25" spans="1:9" ht="15.6" x14ac:dyDescent="0.3">
      <c r="A25" s="33">
        <v>24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8" t="str">
        <f t="shared" si="0"/>
        <v/>
      </c>
      <c r="E25" s="24" t="str">
        <f t="shared" si="1"/>
        <v/>
      </c>
      <c r="F25" s="8" t="str">
        <f t="shared" si="1"/>
        <v/>
      </c>
      <c r="G25" s="24" t="str">
        <f t="shared" si="1"/>
        <v/>
      </c>
      <c r="H25" s="8" t="str">
        <f t="shared" si="1"/>
        <v/>
      </c>
      <c r="I25" s="21" t="str">
        <f t="shared" si="2"/>
        <v/>
      </c>
    </row>
    <row r="26" spans="1:9" ht="15.6" x14ac:dyDescent="0.3">
      <c r="A26" s="33">
        <v>25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8" t="str">
        <f t="shared" si="0"/>
        <v/>
      </c>
      <c r="E26" s="24" t="str">
        <f t="shared" si="1"/>
        <v/>
      </c>
      <c r="F26" s="8" t="str">
        <f t="shared" si="1"/>
        <v/>
      </c>
      <c r="G26" s="24" t="str">
        <f t="shared" si="1"/>
        <v/>
      </c>
      <c r="H26" s="8" t="str">
        <f t="shared" si="1"/>
        <v/>
      </c>
      <c r="I26" s="21" t="str">
        <f t="shared" si="2"/>
        <v/>
      </c>
    </row>
    <row r="27" spans="1:9" ht="15.6" x14ac:dyDescent="0.3">
      <c r="A27" s="33">
        <v>26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8" t="str">
        <f t="shared" si="0"/>
        <v/>
      </c>
      <c r="E27" s="24" t="str">
        <f t="shared" si="1"/>
        <v/>
      </c>
      <c r="F27" s="8" t="str">
        <f t="shared" si="1"/>
        <v/>
      </c>
      <c r="G27" s="24" t="str">
        <f t="shared" si="1"/>
        <v/>
      </c>
      <c r="H27" s="8" t="str">
        <f t="shared" si="1"/>
        <v/>
      </c>
      <c r="I27" s="21" t="str">
        <f t="shared" si="2"/>
        <v/>
      </c>
    </row>
    <row r="28" spans="1:9" ht="15.6" x14ac:dyDescent="0.3">
      <c r="A28" s="33">
        <v>27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8" t="str">
        <f t="shared" si="0"/>
        <v/>
      </c>
      <c r="E28" s="24" t="str">
        <f t="shared" si="1"/>
        <v/>
      </c>
      <c r="F28" s="8" t="str">
        <f t="shared" si="1"/>
        <v/>
      </c>
      <c r="G28" s="24" t="str">
        <f t="shared" si="1"/>
        <v/>
      </c>
      <c r="H28" s="8" t="str">
        <f t="shared" si="1"/>
        <v/>
      </c>
      <c r="I28" s="21" t="str">
        <f t="shared" si="2"/>
        <v/>
      </c>
    </row>
    <row r="29" spans="1:9" ht="15.6" x14ac:dyDescent="0.3">
      <c r="A29" s="33">
        <v>28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8" t="str">
        <f t="shared" si="0"/>
        <v/>
      </c>
      <c r="E29" s="24" t="str">
        <f t="shared" si="1"/>
        <v/>
      </c>
      <c r="F29" s="8" t="str">
        <f t="shared" si="1"/>
        <v/>
      </c>
      <c r="G29" s="24" t="str">
        <f t="shared" si="1"/>
        <v/>
      </c>
      <c r="H29" s="8" t="str">
        <f t="shared" si="1"/>
        <v/>
      </c>
      <c r="I29" s="21" t="str">
        <f t="shared" si="2"/>
        <v/>
      </c>
    </row>
    <row r="30" spans="1:9" ht="15.6" x14ac:dyDescent="0.3">
      <c r="A30" s="33">
        <v>29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8" t="str">
        <f t="shared" si="0"/>
        <v/>
      </c>
      <c r="E30" s="33" t="str">
        <f t="shared" si="0"/>
        <v/>
      </c>
      <c r="F30" s="33" t="str">
        <f t="shared" si="0"/>
        <v/>
      </c>
      <c r="G30" s="33" t="str">
        <f t="shared" si="0"/>
        <v/>
      </c>
      <c r="H30" s="33" t="str">
        <f t="shared" ref="H30:H66" si="3">IF($C30="","",0)</f>
        <v/>
      </c>
      <c r="I30" s="21" t="str">
        <f t="shared" si="2"/>
        <v/>
      </c>
    </row>
    <row r="31" spans="1:9" ht="15.6" x14ac:dyDescent="0.3">
      <c r="A31" s="33">
        <v>30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8" t="str">
        <f t="shared" si="0"/>
        <v/>
      </c>
      <c r="E31" s="33" t="str">
        <f t="shared" si="0"/>
        <v/>
      </c>
      <c r="F31" s="33" t="str">
        <f t="shared" si="0"/>
        <v/>
      </c>
      <c r="G31" s="33" t="str">
        <f t="shared" si="0"/>
        <v/>
      </c>
      <c r="H31" s="33" t="str">
        <f t="shared" si="3"/>
        <v/>
      </c>
      <c r="I31" s="21" t="str">
        <f t="shared" si="2"/>
        <v/>
      </c>
    </row>
    <row r="32" spans="1:9" ht="15.6" x14ac:dyDescent="0.3">
      <c r="A32" s="33">
        <v>31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8" t="str">
        <f t="shared" si="0"/>
        <v/>
      </c>
      <c r="E32" s="33" t="str">
        <f t="shared" si="0"/>
        <v/>
      </c>
      <c r="F32" s="33" t="str">
        <f t="shared" si="0"/>
        <v/>
      </c>
      <c r="G32" s="33" t="str">
        <f t="shared" si="0"/>
        <v/>
      </c>
      <c r="H32" s="33" t="str">
        <f t="shared" si="3"/>
        <v/>
      </c>
      <c r="I32" s="21" t="str">
        <f t="shared" si="2"/>
        <v/>
      </c>
    </row>
    <row r="33" spans="1:9" ht="15.6" x14ac:dyDescent="0.3">
      <c r="A33" s="33">
        <v>32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8" t="str">
        <f t="shared" si="0"/>
        <v/>
      </c>
      <c r="E33" s="33" t="str">
        <f t="shared" si="0"/>
        <v/>
      </c>
      <c r="F33" s="33" t="str">
        <f t="shared" si="0"/>
        <v/>
      </c>
      <c r="G33" s="33" t="str">
        <f t="shared" si="0"/>
        <v/>
      </c>
      <c r="H33" s="33" t="str">
        <f t="shared" si="3"/>
        <v/>
      </c>
      <c r="I33" s="21" t="str">
        <f t="shared" si="2"/>
        <v/>
      </c>
    </row>
    <row r="34" spans="1:9" ht="15.6" x14ac:dyDescent="0.3">
      <c r="A34" s="33">
        <v>33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8" t="str">
        <f t="shared" si="0"/>
        <v/>
      </c>
      <c r="E34" s="33" t="str">
        <f t="shared" si="0"/>
        <v/>
      </c>
      <c r="F34" s="33" t="str">
        <f t="shared" si="0"/>
        <v/>
      </c>
      <c r="G34" s="33" t="str">
        <f t="shared" si="0"/>
        <v/>
      </c>
      <c r="H34" s="33" t="str">
        <f t="shared" si="3"/>
        <v/>
      </c>
      <c r="I34" s="21" t="str">
        <f t="shared" si="2"/>
        <v/>
      </c>
    </row>
    <row r="35" spans="1:9" ht="15.6" x14ac:dyDescent="0.3">
      <c r="A35" s="33">
        <v>34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8" t="str">
        <f t="shared" si="0"/>
        <v/>
      </c>
      <c r="E35" s="33" t="str">
        <f t="shared" si="0"/>
        <v/>
      </c>
      <c r="F35" s="33" t="str">
        <f t="shared" si="0"/>
        <v/>
      </c>
      <c r="G35" s="33" t="str">
        <f t="shared" si="0"/>
        <v/>
      </c>
      <c r="H35" s="33" t="str">
        <f t="shared" si="3"/>
        <v/>
      </c>
      <c r="I35" s="21" t="str">
        <f t="shared" si="2"/>
        <v/>
      </c>
    </row>
    <row r="36" spans="1:9" ht="15.6" x14ac:dyDescent="0.3">
      <c r="A36" s="33">
        <v>35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8" t="str">
        <f t="shared" si="0"/>
        <v/>
      </c>
      <c r="E36" s="33" t="str">
        <f t="shared" si="0"/>
        <v/>
      </c>
      <c r="F36" s="33" t="str">
        <f t="shared" si="0"/>
        <v/>
      </c>
      <c r="G36" s="33" t="str">
        <f t="shared" si="0"/>
        <v/>
      </c>
      <c r="H36" s="33" t="str">
        <f t="shared" si="3"/>
        <v/>
      </c>
      <c r="I36" s="21" t="str">
        <f t="shared" si="2"/>
        <v/>
      </c>
    </row>
    <row r="37" spans="1:9" ht="15.6" x14ac:dyDescent="0.3">
      <c r="A37" s="33">
        <v>36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8" t="str">
        <f t="shared" si="0"/>
        <v/>
      </c>
      <c r="E37" s="33" t="str">
        <f t="shared" si="0"/>
        <v/>
      </c>
      <c r="F37" s="33" t="str">
        <f t="shared" si="0"/>
        <v/>
      </c>
      <c r="G37" s="33" t="str">
        <f t="shared" si="0"/>
        <v/>
      </c>
      <c r="H37" s="33" t="str">
        <f t="shared" si="3"/>
        <v/>
      </c>
      <c r="I37" s="21" t="str">
        <f t="shared" si="2"/>
        <v/>
      </c>
    </row>
    <row r="38" spans="1:9" ht="15.6" x14ac:dyDescent="0.3">
      <c r="A38" s="33">
        <v>37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8" t="str">
        <f t="shared" si="0"/>
        <v/>
      </c>
      <c r="E38" s="33" t="str">
        <f t="shared" si="0"/>
        <v/>
      </c>
      <c r="F38" s="33" t="str">
        <f t="shared" si="0"/>
        <v/>
      </c>
      <c r="G38" s="33" t="str">
        <f t="shared" si="0"/>
        <v/>
      </c>
      <c r="H38" s="33" t="str">
        <f t="shared" si="3"/>
        <v/>
      </c>
      <c r="I38" s="21" t="str">
        <f t="shared" si="2"/>
        <v/>
      </c>
    </row>
    <row r="39" spans="1:9" ht="15.6" x14ac:dyDescent="0.3">
      <c r="A39" s="33">
        <v>38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8" t="str">
        <f t="shared" si="0"/>
        <v/>
      </c>
      <c r="E39" s="33" t="str">
        <f t="shared" si="0"/>
        <v/>
      </c>
      <c r="F39" s="33" t="str">
        <f t="shared" si="0"/>
        <v/>
      </c>
      <c r="G39" s="33" t="str">
        <f t="shared" si="0"/>
        <v/>
      </c>
      <c r="H39" s="33" t="str">
        <f t="shared" si="3"/>
        <v/>
      </c>
      <c r="I39" s="21" t="str">
        <f t="shared" si="2"/>
        <v/>
      </c>
    </row>
    <row r="40" spans="1:9" ht="15.6" x14ac:dyDescent="0.3">
      <c r="A40" s="33">
        <v>39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8" t="str">
        <f t="shared" si="0"/>
        <v/>
      </c>
      <c r="E40" s="33" t="str">
        <f t="shared" si="0"/>
        <v/>
      </c>
      <c r="F40" s="33" t="str">
        <f t="shared" si="0"/>
        <v/>
      </c>
      <c r="G40" s="33" t="str">
        <f t="shared" si="0"/>
        <v/>
      </c>
      <c r="H40" s="33" t="str">
        <f t="shared" si="3"/>
        <v/>
      </c>
      <c r="I40" s="21" t="str">
        <f t="shared" si="2"/>
        <v/>
      </c>
    </row>
    <row r="41" spans="1:9" ht="15.6" x14ac:dyDescent="0.3">
      <c r="A41" s="33">
        <v>40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8" t="str">
        <f t="shared" si="0"/>
        <v/>
      </c>
      <c r="E41" s="33" t="str">
        <f t="shared" si="0"/>
        <v/>
      </c>
      <c r="F41" s="33" t="str">
        <f t="shared" si="0"/>
        <v/>
      </c>
      <c r="G41" s="33" t="str">
        <f t="shared" si="0"/>
        <v/>
      </c>
      <c r="H41" s="33" t="str">
        <f t="shared" si="3"/>
        <v/>
      </c>
      <c r="I41" s="21" t="str">
        <f t="shared" si="2"/>
        <v/>
      </c>
    </row>
    <row r="42" spans="1:9" ht="15.6" x14ac:dyDescent="0.3">
      <c r="A42" s="33">
        <v>41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8" t="str">
        <f t="shared" si="0"/>
        <v/>
      </c>
      <c r="E42" s="33" t="str">
        <f t="shared" si="0"/>
        <v/>
      </c>
      <c r="F42" s="33" t="str">
        <f t="shared" si="0"/>
        <v/>
      </c>
      <c r="G42" s="33" t="str">
        <f t="shared" si="0"/>
        <v/>
      </c>
      <c r="H42" s="33" t="str">
        <f t="shared" si="3"/>
        <v/>
      </c>
      <c r="I42" s="21" t="str">
        <f t="shared" si="2"/>
        <v/>
      </c>
    </row>
    <row r="43" spans="1:9" ht="15.6" x14ac:dyDescent="0.3">
      <c r="A43" s="33">
        <v>42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8" t="str">
        <f t="shared" si="0"/>
        <v/>
      </c>
      <c r="E43" s="33" t="str">
        <f t="shared" si="0"/>
        <v/>
      </c>
      <c r="F43" s="33" t="str">
        <f t="shared" si="0"/>
        <v/>
      </c>
      <c r="G43" s="33" t="str">
        <f t="shared" si="0"/>
        <v/>
      </c>
      <c r="H43" s="33" t="str">
        <f t="shared" si="3"/>
        <v/>
      </c>
      <c r="I43" s="21" t="str">
        <f t="shared" si="2"/>
        <v/>
      </c>
    </row>
    <row r="44" spans="1:9" ht="15.6" x14ac:dyDescent="0.3">
      <c r="A44" s="33">
        <v>43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8" t="str">
        <f t="shared" si="0"/>
        <v/>
      </c>
      <c r="E44" s="33" t="str">
        <f t="shared" si="0"/>
        <v/>
      </c>
      <c r="F44" s="33" t="str">
        <f t="shared" si="0"/>
        <v/>
      </c>
      <c r="G44" s="33" t="str">
        <f t="shared" si="0"/>
        <v/>
      </c>
      <c r="H44" s="33" t="str">
        <f t="shared" si="3"/>
        <v/>
      </c>
      <c r="I44" s="21" t="str">
        <f t="shared" si="2"/>
        <v/>
      </c>
    </row>
    <row r="45" spans="1:9" ht="15.6" x14ac:dyDescent="0.3">
      <c r="A45" s="33">
        <v>44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8" t="str">
        <f t="shared" si="0"/>
        <v/>
      </c>
      <c r="E45" s="33" t="str">
        <f t="shared" si="0"/>
        <v/>
      </c>
      <c r="F45" s="33" t="str">
        <f t="shared" si="0"/>
        <v/>
      </c>
      <c r="G45" s="33" t="str">
        <f t="shared" si="0"/>
        <v/>
      </c>
      <c r="H45" s="33" t="str">
        <f t="shared" si="3"/>
        <v/>
      </c>
      <c r="I45" s="21" t="str">
        <f t="shared" si="2"/>
        <v/>
      </c>
    </row>
    <row r="46" spans="1:9" ht="15.6" x14ac:dyDescent="0.3">
      <c r="A46" s="33">
        <v>45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8" t="str">
        <f t="shared" si="0"/>
        <v/>
      </c>
      <c r="E46" s="33" t="str">
        <f t="shared" si="0"/>
        <v/>
      </c>
      <c r="F46" s="33" t="str">
        <f t="shared" si="0"/>
        <v/>
      </c>
      <c r="G46" s="33" t="str">
        <f t="shared" si="0"/>
        <v/>
      </c>
      <c r="H46" s="33" t="str">
        <f t="shared" si="3"/>
        <v/>
      </c>
      <c r="I46" s="21" t="str">
        <f t="shared" si="2"/>
        <v/>
      </c>
    </row>
    <row r="47" spans="1:9" ht="15.6" x14ac:dyDescent="0.3">
      <c r="A47" s="33">
        <v>46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8" t="str">
        <f t="shared" si="0"/>
        <v/>
      </c>
      <c r="E47" s="33" t="str">
        <f t="shared" si="0"/>
        <v/>
      </c>
      <c r="F47" s="33" t="str">
        <f t="shared" si="0"/>
        <v/>
      </c>
      <c r="G47" s="33" t="str">
        <f t="shared" si="0"/>
        <v/>
      </c>
      <c r="H47" s="33" t="str">
        <f t="shared" si="3"/>
        <v/>
      </c>
      <c r="I47" s="21" t="str">
        <f t="shared" si="2"/>
        <v/>
      </c>
    </row>
    <row r="48" spans="1:9" ht="15.6" x14ac:dyDescent="0.3">
      <c r="A48" s="33">
        <v>47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8" t="str">
        <f t="shared" si="0"/>
        <v/>
      </c>
      <c r="E48" s="33" t="str">
        <f t="shared" si="0"/>
        <v/>
      </c>
      <c r="F48" s="33" t="str">
        <f t="shared" si="0"/>
        <v/>
      </c>
      <c r="G48" s="33" t="str">
        <f t="shared" si="0"/>
        <v/>
      </c>
      <c r="H48" s="33" t="str">
        <f t="shared" si="3"/>
        <v/>
      </c>
      <c r="I48" s="21" t="str">
        <f t="shared" si="2"/>
        <v/>
      </c>
    </row>
    <row r="49" spans="1:9" ht="15.6" x14ac:dyDescent="0.3">
      <c r="A49" s="33">
        <v>48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8" t="str">
        <f t="shared" si="0"/>
        <v/>
      </c>
      <c r="E49" s="33" t="str">
        <f t="shared" si="0"/>
        <v/>
      </c>
      <c r="F49" s="33" t="str">
        <f t="shared" si="0"/>
        <v/>
      </c>
      <c r="G49" s="33" t="str">
        <f t="shared" si="0"/>
        <v/>
      </c>
      <c r="H49" s="33" t="str">
        <f t="shared" si="3"/>
        <v/>
      </c>
      <c r="I49" s="21" t="str">
        <f t="shared" si="2"/>
        <v/>
      </c>
    </row>
    <row r="50" spans="1:9" ht="15.6" x14ac:dyDescent="0.3">
      <c r="A50" s="33">
        <v>49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8" t="str">
        <f t="shared" si="0"/>
        <v/>
      </c>
      <c r="E50" s="33" t="str">
        <f t="shared" si="0"/>
        <v/>
      </c>
      <c r="F50" s="33" t="str">
        <f t="shared" si="0"/>
        <v/>
      </c>
      <c r="G50" s="33" t="str">
        <f t="shared" si="0"/>
        <v/>
      </c>
      <c r="H50" s="33" t="str">
        <f t="shared" si="3"/>
        <v/>
      </c>
      <c r="I50" s="21" t="str">
        <f t="shared" si="2"/>
        <v/>
      </c>
    </row>
    <row r="51" spans="1:9" ht="15.6" x14ac:dyDescent="0.3">
      <c r="A51" s="33">
        <v>50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8" t="str">
        <f t="shared" si="0"/>
        <v/>
      </c>
      <c r="E51" s="33" t="str">
        <f t="shared" si="0"/>
        <v/>
      </c>
      <c r="F51" s="33" t="str">
        <f t="shared" si="0"/>
        <v/>
      </c>
      <c r="G51" s="33" t="str">
        <f t="shared" si="0"/>
        <v/>
      </c>
      <c r="H51" s="33" t="str">
        <f t="shared" si="3"/>
        <v/>
      </c>
      <c r="I51" s="21" t="str">
        <f t="shared" si="2"/>
        <v/>
      </c>
    </row>
    <row r="52" spans="1:9" ht="15.6" x14ac:dyDescent="0.3">
      <c r="A52" s="33">
        <v>51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8" t="str">
        <f t="shared" si="0"/>
        <v/>
      </c>
      <c r="E52" s="33" t="str">
        <f t="shared" si="0"/>
        <v/>
      </c>
      <c r="F52" s="33" t="str">
        <f t="shared" si="0"/>
        <v/>
      </c>
      <c r="G52" s="33" t="str">
        <f t="shared" si="0"/>
        <v/>
      </c>
      <c r="H52" s="33" t="str">
        <f t="shared" si="3"/>
        <v/>
      </c>
      <c r="I52" s="21" t="str">
        <f t="shared" si="2"/>
        <v/>
      </c>
    </row>
    <row r="53" spans="1:9" ht="15.6" x14ac:dyDescent="0.3">
      <c r="A53" s="33">
        <v>52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8" t="str">
        <f t="shared" si="0"/>
        <v/>
      </c>
      <c r="E53" s="33" t="str">
        <f t="shared" si="0"/>
        <v/>
      </c>
      <c r="F53" s="33" t="str">
        <f t="shared" si="0"/>
        <v/>
      </c>
      <c r="G53" s="33" t="str">
        <f t="shared" si="0"/>
        <v/>
      </c>
      <c r="H53" s="33" t="str">
        <f t="shared" si="3"/>
        <v/>
      </c>
      <c r="I53" s="21" t="str">
        <f t="shared" si="2"/>
        <v/>
      </c>
    </row>
    <row r="54" spans="1:9" ht="15.6" x14ac:dyDescent="0.3">
      <c r="A54" s="33">
        <v>53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8" t="str">
        <f t="shared" si="0"/>
        <v/>
      </c>
      <c r="E54" s="33" t="str">
        <f t="shared" si="0"/>
        <v/>
      </c>
      <c r="F54" s="33" t="str">
        <f t="shared" si="0"/>
        <v/>
      </c>
      <c r="G54" s="33" t="str">
        <f t="shared" si="0"/>
        <v/>
      </c>
      <c r="H54" s="33" t="str">
        <f t="shared" si="3"/>
        <v/>
      </c>
      <c r="I54" s="21" t="str">
        <f t="shared" si="2"/>
        <v/>
      </c>
    </row>
    <row r="55" spans="1:9" ht="15.6" x14ac:dyDescent="0.3">
      <c r="A55" s="33">
        <v>54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8" t="str">
        <f t="shared" si="0"/>
        <v/>
      </c>
      <c r="E55" s="33" t="str">
        <f t="shared" si="0"/>
        <v/>
      </c>
      <c r="F55" s="33" t="str">
        <f t="shared" si="0"/>
        <v/>
      </c>
      <c r="G55" s="33" t="str">
        <f t="shared" si="0"/>
        <v/>
      </c>
      <c r="H55" s="33" t="str">
        <f t="shared" si="3"/>
        <v/>
      </c>
      <c r="I55" s="21" t="str">
        <f t="shared" si="2"/>
        <v/>
      </c>
    </row>
    <row r="56" spans="1:9" ht="15.6" x14ac:dyDescent="0.3">
      <c r="A56" s="33">
        <v>55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8" t="str">
        <f t="shared" si="0"/>
        <v/>
      </c>
      <c r="E56" s="33" t="str">
        <f t="shared" si="0"/>
        <v/>
      </c>
      <c r="F56" s="33" t="str">
        <f t="shared" si="0"/>
        <v/>
      </c>
      <c r="G56" s="33" t="str">
        <f t="shared" si="0"/>
        <v/>
      </c>
      <c r="H56" s="33" t="str">
        <f t="shared" si="3"/>
        <v/>
      </c>
      <c r="I56" s="21" t="str">
        <f t="shared" si="2"/>
        <v/>
      </c>
    </row>
    <row r="57" spans="1:9" ht="15.6" x14ac:dyDescent="0.3">
      <c r="A57" s="33">
        <v>56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8" t="str">
        <f t="shared" si="0"/>
        <v/>
      </c>
      <c r="E57" s="33" t="str">
        <f t="shared" si="0"/>
        <v/>
      </c>
      <c r="F57" s="33" t="str">
        <f t="shared" si="0"/>
        <v/>
      </c>
      <c r="G57" s="33" t="str">
        <f t="shared" si="0"/>
        <v/>
      </c>
      <c r="H57" s="33" t="str">
        <f t="shared" si="3"/>
        <v/>
      </c>
      <c r="I57" s="21" t="str">
        <f t="shared" si="2"/>
        <v/>
      </c>
    </row>
    <row r="58" spans="1:9" ht="15.6" x14ac:dyDescent="0.3">
      <c r="A58" s="33">
        <v>57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8" t="str">
        <f t="shared" si="0"/>
        <v/>
      </c>
      <c r="E58" s="33" t="str">
        <f t="shared" si="0"/>
        <v/>
      </c>
      <c r="F58" s="33" t="str">
        <f t="shared" si="0"/>
        <v/>
      </c>
      <c r="G58" s="33" t="str">
        <f t="shared" si="0"/>
        <v/>
      </c>
      <c r="H58" s="33" t="str">
        <f t="shared" si="3"/>
        <v/>
      </c>
      <c r="I58" s="21" t="str">
        <f t="shared" si="2"/>
        <v/>
      </c>
    </row>
    <row r="59" spans="1:9" ht="15.6" x14ac:dyDescent="0.3">
      <c r="A59" s="33">
        <v>58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8" t="str">
        <f t="shared" si="0"/>
        <v/>
      </c>
      <c r="E59" s="33" t="str">
        <f t="shared" si="0"/>
        <v/>
      </c>
      <c r="F59" s="33" t="str">
        <f t="shared" si="0"/>
        <v/>
      </c>
      <c r="G59" s="33" t="str">
        <f t="shared" si="0"/>
        <v/>
      </c>
      <c r="H59" s="33" t="str">
        <f t="shared" si="3"/>
        <v/>
      </c>
      <c r="I59" s="21" t="str">
        <f t="shared" si="2"/>
        <v/>
      </c>
    </row>
    <row r="60" spans="1:9" ht="15.6" x14ac:dyDescent="0.3">
      <c r="A60" s="33">
        <v>59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8" t="str">
        <f t="shared" si="0"/>
        <v/>
      </c>
      <c r="E60" s="33" t="str">
        <f t="shared" si="0"/>
        <v/>
      </c>
      <c r="F60" s="33" t="str">
        <f t="shared" si="0"/>
        <v/>
      </c>
      <c r="G60" s="33" t="str">
        <f t="shared" si="0"/>
        <v/>
      </c>
      <c r="H60" s="33" t="str">
        <f t="shared" si="3"/>
        <v/>
      </c>
      <c r="I60" s="21" t="str">
        <f t="shared" si="2"/>
        <v/>
      </c>
    </row>
    <row r="61" spans="1:9" ht="15.6" x14ac:dyDescent="0.3">
      <c r="A61" s="33">
        <v>60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8" t="str">
        <f t="shared" si="0"/>
        <v/>
      </c>
      <c r="E61" s="33" t="str">
        <f t="shared" si="0"/>
        <v/>
      </c>
      <c r="F61" s="33" t="str">
        <f t="shared" si="0"/>
        <v/>
      </c>
      <c r="G61" s="33" t="str">
        <f t="shared" si="0"/>
        <v/>
      </c>
      <c r="H61" s="33" t="str">
        <f t="shared" si="3"/>
        <v/>
      </c>
      <c r="I61" s="21" t="str">
        <f t="shared" si="2"/>
        <v/>
      </c>
    </row>
    <row r="62" spans="1:9" ht="15.6" x14ac:dyDescent="0.3">
      <c r="A62" s="33">
        <v>61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8" t="str">
        <f t="shared" si="0"/>
        <v/>
      </c>
      <c r="E62" s="33" t="str">
        <f t="shared" si="0"/>
        <v/>
      </c>
      <c r="F62" s="33" t="str">
        <f t="shared" si="0"/>
        <v/>
      </c>
      <c r="G62" s="33" t="str">
        <f t="shared" si="0"/>
        <v/>
      </c>
      <c r="H62" s="33" t="str">
        <f t="shared" si="3"/>
        <v/>
      </c>
      <c r="I62" s="21" t="str">
        <f t="shared" si="2"/>
        <v/>
      </c>
    </row>
    <row r="63" spans="1:9" ht="15.6" x14ac:dyDescent="0.3">
      <c r="A63" s="33">
        <v>62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8" t="str">
        <f t="shared" si="0"/>
        <v/>
      </c>
      <c r="E63" s="33" t="str">
        <f t="shared" si="0"/>
        <v/>
      </c>
      <c r="F63" s="33" t="str">
        <f t="shared" si="0"/>
        <v/>
      </c>
      <c r="G63" s="33" t="str">
        <f t="shared" si="0"/>
        <v/>
      </c>
      <c r="H63" s="33" t="str">
        <f t="shared" si="3"/>
        <v/>
      </c>
      <c r="I63" s="21" t="str">
        <f t="shared" si="2"/>
        <v/>
      </c>
    </row>
    <row r="64" spans="1:9" ht="15.6" x14ac:dyDescent="0.3">
      <c r="A64" s="33">
        <v>63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8" t="str">
        <f t="shared" si="0"/>
        <v/>
      </c>
      <c r="E64" s="33" t="str">
        <f t="shared" si="0"/>
        <v/>
      </c>
      <c r="F64" s="33" t="str">
        <f t="shared" si="0"/>
        <v/>
      </c>
      <c r="G64" s="33" t="str">
        <f t="shared" si="0"/>
        <v/>
      </c>
      <c r="H64" s="33" t="str">
        <f t="shared" si="3"/>
        <v/>
      </c>
      <c r="I64" s="21" t="str">
        <f t="shared" si="2"/>
        <v/>
      </c>
    </row>
    <row r="65" spans="1:9" ht="15.6" x14ac:dyDescent="0.3">
      <c r="A65" s="33">
        <v>64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8" t="str">
        <f t="shared" si="0"/>
        <v/>
      </c>
      <c r="E65" s="33" t="str">
        <f t="shared" si="0"/>
        <v/>
      </c>
      <c r="F65" s="33" t="str">
        <f t="shared" si="0"/>
        <v/>
      </c>
      <c r="G65" s="33" t="str">
        <f t="shared" si="0"/>
        <v/>
      </c>
      <c r="H65" s="33" t="str">
        <f t="shared" si="3"/>
        <v/>
      </c>
      <c r="I65" s="21" t="str">
        <f t="shared" si="2"/>
        <v/>
      </c>
    </row>
    <row r="66" spans="1:9" ht="15.6" x14ac:dyDescent="0.3">
      <c r="A66" s="33">
        <v>65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8" t="str">
        <f t="shared" si="0"/>
        <v/>
      </c>
      <c r="E66" s="33" t="str">
        <f t="shared" si="0"/>
        <v/>
      </c>
      <c r="F66" s="33" t="str">
        <f t="shared" si="0"/>
        <v/>
      </c>
      <c r="G66" s="33" t="str">
        <f t="shared" ref="G66" si="4">IF($C66="","",0)</f>
        <v/>
      </c>
      <c r="H66" s="33" t="str">
        <f t="shared" si="3"/>
        <v/>
      </c>
      <c r="I66" s="21" t="str">
        <f t="shared" si="2"/>
        <v/>
      </c>
    </row>
    <row r="67" spans="1:9" ht="15.6" x14ac:dyDescent="0.3">
      <c r="A67" s="33">
        <v>66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8" t="str">
        <f t="shared" ref="D67:H99" si="5">IF($C67="","",0)</f>
        <v/>
      </c>
      <c r="E67" s="33" t="str">
        <f t="shared" si="5"/>
        <v/>
      </c>
      <c r="F67" s="33" t="str">
        <f t="shared" si="5"/>
        <v/>
      </c>
      <c r="G67" s="33" t="str">
        <f t="shared" si="5"/>
        <v/>
      </c>
      <c r="H67" s="33" t="str">
        <f t="shared" si="5"/>
        <v/>
      </c>
      <c r="I67" s="21" t="str">
        <f t="shared" ref="I67:I99" si="6">IF($C67="","",SUM(D67:H67))</f>
        <v/>
      </c>
    </row>
    <row r="68" spans="1:9" ht="15.6" x14ac:dyDescent="0.3">
      <c r="A68" s="33">
        <v>67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8" t="str">
        <f t="shared" si="5"/>
        <v/>
      </c>
      <c r="E68" s="33" t="str">
        <f t="shared" si="5"/>
        <v/>
      </c>
      <c r="F68" s="33" t="str">
        <f t="shared" si="5"/>
        <v/>
      </c>
      <c r="G68" s="33" t="str">
        <f t="shared" si="5"/>
        <v/>
      </c>
      <c r="H68" s="33" t="str">
        <f t="shared" si="5"/>
        <v/>
      </c>
      <c r="I68" s="21" t="str">
        <f t="shared" si="6"/>
        <v/>
      </c>
    </row>
    <row r="69" spans="1:9" ht="15.6" x14ac:dyDescent="0.3">
      <c r="A69" s="33">
        <v>68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8" t="str">
        <f t="shared" si="5"/>
        <v/>
      </c>
      <c r="E69" s="33" t="str">
        <f t="shared" si="5"/>
        <v/>
      </c>
      <c r="F69" s="33" t="str">
        <f t="shared" si="5"/>
        <v/>
      </c>
      <c r="G69" s="33" t="str">
        <f t="shared" si="5"/>
        <v/>
      </c>
      <c r="H69" s="33" t="str">
        <f t="shared" si="5"/>
        <v/>
      </c>
      <c r="I69" s="21" t="str">
        <f t="shared" si="6"/>
        <v/>
      </c>
    </row>
    <row r="70" spans="1:9" ht="15.6" x14ac:dyDescent="0.3">
      <c r="A70" s="33">
        <v>69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8" t="str">
        <f t="shared" si="5"/>
        <v/>
      </c>
      <c r="E70" s="33" t="str">
        <f t="shared" si="5"/>
        <v/>
      </c>
      <c r="F70" s="33" t="str">
        <f t="shared" si="5"/>
        <v/>
      </c>
      <c r="G70" s="33" t="str">
        <f t="shared" si="5"/>
        <v/>
      </c>
      <c r="H70" s="33" t="str">
        <f t="shared" si="5"/>
        <v/>
      </c>
      <c r="I70" s="21" t="str">
        <f t="shared" si="6"/>
        <v/>
      </c>
    </row>
    <row r="71" spans="1:9" ht="15.6" x14ac:dyDescent="0.3">
      <c r="A71" s="33">
        <v>70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8" t="str">
        <f t="shared" si="5"/>
        <v/>
      </c>
      <c r="E71" s="33" t="str">
        <f t="shared" si="5"/>
        <v/>
      </c>
      <c r="F71" s="33" t="str">
        <f t="shared" si="5"/>
        <v/>
      </c>
      <c r="G71" s="33" t="str">
        <f t="shared" si="5"/>
        <v/>
      </c>
      <c r="H71" s="33" t="str">
        <f t="shared" si="5"/>
        <v/>
      </c>
      <c r="I71" s="21" t="str">
        <f t="shared" si="6"/>
        <v/>
      </c>
    </row>
    <row r="72" spans="1:9" ht="15.6" x14ac:dyDescent="0.3">
      <c r="A72" s="33">
        <v>71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8" t="str">
        <f t="shared" si="5"/>
        <v/>
      </c>
      <c r="E72" s="33" t="str">
        <f t="shared" si="5"/>
        <v/>
      </c>
      <c r="F72" s="33" t="str">
        <f t="shared" si="5"/>
        <v/>
      </c>
      <c r="G72" s="33" t="str">
        <f t="shared" si="5"/>
        <v/>
      </c>
      <c r="H72" s="33" t="str">
        <f t="shared" si="5"/>
        <v/>
      </c>
      <c r="I72" s="21" t="str">
        <f t="shared" si="6"/>
        <v/>
      </c>
    </row>
    <row r="73" spans="1:9" ht="15.6" x14ac:dyDescent="0.3">
      <c r="A73" s="33">
        <v>72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8" t="str">
        <f t="shared" si="5"/>
        <v/>
      </c>
      <c r="E73" s="33" t="str">
        <f t="shared" si="5"/>
        <v/>
      </c>
      <c r="F73" s="33" t="str">
        <f t="shared" si="5"/>
        <v/>
      </c>
      <c r="G73" s="33" t="str">
        <f t="shared" si="5"/>
        <v/>
      </c>
      <c r="H73" s="33" t="str">
        <f t="shared" si="5"/>
        <v/>
      </c>
      <c r="I73" s="21" t="str">
        <f t="shared" si="6"/>
        <v/>
      </c>
    </row>
    <row r="74" spans="1:9" ht="15.6" x14ac:dyDescent="0.3">
      <c r="A74" s="33">
        <v>73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8" t="str">
        <f t="shared" si="5"/>
        <v/>
      </c>
      <c r="E74" s="33" t="str">
        <f t="shared" si="5"/>
        <v/>
      </c>
      <c r="F74" s="33" t="str">
        <f t="shared" si="5"/>
        <v/>
      </c>
      <c r="G74" s="33" t="str">
        <f t="shared" si="5"/>
        <v/>
      </c>
      <c r="H74" s="33" t="str">
        <f t="shared" si="5"/>
        <v/>
      </c>
      <c r="I74" s="21" t="str">
        <f t="shared" si="6"/>
        <v/>
      </c>
    </row>
    <row r="75" spans="1:9" ht="15.6" x14ac:dyDescent="0.3">
      <c r="A75" s="33">
        <v>74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8" t="str">
        <f t="shared" si="5"/>
        <v/>
      </c>
      <c r="E75" s="33" t="str">
        <f t="shared" si="5"/>
        <v/>
      </c>
      <c r="F75" s="33" t="str">
        <f t="shared" si="5"/>
        <v/>
      </c>
      <c r="G75" s="33" t="str">
        <f t="shared" si="5"/>
        <v/>
      </c>
      <c r="H75" s="33" t="str">
        <f t="shared" si="5"/>
        <v/>
      </c>
      <c r="I75" s="21" t="str">
        <f t="shared" si="6"/>
        <v/>
      </c>
    </row>
    <row r="76" spans="1:9" ht="15.6" x14ac:dyDescent="0.3">
      <c r="A76" s="33">
        <v>75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8" t="str">
        <f t="shared" si="5"/>
        <v/>
      </c>
      <c r="E76" s="33" t="str">
        <f t="shared" si="5"/>
        <v/>
      </c>
      <c r="F76" s="33" t="str">
        <f t="shared" si="5"/>
        <v/>
      </c>
      <c r="G76" s="33" t="str">
        <f t="shared" si="5"/>
        <v/>
      </c>
      <c r="H76" s="33" t="str">
        <f t="shared" si="5"/>
        <v/>
      </c>
      <c r="I76" s="21" t="str">
        <f t="shared" si="6"/>
        <v/>
      </c>
    </row>
    <row r="77" spans="1:9" ht="15.6" x14ac:dyDescent="0.3">
      <c r="A77" s="33">
        <v>76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8" t="str">
        <f t="shared" si="5"/>
        <v/>
      </c>
      <c r="E77" s="33" t="str">
        <f t="shared" si="5"/>
        <v/>
      </c>
      <c r="F77" s="33" t="str">
        <f t="shared" si="5"/>
        <v/>
      </c>
      <c r="G77" s="33" t="str">
        <f t="shared" si="5"/>
        <v/>
      </c>
      <c r="H77" s="33" t="str">
        <f t="shared" si="5"/>
        <v/>
      </c>
      <c r="I77" s="21" t="str">
        <f t="shared" si="6"/>
        <v/>
      </c>
    </row>
    <row r="78" spans="1:9" ht="15.6" x14ac:dyDescent="0.3">
      <c r="A78" s="33">
        <v>77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8" t="str">
        <f t="shared" si="5"/>
        <v/>
      </c>
      <c r="E78" s="33" t="str">
        <f t="shared" si="5"/>
        <v/>
      </c>
      <c r="F78" s="33" t="str">
        <f t="shared" si="5"/>
        <v/>
      </c>
      <c r="G78" s="33" t="str">
        <f t="shared" si="5"/>
        <v/>
      </c>
      <c r="H78" s="33" t="str">
        <f t="shared" si="5"/>
        <v/>
      </c>
      <c r="I78" s="21" t="str">
        <f t="shared" si="6"/>
        <v/>
      </c>
    </row>
    <row r="79" spans="1:9" ht="15.6" x14ac:dyDescent="0.3">
      <c r="A79" s="33">
        <v>78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8" t="str">
        <f t="shared" si="5"/>
        <v/>
      </c>
      <c r="E79" s="33" t="str">
        <f t="shared" si="5"/>
        <v/>
      </c>
      <c r="F79" s="33" t="str">
        <f t="shared" si="5"/>
        <v/>
      </c>
      <c r="G79" s="33" t="str">
        <f t="shared" si="5"/>
        <v/>
      </c>
      <c r="H79" s="33" t="str">
        <f t="shared" si="5"/>
        <v/>
      </c>
      <c r="I79" s="21" t="str">
        <f t="shared" si="6"/>
        <v/>
      </c>
    </row>
    <row r="80" spans="1:9" ht="15.6" x14ac:dyDescent="0.3">
      <c r="A80" s="33">
        <v>79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8" t="str">
        <f t="shared" si="5"/>
        <v/>
      </c>
      <c r="E80" s="33" t="str">
        <f t="shared" si="5"/>
        <v/>
      </c>
      <c r="F80" s="33" t="str">
        <f t="shared" si="5"/>
        <v/>
      </c>
      <c r="G80" s="33" t="str">
        <f t="shared" si="5"/>
        <v/>
      </c>
      <c r="H80" s="33" t="str">
        <f t="shared" si="5"/>
        <v/>
      </c>
      <c r="I80" s="21" t="str">
        <f t="shared" si="6"/>
        <v/>
      </c>
    </row>
    <row r="81" spans="1:9" ht="15.6" x14ac:dyDescent="0.3">
      <c r="A81" s="33">
        <v>80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8" t="str">
        <f t="shared" si="5"/>
        <v/>
      </c>
      <c r="E81" s="33" t="str">
        <f t="shared" si="5"/>
        <v/>
      </c>
      <c r="F81" s="33" t="str">
        <f t="shared" si="5"/>
        <v/>
      </c>
      <c r="G81" s="33" t="str">
        <f t="shared" si="5"/>
        <v/>
      </c>
      <c r="H81" s="33" t="str">
        <f t="shared" si="5"/>
        <v/>
      </c>
      <c r="I81" s="21" t="str">
        <f t="shared" si="6"/>
        <v/>
      </c>
    </row>
    <row r="82" spans="1:9" ht="15.6" x14ac:dyDescent="0.3">
      <c r="A82" s="33">
        <v>81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8" t="str">
        <f t="shared" si="5"/>
        <v/>
      </c>
      <c r="E82" s="33" t="str">
        <f t="shared" si="5"/>
        <v/>
      </c>
      <c r="F82" s="33" t="str">
        <f t="shared" si="5"/>
        <v/>
      </c>
      <c r="G82" s="33" t="str">
        <f t="shared" si="5"/>
        <v/>
      </c>
      <c r="H82" s="33" t="str">
        <f t="shared" si="5"/>
        <v/>
      </c>
      <c r="I82" s="21" t="str">
        <f t="shared" si="6"/>
        <v/>
      </c>
    </row>
    <row r="83" spans="1:9" ht="15.6" x14ac:dyDescent="0.3">
      <c r="A83" s="33">
        <v>82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8" t="str">
        <f t="shared" si="5"/>
        <v/>
      </c>
      <c r="E83" s="33" t="str">
        <f t="shared" si="5"/>
        <v/>
      </c>
      <c r="F83" s="33" t="str">
        <f t="shared" si="5"/>
        <v/>
      </c>
      <c r="G83" s="33" t="str">
        <f t="shared" si="5"/>
        <v/>
      </c>
      <c r="H83" s="33" t="str">
        <f t="shared" si="5"/>
        <v/>
      </c>
      <c r="I83" s="21" t="str">
        <f t="shared" si="6"/>
        <v/>
      </c>
    </row>
    <row r="84" spans="1:9" ht="15.6" x14ac:dyDescent="0.3">
      <c r="A84" s="33">
        <v>83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8" t="str">
        <f t="shared" si="5"/>
        <v/>
      </c>
      <c r="E84" s="33" t="str">
        <f t="shared" si="5"/>
        <v/>
      </c>
      <c r="F84" s="33" t="str">
        <f t="shared" si="5"/>
        <v/>
      </c>
      <c r="G84" s="33" t="str">
        <f t="shared" si="5"/>
        <v/>
      </c>
      <c r="H84" s="33" t="str">
        <f t="shared" si="5"/>
        <v/>
      </c>
      <c r="I84" s="21" t="str">
        <f t="shared" si="6"/>
        <v/>
      </c>
    </row>
    <row r="85" spans="1:9" ht="15.6" x14ac:dyDescent="0.3">
      <c r="A85" s="33">
        <v>84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8" t="str">
        <f t="shared" si="5"/>
        <v/>
      </c>
      <c r="E85" s="33" t="str">
        <f t="shared" si="5"/>
        <v/>
      </c>
      <c r="F85" s="33" t="str">
        <f t="shared" si="5"/>
        <v/>
      </c>
      <c r="G85" s="33" t="str">
        <f t="shared" si="5"/>
        <v/>
      </c>
      <c r="H85" s="33" t="str">
        <f t="shared" si="5"/>
        <v/>
      </c>
      <c r="I85" s="21" t="str">
        <f t="shared" si="6"/>
        <v/>
      </c>
    </row>
    <row r="86" spans="1:9" ht="15.6" x14ac:dyDescent="0.3">
      <c r="A86" s="33">
        <v>85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8" t="str">
        <f t="shared" si="5"/>
        <v/>
      </c>
      <c r="E86" s="33" t="str">
        <f t="shared" si="5"/>
        <v/>
      </c>
      <c r="F86" s="33" t="str">
        <f t="shared" si="5"/>
        <v/>
      </c>
      <c r="G86" s="33" t="str">
        <f t="shared" si="5"/>
        <v/>
      </c>
      <c r="H86" s="33" t="str">
        <f t="shared" si="5"/>
        <v/>
      </c>
      <c r="I86" s="21" t="str">
        <f t="shared" si="6"/>
        <v/>
      </c>
    </row>
    <row r="87" spans="1:9" ht="15.6" x14ac:dyDescent="0.3">
      <c r="A87" s="33">
        <v>86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8" t="str">
        <f t="shared" si="5"/>
        <v/>
      </c>
      <c r="E87" s="33" t="str">
        <f t="shared" si="5"/>
        <v/>
      </c>
      <c r="F87" s="33" t="str">
        <f t="shared" si="5"/>
        <v/>
      </c>
      <c r="G87" s="33" t="str">
        <f t="shared" si="5"/>
        <v/>
      </c>
      <c r="H87" s="33" t="str">
        <f t="shared" si="5"/>
        <v/>
      </c>
      <c r="I87" s="21" t="str">
        <f t="shared" si="6"/>
        <v/>
      </c>
    </row>
    <row r="88" spans="1:9" ht="15.6" x14ac:dyDescent="0.3">
      <c r="A88" s="33">
        <v>87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8" t="str">
        <f t="shared" si="5"/>
        <v/>
      </c>
      <c r="E88" s="33" t="str">
        <f t="shared" si="5"/>
        <v/>
      </c>
      <c r="F88" s="33" t="str">
        <f t="shared" si="5"/>
        <v/>
      </c>
      <c r="G88" s="33" t="str">
        <f t="shared" si="5"/>
        <v/>
      </c>
      <c r="H88" s="33" t="str">
        <f t="shared" si="5"/>
        <v/>
      </c>
      <c r="I88" s="21" t="str">
        <f t="shared" si="6"/>
        <v/>
      </c>
    </row>
    <row r="89" spans="1:9" ht="15.6" x14ac:dyDescent="0.3">
      <c r="A89" s="33">
        <v>88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8" t="str">
        <f t="shared" si="5"/>
        <v/>
      </c>
      <c r="E89" s="33" t="str">
        <f t="shared" si="5"/>
        <v/>
      </c>
      <c r="F89" s="33" t="str">
        <f t="shared" si="5"/>
        <v/>
      </c>
      <c r="G89" s="33" t="str">
        <f t="shared" si="5"/>
        <v/>
      </c>
      <c r="H89" s="33" t="str">
        <f t="shared" si="5"/>
        <v/>
      </c>
      <c r="I89" s="21" t="str">
        <f t="shared" si="6"/>
        <v/>
      </c>
    </row>
    <row r="90" spans="1:9" ht="15.6" x14ac:dyDescent="0.3">
      <c r="A90" s="33">
        <v>89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8" t="str">
        <f t="shared" si="5"/>
        <v/>
      </c>
      <c r="E90" s="33" t="str">
        <f t="shared" si="5"/>
        <v/>
      </c>
      <c r="F90" s="33" t="str">
        <f t="shared" si="5"/>
        <v/>
      </c>
      <c r="G90" s="33" t="str">
        <f t="shared" si="5"/>
        <v/>
      </c>
      <c r="H90" s="33" t="str">
        <f t="shared" si="5"/>
        <v/>
      </c>
      <c r="I90" s="21" t="str">
        <f t="shared" si="6"/>
        <v/>
      </c>
    </row>
    <row r="91" spans="1:9" ht="15.6" x14ac:dyDescent="0.3">
      <c r="A91" s="33">
        <v>90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8" t="str">
        <f t="shared" si="5"/>
        <v/>
      </c>
      <c r="E91" s="33" t="str">
        <f t="shared" si="5"/>
        <v/>
      </c>
      <c r="F91" s="33" t="str">
        <f t="shared" si="5"/>
        <v/>
      </c>
      <c r="G91" s="33" t="str">
        <f t="shared" si="5"/>
        <v/>
      </c>
      <c r="H91" s="33" t="str">
        <f t="shared" si="5"/>
        <v/>
      </c>
      <c r="I91" s="21" t="str">
        <f t="shared" si="6"/>
        <v/>
      </c>
    </row>
    <row r="92" spans="1:9" ht="15.6" x14ac:dyDescent="0.3">
      <c r="A92" s="33">
        <v>91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8" t="str">
        <f t="shared" si="5"/>
        <v/>
      </c>
      <c r="E92" s="33" t="str">
        <f t="shared" si="5"/>
        <v/>
      </c>
      <c r="F92" s="33" t="str">
        <f t="shared" si="5"/>
        <v/>
      </c>
      <c r="G92" s="33" t="str">
        <f t="shared" si="5"/>
        <v/>
      </c>
      <c r="H92" s="33" t="str">
        <f t="shared" si="5"/>
        <v/>
      </c>
      <c r="I92" s="21" t="str">
        <f t="shared" si="6"/>
        <v/>
      </c>
    </row>
    <row r="93" spans="1:9" ht="15.6" x14ac:dyDescent="0.3">
      <c r="A93" s="33">
        <v>92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8" t="str">
        <f t="shared" si="5"/>
        <v/>
      </c>
      <c r="E93" s="33" t="str">
        <f t="shared" si="5"/>
        <v/>
      </c>
      <c r="F93" s="33" t="str">
        <f t="shared" si="5"/>
        <v/>
      </c>
      <c r="G93" s="33" t="str">
        <f t="shared" si="5"/>
        <v/>
      </c>
      <c r="H93" s="33" t="str">
        <f t="shared" si="5"/>
        <v/>
      </c>
      <c r="I93" s="21" t="str">
        <f t="shared" si="6"/>
        <v/>
      </c>
    </row>
    <row r="94" spans="1:9" ht="15.6" x14ac:dyDescent="0.3">
      <c r="A94" s="33">
        <v>93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8" t="str">
        <f t="shared" si="5"/>
        <v/>
      </c>
      <c r="E94" s="33" t="str">
        <f t="shared" si="5"/>
        <v/>
      </c>
      <c r="F94" s="33" t="str">
        <f t="shared" si="5"/>
        <v/>
      </c>
      <c r="G94" s="33" t="str">
        <f t="shared" si="5"/>
        <v/>
      </c>
      <c r="H94" s="33" t="str">
        <f t="shared" si="5"/>
        <v/>
      </c>
      <c r="I94" s="21" t="str">
        <f t="shared" si="6"/>
        <v/>
      </c>
    </row>
    <row r="95" spans="1:9" ht="15.6" x14ac:dyDescent="0.3">
      <c r="A95" s="33">
        <v>94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8" t="str">
        <f t="shared" si="5"/>
        <v/>
      </c>
      <c r="E95" s="33" t="str">
        <f t="shared" si="5"/>
        <v/>
      </c>
      <c r="F95" s="33" t="str">
        <f t="shared" si="5"/>
        <v/>
      </c>
      <c r="G95" s="33" t="str">
        <f t="shared" si="5"/>
        <v/>
      </c>
      <c r="H95" s="33" t="str">
        <f t="shared" si="5"/>
        <v/>
      </c>
      <c r="I95" s="21" t="str">
        <f t="shared" si="6"/>
        <v/>
      </c>
    </row>
    <row r="96" spans="1:9" ht="15.6" x14ac:dyDescent="0.3">
      <c r="A96" s="33">
        <v>95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8" t="str">
        <f t="shared" si="5"/>
        <v/>
      </c>
      <c r="E96" s="33" t="str">
        <f t="shared" si="5"/>
        <v/>
      </c>
      <c r="F96" s="33" t="str">
        <f t="shared" si="5"/>
        <v/>
      </c>
      <c r="G96" s="33" t="str">
        <f t="shared" si="5"/>
        <v/>
      </c>
      <c r="H96" s="33" t="str">
        <f t="shared" si="5"/>
        <v/>
      </c>
      <c r="I96" s="21" t="str">
        <f t="shared" si="6"/>
        <v/>
      </c>
    </row>
    <row r="97" spans="1:9" ht="15.6" x14ac:dyDescent="0.3">
      <c r="A97" s="33">
        <v>96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8" t="str">
        <f t="shared" si="5"/>
        <v/>
      </c>
      <c r="E97" s="33" t="str">
        <f t="shared" si="5"/>
        <v/>
      </c>
      <c r="F97" s="33" t="str">
        <f t="shared" si="5"/>
        <v/>
      </c>
      <c r="G97" s="33" t="str">
        <f t="shared" si="5"/>
        <v/>
      </c>
      <c r="H97" s="33" t="str">
        <f t="shared" si="5"/>
        <v/>
      </c>
      <c r="I97" s="21" t="str">
        <f t="shared" si="6"/>
        <v/>
      </c>
    </row>
    <row r="98" spans="1:9" ht="15.6" x14ac:dyDescent="0.3">
      <c r="A98" s="33">
        <v>97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8" t="str">
        <f t="shared" si="5"/>
        <v/>
      </c>
      <c r="E98" s="33" t="str">
        <f t="shared" si="5"/>
        <v/>
      </c>
      <c r="F98" s="33" t="str">
        <f t="shared" si="5"/>
        <v/>
      </c>
      <c r="G98" s="33" t="str">
        <f t="shared" si="5"/>
        <v/>
      </c>
      <c r="H98" s="33" t="str">
        <f t="shared" si="5"/>
        <v/>
      </c>
      <c r="I98" s="21" t="str">
        <f t="shared" si="6"/>
        <v/>
      </c>
    </row>
    <row r="99" spans="1:9" ht="15.6" x14ac:dyDescent="0.3">
      <c r="A99" s="33">
        <v>98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8" t="str">
        <f t="shared" si="5"/>
        <v/>
      </c>
      <c r="E99" s="33" t="str">
        <f t="shared" si="5"/>
        <v/>
      </c>
      <c r="F99" s="33" t="str">
        <f t="shared" si="5"/>
        <v/>
      </c>
      <c r="G99" s="33" t="str">
        <f t="shared" si="5"/>
        <v/>
      </c>
      <c r="H99" s="33" t="str">
        <f t="shared" si="5"/>
        <v/>
      </c>
      <c r="I99" s="21" t="str">
        <f t="shared" si="6"/>
        <v/>
      </c>
    </row>
  </sheetData>
  <autoFilter ref="B1:I1" xr:uid="{6EEB1353-FE61-48FA-95F6-61A0ECCD01E1}"/>
  <conditionalFormatting sqref="B1:I99">
    <cfRule type="cellIs" dxfId="2684" priority="3" operator="equal">
      <formula>""</formula>
    </cfRule>
  </conditionalFormatting>
  <conditionalFormatting sqref="B1:C99 E1:E99 G1:G99">
    <cfRule type="cellIs" dxfId="2683" priority="2" operator="notEqual">
      <formula>""</formula>
    </cfRule>
  </conditionalFormatting>
  <conditionalFormatting sqref="D1:D99 F1:F99 H1:H99">
    <cfRule type="cellIs" dxfId="2682" priority="1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lessThan" id="{7C617E29-8A4E-4ADF-B323-08A0A97A67D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" operator="greaterThanOrEqual" id="{DD91C402-EAF6-4B0C-8D15-DC3D5A6B0E28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I2:I99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40F4C-C0F5-46BB-A467-A5FCC3661192}">
  <sheetPr codeName="Planilha7"/>
  <dimension ref="A1:O1686"/>
  <sheetViews>
    <sheetView tabSelected="1" zoomScale="85" zoomScaleNormal="85" workbookViewId="0">
      <selection activeCell="A2" sqref="A2"/>
    </sheetView>
  </sheetViews>
  <sheetFormatPr defaultColWidth="9.109375" defaultRowHeight="14.4" x14ac:dyDescent="0.3"/>
  <cols>
    <col min="1" max="1" width="48" style="7" customWidth="1"/>
    <col min="2" max="2" width="20.44140625" style="7" customWidth="1"/>
    <col min="3" max="3" width="18" style="7" customWidth="1"/>
    <col min="4" max="4" width="18.44140625" style="7" customWidth="1"/>
    <col min="5" max="6" width="14.33203125" style="7" customWidth="1"/>
    <col min="7" max="7" width="15.44140625" style="7" customWidth="1"/>
    <col min="8" max="8" width="17.33203125" style="7" customWidth="1"/>
    <col min="9" max="12" width="14.33203125" style="7" customWidth="1"/>
    <col min="13" max="13" width="16.33203125" style="7" customWidth="1"/>
    <col min="14" max="14" width="3.44140625" style="7" customWidth="1"/>
    <col min="15" max="15" width="3.33203125" style="7" customWidth="1"/>
    <col min="16" max="16384" width="9.109375" style="7"/>
  </cols>
  <sheetData>
    <row r="1" spans="1:15" ht="28.8" thickBot="1" x14ac:dyDescent="0.55000000000000004">
      <c r="A1" s="59"/>
      <c r="B1" s="60"/>
      <c r="C1" s="60"/>
      <c r="D1" s="60" t="s">
        <v>84</v>
      </c>
      <c r="E1" s="60"/>
      <c r="F1" s="60"/>
      <c r="G1" s="60"/>
      <c r="H1" s="60"/>
      <c r="I1" s="60"/>
      <c r="J1" s="60"/>
      <c r="K1" s="60"/>
      <c r="L1" s="60"/>
      <c r="M1" s="61"/>
      <c r="N1" s="10"/>
      <c r="O1" s="10"/>
    </row>
    <row r="2" spans="1:15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x14ac:dyDescent="0.3">
      <c r="A4" s="13" t="s">
        <v>38</v>
      </c>
      <c r="B4" s="1" t="s">
        <v>35</v>
      </c>
      <c r="C4" s="1" t="s">
        <v>56</v>
      </c>
      <c r="D4" s="1" t="s">
        <v>57</v>
      </c>
      <c r="E4" s="1" t="s">
        <v>58</v>
      </c>
      <c r="F4" s="1" t="s">
        <v>59</v>
      </c>
      <c r="G4" s="1" t="s">
        <v>60</v>
      </c>
      <c r="H4" s="1" t="s">
        <v>36</v>
      </c>
      <c r="I4" s="1" t="s">
        <v>61</v>
      </c>
      <c r="J4" s="1" t="s">
        <v>34</v>
      </c>
      <c r="K4" s="1" t="s">
        <v>62</v>
      </c>
      <c r="L4" s="16" t="s">
        <v>33</v>
      </c>
      <c r="M4" s="1" t="s">
        <v>37</v>
      </c>
      <c r="N4" s="10"/>
      <c r="O4" s="10"/>
    </row>
    <row r="5" spans="1:15" ht="15.75" customHeight="1" x14ac:dyDescent="0.3">
      <c r="A5" s="13" t="str" cm="1">
        <f t="array" ref="A5">IF(ISERROR(INDEX(ListaDeAlunos,(((ROW()-2)/17)+1),(COLUMN()+1))),"",INDEX(ListaDeAlunos,(((ROW()-2)/17)+1),(COLUMN()+1)))</f>
        <v>LEONARDO MESQUITA</v>
      </c>
      <c r="B5" s="17">
        <f>VLOOKUP($A5,NotaIndividualPorAlunoPROVAO,2,0)</f>
        <v>0</v>
      </c>
      <c r="C5" s="18">
        <f>VLOOKUP($A5,NotaIndividualPorAlunoPROVAO,3,0)</f>
        <v>0</v>
      </c>
      <c r="D5" s="17">
        <f>VLOOKUP($A5,NotaIndividualPorAlunoPROVAO,4,0)</f>
        <v>0</v>
      </c>
      <c r="E5" s="18">
        <f>VLOOKUP($A5,NotaIndividualPorAlunoPROVAO,5,0)</f>
        <v>0</v>
      </c>
      <c r="F5" s="17">
        <f>VLOOKUP($A5,NotaIndividualPorAlunoPROVAO,6,0)</f>
        <v>0</v>
      </c>
      <c r="G5" s="18">
        <f>VLOOKUP($A5,NotaIndividualPorAlunoPROVAO,7,0)</f>
        <v>0</v>
      </c>
      <c r="H5" s="17">
        <f>VLOOKUP($A5,NotaIndividualPorAlunoPROVAO,8,0)</f>
        <v>0</v>
      </c>
      <c r="I5" s="18">
        <f>VLOOKUP($A5,NotaIndividualPorAlunoPROVAO,9,0)</f>
        <v>0</v>
      </c>
      <c r="J5" s="17">
        <f>VLOOKUP($A5,NotaIndividualPorAlunoPROVAO,10,0)</f>
        <v>0</v>
      </c>
      <c r="K5" s="18">
        <f>VLOOKUP($A5,NotaIndividualPorAlunoPROVAO,11,0)</f>
        <v>0</v>
      </c>
      <c r="L5" s="15">
        <f>VLOOKUP($A5,NotaIndividualPorAlunoPROVAO,12,0)</f>
        <v>0</v>
      </c>
      <c r="M5" s="25">
        <f>VLOOKUP($A5,NotaIndividualPorAlunoPROVAO,13,0)</f>
        <v>0</v>
      </c>
      <c r="N5" s="10"/>
      <c r="O5" s="10"/>
    </row>
    <row r="6" spans="1:15" ht="15" customHeight="1" x14ac:dyDescent="0.3">
      <c r="N6" s="10"/>
      <c r="O6" s="10"/>
    </row>
    <row r="7" spans="1:15" x14ac:dyDescent="0.3">
      <c r="A7" s="72" t="str">
        <f>A5</f>
        <v>LEONARDO MESQUITA</v>
      </c>
      <c r="B7" s="73" t="s">
        <v>15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6</v>
      </c>
      <c r="H7" s="1" t="s">
        <v>7</v>
      </c>
      <c r="I7" s="1" t="s">
        <v>8</v>
      </c>
      <c r="J7" s="1" t="s">
        <v>9</v>
      </c>
      <c r="K7" s="1" t="s">
        <v>10</v>
      </c>
      <c r="L7" s="1" t="s">
        <v>11</v>
      </c>
      <c r="M7" s="1" t="s">
        <v>13</v>
      </c>
      <c r="N7" s="10"/>
      <c r="O7" s="10"/>
    </row>
    <row r="8" spans="1:15" ht="15.75" customHeight="1" x14ac:dyDescent="0.3">
      <c r="A8" s="72"/>
      <c r="B8" s="73"/>
      <c r="C8" s="5">
        <f t="shared" ref="C8:L8" si="0">VLOOKUP($A7,NotaIndividualPorAlunoMAT,RIGHT(C7,2)+1,0)</f>
        <v>0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>
        <f t="shared" si="0"/>
        <v>0</v>
      </c>
      <c r="K8" s="5">
        <f t="shared" si="0"/>
        <v>0</v>
      </c>
      <c r="L8" s="5">
        <f t="shared" si="0"/>
        <v>0</v>
      </c>
      <c r="M8" s="19">
        <f>VLOOKUP($A7,NotaIndividualPorAlunoMAT,RIGHT(L7,2)+2,0)</f>
        <v>0</v>
      </c>
      <c r="N8" s="10"/>
      <c r="O8" s="10"/>
    </row>
    <row r="9" spans="1:15" ht="15" customHeight="1" x14ac:dyDescent="0.3">
      <c r="A9" s="72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0"/>
      <c r="O9" s="10"/>
    </row>
    <row r="10" spans="1:15" x14ac:dyDescent="0.3">
      <c r="A10" s="72"/>
      <c r="B10" s="73" t="s">
        <v>14</v>
      </c>
      <c r="C10" s="1" t="s">
        <v>46</v>
      </c>
      <c r="D10" s="1" t="s">
        <v>47</v>
      </c>
      <c r="E10" s="1" t="s">
        <v>48</v>
      </c>
      <c r="F10" s="1" t="s">
        <v>49</v>
      </c>
      <c r="G10" s="1" t="s">
        <v>50</v>
      </c>
      <c r="H10" s="1" t="s">
        <v>51</v>
      </c>
      <c r="I10" s="1" t="s">
        <v>52</v>
      </c>
      <c r="J10" s="1" t="s">
        <v>53</v>
      </c>
      <c r="K10" s="1" t="s">
        <v>54</v>
      </c>
      <c r="L10" s="1" t="s">
        <v>55</v>
      </c>
      <c r="M10" s="1" t="s">
        <v>13</v>
      </c>
      <c r="N10" s="10"/>
      <c r="O10" s="10"/>
    </row>
    <row r="11" spans="1:15" ht="15.75" customHeight="1" x14ac:dyDescent="0.3">
      <c r="A11" s="72"/>
      <c r="B11" s="73"/>
      <c r="C11" s="3">
        <f t="shared" ref="C11:L11" si="1">VLOOKUP($A7,NotaIndividualPorAlunoQUI,RIGHT(C10,2)-9,0)</f>
        <v>0</v>
      </c>
      <c r="D11" s="3">
        <f t="shared" si="1"/>
        <v>0</v>
      </c>
      <c r="E11" s="3">
        <f t="shared" si="1"/>
        <v>0</v>
      </c>
      <c r="F11" s="3">
        <f t="shared" si="1"/>
        <v>0</v>
      </c>
      <c r="G11" s="3">
        <f t="shared" si="1"/>
        <v>0</v>
      </c>
      <c r="H11" s="3">
        <f t="shared" si="1"/>
        <v>0</v>
      </c>
      <c r="I11" s="3">
        <f t="shared" si="1"/>
        <v>0</v>
      </c>
      <c r="J11" s="3">
        <f t="shared" si="1"/>
        <v>0</v>
      </c>
      <c r="K11" s="3">
        <f t="shared" si="1"/>
        <v>0</v>
      </c>
      <c r="L11" s="3">
        <f t="shared" si="1"/>
        <v>0</v>
      </c>
      <c r="M11" s="19">
        <f>VLOOKUP($A7,NotaIndividualPorAlunoQUI,RIGHT(L10,2)-8,0)</f>
        <v>0</v>
      </c>
      <c r="N11" s="10"/>
      <c r="O11" s="10"/>
    </row>
    <row r="12" spans="1:15" x14ac:dyDescent="0.3">
      <c r="A12" s="72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0"/>
      <c r="O12" s="10"/>
    </row>
    <row r="13" spans="1:15" x14ac:dyDescent="0.3">
      <c r="A13" s="72"/>
      <c r="B13" s="73" t="s">
        <v>12</v>
      </c>
      <c r="C13" s="1" t="s">
        <v>2</v>
      </c>
      <c r="D13" s="1" t="s">
        <v>3</v>
      </c>
      <c r="E13" s="1" t="s">
        <v>4</v>
      </c>
      <c r="F13" s="1" t="s">
        <v>5</v>
      </c>
      <c r="G13" s="1" t="s">
        <v>6</v>
      </c>
      <c r="H13" s="1" t="s">
        <v>7</v>
      </c>
      <c r="I13" s="1" t="s">
        <v>8</v>
      </c>
      <c r="J13" s="1" t="s">
        <v>9</v>
      </c>
      <c r="K13" s="1" t="s">
        <v>10</v>
      </c>
      <c r="L13" s="1" t="s">
        <v>11</v>
      </c>
      <c r="M13" s="1" t="s">
        <v>13</v>
      </c>
      <c r="N13" s="10"/>
      <c r="O13" s="10"/>
    </row>
    <row r="14" spans="1:15" ht="16.5" customHeight="1" x14ac:dyDescent="0.3">
      <c r="A14" s="72"/>
      <c r="B14" s="73"/>
      <c r="C14" s="3">
        <f t="shared" ref="C14:L14" si="2">VLOOKUP($A7,NotaIndividualPorAlunoFIS,RIGHT(C13,2)+1,0)</f>
        <v>0</v>
      </c>
      <c r="D14" s="3">
        <f t="shared" si="2"/>
        <v>0</v>
      </c>
      <c r="E14" s="3">
        <f t="shared" si="2"/>
        <v>0</v>
      </c>
      <c r="F14" s="3">
        <f t="shared" si="2"/>
        <v>0</v>
      </c>
      <c r="G14" s="3">
        <f t="shared" si="2"/>
        <v>0</v>
      </c>
      <c r="H14" s="3">
        <f t="shared" si="2"/>
        <v>0</v>
      </c>
      <c r="I14" s="3">
        <f t="shared" si="2"/>
        <v>0</v>
      </c>
      <c r="J14" s="3">
        <f t="shared" si="2"/>
        <v>0</v>
      </c>
      <c r="K14" s="3">
        <f t="shared" si="2"/>
        <v>0</v>
      </c>
      <c r="L14" s="3">
        <f t="shared" si="2"/>
        <v>0</v>
      </c>
      <c r="M14" s="19">
        <f>VLOOKUP($A7,NotaIndividualPorAlunoFIS,RIGHT(L13,2)+2,0)</f>
        <v>0</v>
      </c>
      <c r="N14" s="10"/>
      <c r="O14" s="10"/>
    </row>
    <row r="15" spans="1:15" ht="15.6" x14ac:dyDescent="0.3">
      <c r="A15" s="72"/>
      <c r="B15" s="12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/>
      <c r="O15" s="10"/>
    </row>
    <row r="16" spans="1:15" ht="15.6" x14ac:dyDescent="0.3">
      <c r="A16" s="72"/>
      <c r="B16" s="73" t="s">
        <v>16</v>
      </c>
      <c r="C16" s="23" t="s">
        <v>41</v>
      </c>
      <c r="D16" s="22" t="s">
        <v>42</v>
      </c>
      <c r="E16" s="23" t="s">
        <v>43</v>
      </c>
      <c r="F16" s="22" t="s">
        <v>44</v>
      </c>
      <c r="G16" s="23" t="s">
        <v>63</v>
      </c>
      <c r="H16" s="22" t="s">
        <v>32</v>
      </c>
      <c r="I16" s="14"/>
      <c r="J16" s="14"/>
      <c r="K16" s="14"/>
      <c r="L16" s="14"/>
      <c r="M16" s="15" t="s">
        <v>18</v>
      </c>
      <c r="N16" s="10"/>
      <c r="O16" s="10"/>
    </row>
    <row r="17" spans="1:15" ht="15.6" x14ac:dyDescent="0.3">
      <c r="A17" s="72"/>
      <c r="B17" s="73"/>
      <c r="C17" s="26">
        <f>VLOOKUP($A7,NotaIndividualPorAlunoRED,2,0)</f>
        <v>0</v>
      </c>
      <c r="D17" s="26">
        <f>VLOOKUP($A7,NotaIndividualPorAlunoRED,3,0)</f>
        <v>0</v>
      </c>
      <c r="E17" s="26">
        <f>VLOOKUP($A7,NotaIndividualPorAlunoRED,4,0)</f>
        <v>0</v>
      </c>
      <c r="F17" s="26">
        <f>VLOOKUP($A7,NotaIndividualPorAlunoRED,5,0)</f>
        <v>0</v>
      </c>
      <c r="G17" s="26">
        <f>VLOOKUP($A7,NotaIndividualPorAlunoRED,6,0)</f>
        <v>0</v>
      </c>
      <c r="H17" s="21">
        <f>VLOOKUP($A7,NotaIndividualPorAlunoRED,7,0)</f>
        <v>0</v>
      </c>
      <c r="I17" s="14"/>
      <c r="J17" s="14"/>
      <c r="K17" s="14"/>
      <c r="L17" s="14"/>
      <c r="M17" s="20">
        <f>VLOOKUP(A7,NOTAS!C:I,7,0)</f>
        <v>0</v>
      </c>
      <c r="N17" s="10"/>
      <c r="O17" s="10"/>
    </row>
    <row r="18" spans="1:15" x14ac:dyDescent="0.3">
      <c r="A18" s="72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0"/>
      <c r="O18" s="10"/>
    </row>
    <row r="19" spans="1:15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1:15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 x14ac:dyDescent="0.3">
      <c r="A21" s="58" t="s">
        <v>38</v>
      </c>
      <c r="B21" s="57" t="s">
        <v>35</v>
      </c>
      <c r="C21" s="57" t="s">
        <v>56</v>
      </c>
      <c r="D21" s="57" t="s">
        <v>57</v>
      </c>
      <c r="E21" s="57" t="s">
        <v>58</v>
      </c>
      <c r="F21" s="57" t="s">
        <v>59</v>
      </c>
      <c r="G21" s="57" t="s">
        <v>60</v>
      </c>
      <c r="H21" s="57" t="s">
        <v>36</v>
      </c>
      <c r="I21" s="57" t="s">
        <v>61</v>
      </c>
      <c r="J21" s="57" t="s">
        <v>34</v>
      </c>
      <c r="K21" s="57" t="s">
        <v>62</v>
      </c>
      <c r="L21" s="16" t="s">
        <v>33</v>
      </c>
      <c r="M21" s="57" t="s">
        <v>37</v>
      </c>
      <c r="N21" s="10"/>
      <c r="O21" s="10"/>
    </row>
    <row r="22" spans="1:15" ht="15.6" x14ac:dyDescent="0.3">
      <c r="A22" s="58" t="str" cm="1">
        <f t="array" ref="A22">IF(ISERROR(INDEX(ListaDeAlunos,(((ROW()-2)/17)+1),(COLUMN()+1))),"",INDEX(ListaDeAlunos,(((ROW()-2)/17)+1),(COLUMN()+1)))</f>
        <v>CAIO CITÓ</v>
      </c>
      <c r="B22" s="17">
        <f>VLOOKUP($A22,NotaIndividualPorAlunoPROVAO,2,0)</f>
        <v>0</v>
      </c>
      <c r="C22" s="18">
        <f>VLOOKUP($A22,NotaIndividualPorAlunoPROVAO,3,0)</f>
        <v>0</v>
      </c>
      <c r="D22" s="17">
        <f>VLOOKUP($A22,NotaIndividualPorAlunoPROVAO,4,0)</f>
        <v>0</v>
      </c>
      <c r="E22" s="18">
        <f>VLOOKUP($A22,NotaIndividualPorAlunoPROVAO,5,0)</f>
        <v>0</v>
      </c>
      <c r="F22" s="17">
        <f>VLOOKUP($A22,NotaIndividualPorAlunoPROVAO,6,0)</f>
        <v>0</v>
      </c>
      <c r="G22" s="18">
        <f>VLOOKUP($A22,NotaIndividualPorAlunoPROVAO,7,0)</f>
        <v>0</v>
      </c>
      <c r="H22" s="17">
        <f>VLOOKUP($A22,NotaIndividualPorAlunoPROVAO,8,0)</f>
        <v>0</v>
      </c>
      <c r="I22" s="18">
        <f>VLOOKUP($A22,NotaIndividualPorAlunoPROVAO,9,0)</f>
        <v>0</v>
      </c>
      <c r="J22" s="17">
        <f>VLOOKUP($A22,NotaIndividualPorAlunoPROVAO,10,0)</f>
        <v>0</v>
      </c>
      <c r="K22" s="18">
        <f>VLOOKUP($A22,NotaIndividualPorAlunoPROVAO,11,0)</f>
        <v>0</v>
      </c>
      <c r="L22" s="15">
        <f>VLOOKUP($A22,NotaIndividualPorAlunoPROVAO,12,0)</f>
        <v>0</v>
      </c>
      <c r="M22" s="25">
        <f>VLOOKUP($A22,NotaIndividualPorAlunoPROVAO,13,0)</f>
        <v>0</v>
      </c>
      <c r="N22" s="10"/>
      <c r="O22" s="10"/>
    </row>
    <row r="23" spans="1:15" x14ac:dyDescent="0.3">
      <c r="N23" s="10"/>
      <c r="O23" s="10"/>
    </row>
    <row r="24" spans="1:15" x14ac:dyDescent="0.3">
      <c r="A24" s="72" t="str">
        <f>A22</f>
        <v>CAIO CITÓ</v>
      </c>
      <c r="B24" s="73" t="s">
        <v>15</v>
      </c>
      <c r="C24" s="57" t="s">
        <v>2</v>
      </c>
      <c r="D24" s="57" t="s">
        <v>3</v>
      </c>
      <c r="E24" s="57" t="s">
        <v>4</v>
      </c>
      <c r="F24" s="57" t="s">
        <v>5</v>
      </c>
      <c r="G24" s="57" t="s">
        <v>6</v>
      </c>
      <c r="H24" s="57" t="s">
        <v>7</v>
      </c>
      <c r="I24" s="57" t="s">
        <v>8</v>
      </c>
      <c r="J24" s="57" t="s">
        <v>9</v>
      </c>
      <c r="K24" s="57" t="s">
        <v>10</v>
      </c>
      <c r="L24" s="57" t="s">
        <v>11</v>
      </c>
      <c r="M24" s="57" t="s">
        <v>13</v>
      </c>
      <c r="N24" s="10"/>
      <c r="O24" s="10"/>
    </row>
    <row r="25" spans="1:15" ht="15.75" customHeight="1" x14ac:dyDescent="0.3">
      <c r="A25" s="72"/>
      <c r="B25" s="73"/>
      <c r="C25" s="5">
        <f t="shared" ref="C25:L25" si="3">VLOOKUP($A24,NotaIndividualPorAlunoMAT,RIGHT(C24,2)+1,0)</f>
        <v>0</v>
      </c>
      <c r="D25" s="5">
        <f t="shared" si="3"/>
        <v>0</v>
      </c>
      <c r="E25" s="5">
        <f t="shared" si="3"/>
        <v>0</v>
      </c>
      <c r="F25" s="5">
        <f t="shared" si="3"/>
        <v>0</v>
      </c>
      <c r="G25" s="5">
        <f t="shared" si="3"/>
        <v>0</v>
      </c>
      <c r="H25" s="5">
        <f t="shared" si="3"/>
        <v>0</v>
      </c>
      <c r="I25" s="5">
        <f t="shared" si="3"/>
        <v>0</v>
      </c>
      <c r="J25" s="5">
        <f t="shared" si="3"/>
        <v>0</v>
      </c>
      <c r="K25" s="5">
        <f t="shared" si="3"/>
        <v>0</v>
      </c>
      <c r="L25" s="5">
        <f t="shared" si="3"/>
        <v>0</v>
      </c>
      <c r="M25" s="19">
        <f>VLOOKUP($A24,NotaIndividualPorAlunoMAT,RIGHT(L24,2)+2,0)</f>
        <v>0</v>
      </c>
      <c r="N25" s="10"/>
      <c r="O25" s="10"/>
    </row>
    <row r="26" spans="1:15" x14ac:dyDescent="0.3">
      <c r="A26" s="72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0"/>
      <c r="O26" s="10"/>
    </row>
    <row r="27" spans="1:15" x14ac:dyDescent="0.3">
      <c r="A27" s="72"/>
      <c r="B27" s="73" t="s">
        <v>14</v>
      </c>
      <c r="C27" s="57" t="s">
        <v>46</v>
      </c>
      <c r="D27" s="57" t="s">
        <v>47</v>
      </c>
      <c r="E27" s="57" t="s">
        <v>48</v>
      </c>
      <c r="F27" s="57" t="s">
        <v>49</v>
      </c>
      <c r="G27" s="57" t="s">
        <v>50</v>
      </c>
      <c r="H27" s="57" t="s">
        <v>51</v>
      </c>
      <c r="I27" s="57" t="s">
        <v>52</v>
      </c>
      <c r="J27" s="57" t="s">
        <v>53</v>
      </c>
      <c r="K27" s="57" t="s">
        <v>54</v>
      </c>
      <c r="L27" s="57" t="s">
        <v>55</v>
      </c>
      <c r="M27" s="57" t="s">
        <v>13</v>
      </c>
      <c r="N27" s="10"/>
      <c r="O27" s="10"/>
    </row>
    <row r="28" spans="1:15" ht="15.75" customHeight="1" x14ac:dyDescent="0.3">
      <c r="A28" s="72"/>
      <c r="B28" s="73"/>
      <c r="C28" s="3">
        <f t="shared" ref="C28:L28" si="4">VLOOKUP($A24,NotaIndividualPorAlunoQUI,RIGHT(C27,2)-9,0)</f>
        <v>0</v>
      </c>
      <c r="D28" s="3">
        <f t="shared" si="4"/>
        <v>0</v>
      </c>
      <c r="E28" s="3">
        <f t="shared" si="4"/>
        <v>0</v>
      </c>
      <c r="F28" s="3">
        <f t="shared" si="4"/>
        <v>0</v>
      </c>
      <c r="G28" s="3">
        <f t="shared" si="4"/>
        <v>0</v>
      </c>
      <c r="H28" s="3">
        <f t="shared" si="4"/>
        <v>0</v>
      </c>
      <c r="I28" s="3">
        <f t="shared" si="4"/>
        <v>0</v>
      </c>
      <c r="J28" s="3">
        <f t="shared" si="4"/>
        <v>0</v>
      </c>
      <c r="K28" s="3">
        <f t="shared" si="4"/>
        <v>0</v>
      </c>
      <c r="L28" s="3">
        <f t="shared" si="4"/>
        <v>0</v>
      </c>
      <c r="M28" s="19">
        <f>VLOOKUP($A24,NotaIndividualPorAlunoQUI,RIGHT(L27,2)-8,0)</f>
        <v>0</v>
      </c>
      <c r="N28" s="10"/>
      <c r="O28" s="10"/>
    </row>
    <row r="29" spans="1:15" x14ac:dyDescent="0.3">
      <c r="A29" s="72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0"/>
      <c r="O29" s="10"/>
    </row>
    <row r="30" spans="1:15" x14ac:dyDescent="0.3">
      <c r="A30" s="72"/>
      <c r="B30" s="73" t="s">
        <v>12</v>
      </c>
      <c r="C30" s="57" t="s">
        <v>2</v>
      </c>
      <c r="D30" s="57" t="s">
        <v>3</v>
      </c>
      <c r="E30" s="57" t="s">
        <v>4</v>
      </c>
      <c r="F30" s="57" t="s">
        <v>5</v>
      </c>
      <c r="G30" s="57" t="s">
        <v>6</v>
      </c>
      <c r="H30" s="57" t="s">
        <v>7</v>
      </c>
      <c r="I30" s="57" t="s">
        <v>8</v>
      </c>
      <c r="J30" s="57" t="s">
        <v>9</v>
      </c>
      <c r="K30" s="57" t="s">
        <v>10</v>
      </c>
      <c r="L30" s="57" t="s">
        <v>11</v>
      </c>
      <c r="M30" s="57" t="s">
        <v>13</v>
      </c>
      <c r="N30" s="10"/>
      <c r="O30" s="10"/>
    </row>
    <row r="31" spans="1:15" ht="15.75" customHeight="1" x14ac:dyDescent="0.3">
      <c r="A31" s="72"/>
      <c r="B31" s="73"/>
      <c r="C31" s="3">
        <f t="shared" ref="C31:L31" si="5">VLOOKUP($A24,NotaIndividualPorAlunoFIS,RIGHT(C30,2)+1,0)</f>
        <v>0</v>
      </c>
      <c r="D31" s="3">
        <f t="shared" si="5"/>
        <v>0</v>
      </c>
      <c r="E31" s="3">
        <f t="shared" si="5"/>
        <v>0</v>
      </c>
      <c r="F31" s="3">
        <f t="shared" si="5"/>
        <v>0</v>
      </c>
      <c r="G31" s="3">
        <f t="shared" si="5"/>
        <v>0</v>
      </c>
      <c r="H31" s="3">
        <f t="shared" si="5"/>
        <v>0</v>
      </c>
      <c r="I31" s="3">
        <f t="shared" si="5"/>
        <v>0</v>
      </c>
      <c r="J31" s="3">
        <f t="shared" si="5"/>
        <v>0</v>
      </c>
      <c r="K31" s="3">
        <f t="shared" si="5"/>
        <v>0</v>
      </c>
      <c r="L31" s="3">
        <f t="shared" si="5"/>
        <v>0</v>
      </c>
      <c r="M31" s="19">
        <f>VLOOKUP($A24,NotaIndividualPorAlunoFIS,RIGHT(L30,2)+2,0)</f>
        <v>0</v>
      </c>
      <c r="N31" s="10"/>
      <c r="O31" s="10"/>
    </row>
    <row r="32" spans="1:15" ht="15.6" x14ac:dyDescent="0.3">
      <c r="A32" s="72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0"/>
    </row>
    <row r="33" spans="1:15" ht="15.6" x14ac:dyDescent="0.3">
      <c r="A33" s="72"/>
      <c r="B33" s="73" t="s">
        <v>16</v>
      </c>
      <c r="C33" s="23" t="s">
        <v>41</v>
      </c>
      <c r="D33" s="58" t="s">
        <v>42</v>
      </c>
      <c r="E33" s="23" t="s">
        <v>43</v>
      </c>
      <c r="F33" s="58" t="s">
        <v>44</v>
      </c>
      <c r="G33" s="23" t="s">
        <v>63</v>
      </c>
      <c r="H33" s="58" t="s">
        <v>32</v>
      </c>
      <c r="I33" s="14"/>
      <c r="J33" s="14"/>
      <c r="K33" s="14"/>
      <c r="L33" s="14"/>
      <c r="M33" s="15" t="s">
        <v>18</v>
      </c>
      <c r="N33" s="10"/>
      <c r="O33" s="10"/>
    </row>
    <row r="34" spans="1:15" ht="15.75" customHeight="1" x14ac:dyDescent="0.3">
      <c r="A34" s="72"/>
      <c r="B34" s="73"/>
      <c r="C34" s="26">
        <f>VLOOKUP($A24,NotaIndividualPorAlunoRED,2,0)</f>
        <v>0</v>
      </c>
      <c r="D34" s="26">
        <f>VLOOKUP($A24,NotaIndividualPorAlunoRED,3,0)</f>
        <v>0</v>
      </c>
      <c r="E34" s="26">
        <f>VLOOKUP($A24,NotaIndividualPorAlunoRED,4,0)</f>
        <v>0</v>
      </c>
      <c r="F34" s="26">
        <f>VLOOKUP($A24,NotaIndividualPorAlunoRED,5,0)</f>
        <v>0</v>
      </c>
      <c r="G34" s="26">
        <f>VLOOKUP($A24,NotaIndividualPorAlunoRED,6,0)</f>
        <v>0</v>
      </c>
      <c r="H34" s="21">
        <f>VLOOKUP($A24,NotaIndividualPorAlunoRED,7,0)</f>
        <v>0</v>
      </c>
      <c r="I34" s="14"/>
      <c r="J34" s="14"/>
      <c r="K34" s="14"/>
      <c r="L34" s="14"/>
      <c r="M34" s="20">
        <f>VLOOKUP(A24,NOTAS!C:I,7,0)</f>
        <v>0</v>
      </c>
      <c r="N34" s="10"/>
      <c r="O34" s="10"/>
    </row>
    <row r="35" spans="1:15" x14ac:dyDescent="0.3">
      <c r="A35" s="72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0"/>
      <c r="O35" s="10"/>
    </row>
    <row r="36" spans="1:15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</row>
    <row r="37" spans="1:15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</row>
    <row r="38" spans="1:15" x14ac:dyDescent="0.3">
      <c r="A38" s="58" t="s">
        <v>38</v>
      </c>
      <c r="B38" s="57" t="s">
        <v>35</v>
      </c>
      <c r="C38" s="57" t="s">
        <v>56</v>
      </c>
      <c r="D38" s="57" t="s">
        <v>57</v>
      </c>
      <c r="E38" s="57" t="s">
        <v>58</v>
      </c>
      <c r="F38" s="57" t="s">
        <v>59</v>
      </c>
      <c r="G38" s="57" t="s">
        <v>60</v>
      </c>
      <c r="H38" s="57" t="s">
        <v>36</v>
      </c>
      <c r="I38" s="57" t="s">
        <v>61</v>
      </c>
      <c r="J38" s="57" t="s">
        <v>34</v>
      </c>
      <c r="K38" s="57" t="s">
        <v>62</v>
      </c>
      <c r="L38" s="16" t="s">
        <v>33</v>
      </c>
      <c r="M38" s="57" t="s">
        <v>37</v>
      </c>
      <c r="N38" s="10"/>
      <c r="O38" s="10"/>
    </row>
    <row r="39" spans="1:15" ht="15.6" x14ac:dyDescent="0.3">
      <c r="A39" s="58" t="str" cm="1">
        <f t="array" ref="A39">IF(ISERROR(INDEX(ListaDeAlunos,(((ROW()-2)/17)+1),(COLUMN()+1))),"",INDEX(ListaDeAlunos,(((ROW()-2)/17)+1),(COLUMN()+1)))</f>
        <v>ARTHUR CITÓ</v>
      </c>
      <c r="B39" s="17">
        <f>VLOOKUP($A39,NotaIndividualPorAlunoPROVAO,2,0)</f>
        <v>0</v>
      </c>
      <c r="C39" s="18">
        <f>VLOOKUP($A39,NotaIndividualPorAlunoPROVAO,3,0)</f>
        <v>0</v>
      </c>
      <c r="D39" s="17">
        <f>VLOOKUP($A39,NotaIndividualPorAlunoPROVAO,4,0)</f>
        <v>0</v>
      </c>
      <c r="E39" s="18">
        <f>VLOOKUP($A39,NotaIndividualPorAlunoPROVAO,5,0)</f>
        <v>0</v>
      </c>
      <c r="F39" s="17">
        <f>VLOOKUP($A39,NotaIndividualPorAlunoPROVAO,6,0)</f>
        <v>0</v>
      </c>
      <c r="G39" s="18">
        <f>VLOOKUP($A39,NotaIndividualPorAlunoPROVAO,7,0)</f>
        <v>0</v>
      </c>
      <c r="H39" s="17">
        <f>VLOOKUP($A39,NotaIndividualPorAlunoPROVAO,8,0)</f>
        <v>0</v>
      </c>
      <c r="I39" s="18">
        <f>VLOOKUP($A39,NotaIndividualPorAlunoPROVAO,9,0)</f>
        <v>0</v>
      </c>
      <c r="J39" s="17">
        <f>VLOOKUP($A39,NotaIndividualPorAlunoPROVAO,10,0)</f>
        <v>0</v>
      </c>
      <c r="K39" s="18">
        <f>VLOOKUP($A39,NotaIndividualPorAlunoPROVAO,11,0)</f>
        <v>0</v>
      </c>
      <c r="L39" s="15">
        <f>VLOOKUP($A39,NotaIndividualPorAlunoPROVAO,12,0)</f>
        <v>0</v>
      </c>
      <c r="M39" s="25">
        <f>VLOOKUP($A39,NotaIndividualPorAlunoPROVAO,13,0)</f>
        <v>0</v>
      </c>
      <c r="N39" s="10"/>
      <c r="O39" s="10"/>
    </row>
    <row r="40" spans="1:15" x14ac:dyDescent="0.3">
      <c r="N40" s="10"/>
      <c r="O40" s="10"/>
    </row>
    <row r="41" spans="1:15" x14ac:dyDescent="0.3">
      <c r="A41" s="72" t="str">
        <f>A39</f>
        <v>ARTHUR CITÓ</v>
      </c>
      <c r="B41" s="73" t="s">
        <v>15</v>
      </c>
      <c r="C41" s="57" t="s">
        <v>2</v>
      </c>
      <c r="D41" s="57" t="s">
        <v>3</v>
      </c>
      <c r="E41" s="57" t="s">
        <v>4</v>
      </c>
      <c r="F41" s="57" t="s">
        <v>5</v>
      </c>
      <c r="G41" s="57" t="s">
        <v>6</v>
      </c>
      <c r="H41" s="57" t="s">
        <v>7</v>
      </c>
      <c r="I41" s="57" t="s">
        <v>8</v>
      </c>
      <c r="J41" s="57" t="s">
        <v>9</v>
      </c>
      <c r="K41" s="57" t="s">
        <v>10</v>
      </c>
      <c r="L41" s="57" t="s">
        <v>11</v>
      </c>
      <c r="M41" s="57" t="s">
        <v>13</v>
      </c>
      <c r="N41" s="10"/>
      <c r="O41" s="10"/>
    </row>
    <row r="42" spans="1:15" ht="15.75" customHeight="1" x14ac:dyDescent="0.3">
      <c r="A42" s="72"/>
      <c r="B42" s="73"/>
      <c r="C42" s="5">
        <f t="shared" ref="C42:L42" si="6">VLOOKUP($A41,NotaIndividualPorAlunoMAT,RIGHT(C41,2)+1,0)</f>
        <v>0</v>
      </c>
      <c r="D42" s="5">
        <f t="shared" si="6"/>
        <v>0</v>
      </c>
      <c r="E42" s="5">
        <f t="shared" si="6"/>
        <v>0</v>
      </c>
      <c r="F42" s="5">
        <f t="shared" si="6"/>
        <v>0</v>
      </c>
      <c r="G42" s="5">
        <f t="shared" si="6"/>
        <v>0</v>
      </c>
      <c r="H42" s="5">
        <f t="shared" si="6"/>
        <v>0</v>
      </c>
      <c r="I42" s="5">
        <f t="shared" si="6"/>
        <v>0</v>
      </c>
      <c r="J42" s="5">
        <f t="shared" si="6"/>
        <v>0</v>
      </c>
      <c r="K42" s="5">
        <f t="shared" si="6"/>
        <v>0</v>
      </c>
      <c r="L42" s="5">
        <f t="shared" si="6"/>
        <v>0</v>
      </c>
      <c r="M42" s="19">
        <f>VLOOKUP($A41,NotaIndividualPorAlunoMAT,RIGHT(L41,2)+2,0)</f>
        <v>0</v>
      </c>
      <c r="N42" s="10"/>
      <c r="O42" s="10"/>
    </row>
    <row r="43" spans="1:15" ht="15" customHeight="1" x14ac:dyDescent="0.3">
      <c r="A43" s="72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0"/>
      <c r="O43" s="10"/>
    </row>
    <row r="44" spans="1:15" x14ac:dyDescent="0.3">
      <c r="A44" s="72"/>
      <c r="B44" s="73" t="s">
        <v>14</v>
      </c>
      <c r="C44" s="57" t="s">
        <v>46</v>
      </c>
      <c r="D44" s="57" t="s">
        <v>47</v>
      </c>
      <c r="E44" s="57" t="s">
        <v>48</v>
      </c>
      <c r="F44" s="57" t="s">
        <v>49</v>
      </c>
      <c r="G44" s="57" t="s">
        <v>50</v>
      </c>
      <c r="H44" s="57" t="s">
        <v>51</v>
      </c>
      <c r="I44" s="57" t="s">
        <v>52</v>
      </c>
      <c r="J44" s="57" t="s">
        <v>53</v>
      </c>
      <c r="K44" s="57" t="s">
        <v>54</v>
      </c>
      <c r="L44" s="57" t="s">
        <v>55</v>
      </c>
      <c r="M44" s="57" t="s">
        <v>13</v>
      </c>
      <c r="N44" s="10"/>
      <c r="O44" s="10"/>
    </row>
    <row r="45" spans="1:15" ht="15.75" customHeight="1" x14ac:dyDescent="0.3">
      <c r="A45" s="72"/>
      <c r="B45" s="73"/>
      <c r="C45" s="3">
        <f t="shared" ref="C45:L45" si="7">VLOOKUP($A41,NotaIndividualPorAlunoQUI,RIGHT(C44,2)-9,0)</f>
        <v>0</v>
      </c>
      <c r="D45" s="3">
        <f t="shared" si="7"/>
        <v>0</v>
      </c>
      <c r="E45" s="3">
        <f t="shared" si="7"/>
        <v>0</v>
      </c>
      <c r="F45" s="3">
        <f t="shared" si="7"/>
        <v>0</v>
      </c>
      <c r="G45" s="3">
        <f t="shared" si="7"/>
        <v>0</v>
      </c>
      <c r="H45" s="3">
        <f t="shared" si="7"/>
        <v>0</v>
      </c>
      <c r="I45" s="3">
        <f t="shared" si="7"/>
        <v>0</v>
      </c>
      <c r="J45" s="3">
        <f t="shared" si="7"/>
        <v>0</v>
      </c>
      <c r="K45" s="3">
        <f t="shared" si="7"/>
        <v>0</v>
      </c>
      <c r="L45" s="3">
        <f t="shared" si="7"/>
        <v>0</v>
      </c>
      <c r="M45" s="19">
        <f>VLOOKUP($A41,NotaIndividualPorAlunoQUI,RIGHT(L44,2)-8,0)</f>
        <v>0</v>
      </c>
      <c r="N45" s="10"/>
      <c r="O45" s="10"/>
    </row>
    <row r="46" spans="1:15" ht="15" customHeight="1" x14ac:dyDescent="0.3">
      <c r="A46" s="72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0"/>
      <c r="O46" s="10"/>
    </row>
    <row r="47" spans="1:15" x14ac:dyDescent="0.3">
      <c r="A47" s="72"/>
      <c r="B47" s="73" t="s">
        <v>12</v>
      </c>
      <c r="C47" s="57" t="s">
        <v>2</v>
      </c>
      <c r="D47" s="57" t="s">
        <v>3</v>
      </c>
      <c r="E47" s="57" t="s">
        <v>4</v>
      </c>
      <c r="F47" s="57" t="s">
        <v>5</v>
      </c>
      <c r="G47" s="57" t="s">
        <v>6</v>
      </c>
      <c r="H47" s="57" t="s">
        <v>7</v>
      </c>
      <c r="I47" s="57" t="s">
        <v>8</v>
      </c>
      <c r="J47" s="57" t="s">
        <v>9</v>
      </c>
      <c r="K47" s="57" t="s">
        <v>10</v>
      </c>
      <c r="L47" s="57" t="s">
        <v>11</v>
      </c>
      <c r="M47" s="57" t="s">
        <v>13</v>
      </c>
      <c r="N47" s="10"/>
      <c r="O47" s="10"/>
    </row>
    <row r="48" spans="1:15" ht="15.75" customHeight="1" x14ac:dyDescent="0.3">
      <c r="A48" s="72"/>
      <c r="B48" s="73"/>
      <c r="C48" s="3">
        <f t="shared" ref="C48:L48" si="8">VLOOKUP($A41,NotaIndividualPorAlunoFIS,RIGHT(C47,2)+1,0)</f>
        <v>0</v>
      </c>
      <c r="D48" s="3">
        <f t="shared" si="8"/>
        <v>0</v>
      </c>
      <c r="E48" s="3">
        <f t="shared" si="8"/>
        <v>0</v>
      </c>
      <c r="F48" s="3">
        <f t="shared" si="8"/>
        <v>0</v>
      </c>
      <c r="G48" s="3">
        <f t="shared" si="8"/>
        <v>0</v>
      </c>
      <c r="H48" s="3">
        <f t="shared" si="8"/>
        <v>0</v>
      </c>
      <c r="I48" s="3">
        <f t="shared" si="8"/>
        <v>0</v>
      </c>
      <c r="J48" s="3">
        <f t="shared" si="8"/>
        <v>0</v>
      </c>
      <c r="K48" s="3">
        <f t="shared" si="8"/>
        <v>0</v>
      </c>
      <c r="L48" s="3">
        <f t="shared" si="8"/>
        <v>0</v>
      </c>
      <c r="M48" s="19">
        <f>VLOOKUP($A41,NotaIndividualPorAlunoFIS,RIGHT(L47,2)+2,0)</f>
        <v>0</v>
      </c>
      <c r="N48" s="10"/>
      <c r="O48" s="10"/>
    </row>
    <row r="49" spans="1:15" ht="15.6" x14ac:dyDescent="0.3">
      <c r="A49" s="72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0"/>
      <c r="O49" s="10"/>
    </row>
    <row r="50" spans="1:15" ht="15.6" x14ac:dyDescent="0.3">
      <c r="A50" s="72"/>
      <c r="B50" s="73" t="s">
        <v>16</v>
      </c>
      <c r="C50" s="23" t="s">
        <v>41</v>
      </c>
      <c r="D50" s="58" t="s">
        <v>42</v>
      </c>
      <c r="E50" s="23" t="s">
        <v>43</v>
      </c>
      <c r="F50" s="58" t="s">
        <v>44</v>
      </c>
      <c r="G50" s="23" t="s">
        <v>63</v>
      </c>
      <c r="H50" s="58" t="s">
        <v>32</v>
      </c>
      <c r="I50" s="14"/>
      <c r="J50" s="14"/>
      <c r="K50" s="14"/>
      <c r="L50" s="14"/>
      <c r="M50" s="15" t="s">
        <v>18</v>
      </c>
      <c r="N50" s="10"/>
      <c r="O50" s="10"/>
    </row>
    <row r="51" spans="1:15" ht="15.75" customHeight="1" x14ac:dyDescent="0.3">
      <c r="A51" s="72"/>
      <c r="B51" s="73"/>
      <c r="C51" s="26">
        <f>VLOOKUP($A41,NotaIndividualPorAlunoRED,2,0)</f>
        <v>0</v>
      </c>
      <c r="D51" s="26">
        <f>VLOOKUP($A41,NotaIndividualPorAlunoRED,3,0)</f>
        <v>0</v>
      </c>
      <c r="E51" s="26">
        <f>VLOOKUP($A41,NotaIndividualPorAlunoRED,4,0)</f>
        <v>0</v>
      </c>
      <c r="F51" s="26">
        <f>VLOOKUP($A41,NotaIndividualPorAlunoRED,5,0)</f>
        <v>0</v>
      </c>
      <c r="G51" s="26">
        <f>VLOOKUP($A41,NotaIndividualPorAlunoRED,6,0)</f>
        <v>0</v>
      </c>
      <c r="H51" s="21">
        <f>VLOOKUP($A41,NotaIndividualPorAlunoRED,7,0)</f>
        <v>0</v>
      </c>
      <c r="I51" s="14"/>
      <c r="J51" s="14"/>
      <c r="K51" s="14"/>
      <c r="L51" s="14"/>
      <c r="M51" s="20">
        <f>VLOOKUP(A41,NOTAS!C:I,7,0)</f>
        <v>0</v>
      </c>
      <c r="N51" s="10"/>
      <c r="O51" s="10"/>
    </row>
    <row r="52" spans="1:15" ht="15" customHeight="1" x14ac:dyDescent="0.3">
      <c r="A52" s="72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0"/>
      <c r="O52" s="10"/>
    </row>
    <row r="53" spans="1:15" x14ac:dyDescent="0.3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</row>
    <row r="54" spans="1:15" x14ac:dyDescent="0.3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</row>
    <row r="55" spans="1:15" x14ac:dyDescent="0.3">
      <c r="A55" s="58" t="s">
        <v>38</v>
      </c>
      <c r="B55" s="57" t="s">
        <v>35</v>
      </c>
      <c r="C55" s="57" t="s">
        <v>56</v>
      </c>
      <c r="D55" s="57" t="s">
        <v>57</v>
      </c>
      <c r="E55" s="57" t="s">
        <v>58</v>
      </c>
      <c r="F55" s="57" t="s">
        <v>59</v>
      </c>
      <c r="G55" s="57" t="s">
        <v>60</v>
      </c>
      <c r="H55" s="57" t="s">
        <v>36</v>
      </c>
      <c r="I55" s="57" t="s">
        <v>61</v>
      </c>
      <c r="J55" s="57" t="s">
        <v>34</v>
      </c>
      <c r="K55" s="57" t="s">
        <v>62</v>
      </c>
      <c r="L55" s="16" t="s">
        <v>33</v>
      </c>
      <c r="M55" s="57" t="s">
        <v>37</v>
      </c>
      <c r="N55" s="10"/>
      <c r="O55" s="10"/>
    </row>
    <row r="56" spans="1:15" ht="15.6" x14ac:dyDescent="0.3">
      <c r="A56" s="58" t="str" cm="1">
        <f t="array" ref="A56">IF(ISERROR(INDEX(ListaDeAlunos,(((ROW()-2)/17)+1),(COLUMN()+1))),"",INDEX(ListaDeAlunos,(((ROW()-2)/17)+1),(COLUMN()+1)))</f>
        <v/>
      </c>
      <c r="B56" s="17" t="str">
        <f>VLOOKUP($A56,NotaIndividualPorAlunoPROVAO,2,0)</f>
        <v/>
      </c>
      <c r="C56" s="18" t="str">
        <f>VLOOKUP($A56,NotaIndividualPorAlunoPROVAO,3,0)</f>
        <v/>
      </c>
      <c r="D56" s="17" t="str">
        <f>VLOOKUP($A56,NotaIndividualPorAlunoPROVAO,4,0)</f>
        <v/>
      </c>
      <c r="E56" s="18" t="str">
        <f>VLOOKUP($A56,NotaIndividualPorAlunoPROVAO,5,0)</f>
        <v/>
      </c>
      <c r="F56" s="17" t="str">
        <f>VLOOKUP($A56,NotaIndividualPorAlunoPROVAO,6,0)</f>
        <v/>
      </c>
      <c r="G56" s="18" t="str">
        <f>VLOOKUP($A56,NotaIndividualPorAlunoPROVAO,7,0)</f>
        <v/>
      </c>
      <c r="H56" s="17" t="str">
        <f>VLOOKUP($A56,NotaIndividualPorAlunoPROVAO,8,0)</f>
        <v/>
      </c>
      <c r="I56" s="18" t="str">
        <f>VLOOKUP($A56,NotaIndividualPorAlunoPROVAO,9,0)</f>
        <v/>
      </c>
      <c r="J56" s="17" t="str">
        <f>VLOOKUP($A56,NotaIndividualPorAlunoPROVAO,10,0)</f>
        <v/>
      </c>
      <c r="K56" s="18" t="str">
        <f>VLOOKUP($A56,NotaIndividualPorAlunoPROVAO,11,0)</f>
        <v/>
      </c>
      <c r="L56" s="15" t="str">
        <f>VLOOKUP($A56,NotaIndividualPorAlunoPROVAO,12,0)</f>
        <v/>
      </c>
      <c r="M56" s="25" t="str">
        <f>VLOOKUP($A56,NotaIndividualPorAlunoPROVAO,13,0)</f>
        <v/>
      </c>
      <c r="N56" s="10"/>
      <c r="O56" s="10"/>
    </row>
    <row r="57" spans="1:15" x14ac:dyDescent="0.3">
      <c r="N57" s="10"/>
      <c r="O57" s="10"/>
    </row>
    <row r="58" spans="1:15" x14ac:dyDescent="0.3">
      <c r="A58" s="72" t="str">
        <f>A56</f>
        <v/>
      </c>
      <c r="B58" s="73" t="s">
        <v>15</v>
      </c>
      <c r="C58" s="57" t="s">
        <v>2</v>
      </c>
      <c r="D58" s="57" t="s">
        <v>3</v>
      </c>
      <c r="E58" s="57" t="s">
        <v>4</v>
      </c>
      <c r="F58" s="57" t="s">
        <v>5</v>
      </c>
      <c r="G58" s="57" t="s">
        <v>6</v>
      </c>
      <c r="H58" s="57" t="s">
        <v>7</v>
      </c>
      <c r="I58" s="57" t="s">
        <v>8</v>
      </c>
      <c r="J58" s="57" t="s">
        <v>9</v>
      </c>
      <c r="K58" s="57" t="s">
        <v>10</v>
      </c>
      <c r="L58" s="57" t="s">
        <v>11</v>
      </c>
      <c r="M58" s="57" t="s">
        <v>13</v>
      </c>
      <c r="N58" s="10"/>
      <c r="O58" s="10"/>
    </row>
    <row r="59" spans="1:15" ht="15.75" customHeight="1" x14ac:dyDescent="0.3">
      <c r="A59" s="72"/>
      <c r="B59" s="73"/>
      <c r="C59" s="5" t="str">
        <f t="shared" ref="C59:L59" si="9">VLOOKUP($A58,NotaIndividualPorAlunoMAT,RIGHT(C58,2)+1,0)</f>
        <v/>
      </c>
      <c r="D59" s="5" t="str">
        <f t="shared" si="9"/>
        <v/>
      </c>
      <c r="E59" s="5" t="str">
        <f t="shared" si="9"/>
        <v/>
      </c>
      <c r="F59" s="5" t="str">
        <f t="shared" si="9"/>
        <v/>
      </c>
      <c r="G59" s="5" t="str">
        <f t="shared" si="9"/>
        <v/>
      </c>
      <c r="H59" s="5" t="str">
        <f t="shared" si="9"/>
        <v/>
      </c>
      <c r="I59" s="5" t="str">
        <f t="shared" si="9"/>
        <v/>
      </c>
      <c r="J59" s="5" t="str">
        <f t="shared" si="9"/>
        <v/>
      </c>
      <c r="K59" s="5" t="str">
        <f t="shared" si="9"/>
        <v/>
      </c>
      <c r="L59" s="5" t="str">
        <f t="shared" si="9"/>
        <v/>
      </c>
      <c r="M59" s="19" t="str">
        <f>VLOOKUP($A58,NotaIndividualPorAlunoMAT,RIGHT(L58,2)+2,0)</f>
        <v/>
      </c>
      <c r="N59" s="10"/>
      <c r="O59" s="10"/>
    </row>
    <row r="60" spans="1:15" x14ac:dyDescent="0.3">
      <c r="A60" s="72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0"/>
      <c r="O60" s="10"/>
    </row>
    <row r="61" spans="1:15" x14ac:dyDescent="0.3">
      <c r="A61" s="72"/>
      <c r="B61" s="73" t="s">
        <v>14</v>
      </c>
      <c r="C61" s="57" t="s">
        <v>46</v>
      </c>
      <c r="D61" s="57" t="s">
        <v>47</v>
      </c>
      <c r="E61" s="57" t="s">
        <v>48</v>
      </c>
      <c r="F61" s="57" t="s">
        <v>49</v>
      </c>
      <c r="G61" s="57" t="s">
        <v>50</v>
      </c>
      <c r="H61" s="57" t="s">
        <v>51</v>
      </c>
      <c r="I61" s="57" t="s">
        <v>52</v>
      </c>
      <c r="J61" s="57" t="s">
        <v>53</v>
      </c>
      <c r="K61" s="57" t="s">
        <v>54</v>
      </c>
      <c r="L61" s="57" t="s">
        <v>55</v>
      </c>
      <c r="M61" s="57" t="s">
        <v>13</v>
      </c>
      <c r="N61" s="10"/>
      <c r="O61" s="10"/>
    </row>
    <row r="62" spans="1:15" ht="15.75" customHeight="1" x14ac:dyDescent="0.3">
      <c r="A62" s="72"/>
      <c r="B62" s="73"/>
      <c r="C62" s="3" t="str">
        <f t="shared" ref="C62:L62" si="10">VLOOKUP($A58,NotaIndividualPorAlunoQUI,RIGHT(C61,2)-9,0)</f>
        <v/>
      </c>
      <c r="D62" s="3" t="str">
        <f t="shared" si="10"/>
        <v/>
      </c>
      <c r="E62" s="3" t="str">
        <f t="shared" si="10"/>
        <v/>
      </c>
      <c r="F62" s="3" t="str">
        <f t="shared" si="10"/>
        <v/>
      </c>
      <c r="G62" s="3" t="str">
        <f t="shared" si="10"/>
        <v/>
      </c>
      <c r="H62" s="3" t="str">
        <f t="shared" si="10"/>
        <v/>
      </c>
      <c r="I62" s="3" t="str">
        <f t="shared" si="10"/>
        <v/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19" t="str">
        <f>VLOOKUP($A58,NotaIndividualPorAlunoQUI,RIGHT(L61,2)-8,0)</f>
        <v/>
      </c>
      <c r="N62" s="10"/>
      <c r="O62" s="10"/>
    </row>
    <row r="63" spans="1:15" x14ac:dyDescent="0.3">
      <c r="A63" s="72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0"/>
      <c r="O63" s="10"/>
    </row>
    <row r="64" spans="1:15" x14ac:dyDescent="0.3">
      <c r="A64" s="72"/>
      <c r="B64" s="73" t="s">
        <v>12</v>
      </c>
      <c r="C64" s="57" t="s">
        <v>2</v>
      </c>
      <c r="D64" s="57" t="s">
        <v>3</v>
      </c>
      <c r="E64" s="57" t="s">
        <v>4</v>
      </c>
      <c r="F64" s="57" t="s">
        <v>5</v>
      </c>
      <c r="G64" s="57" t="s">
        <v>6</v>
      </c>
      <c r="H64" s="57" t="s">
        <v>7</v>
      </c>
      <c r="I64" s="57" t="s">
        <v>8</v>
      </c>
      <c r="J64" s="57" t="s">
        <v>9</v>
      </c>
      <c r="K64" s="57" t="s">
        <v>10</v>
      </c>
      <c r="L64" s="57" t="s">
        <v>11</v>
      </c>
      <c r="M64" s="57" t="s">
        <v>13</v>
      </c>
      <c r="N64" s="10"/>
      <c r="O64" s="10"/>
    </row>
    <row r="65" spans="1:15" ht="15.75" customHeight="1" x14ac:dyDescent="0.3">
      <c r="A65" s="72"/>
      <c r="B65" s="73"/>
      <c r="C65" s="3" t="str">
        <f t="shared" ref="C65:L65" si="11">VLOOKUP($A58,NotaIndividualPorAlunoFIS,RIGHT(C64,2)+1,0)</f>
        <v/>
      </c>
      <c r="D65" s="3" t="str">
        <f t="shared" si="11"/>
        <v/>
      </c>
      <c r="E65" s="3" t="str">
        <f t="shared" si="11"/>
        <v/>
      </c>
      <c r="F65" s="3" t="str">
        <f t="shared" si="11"/>
        <v/>
      </c>
      <c r="G65" s="3" t="str">
        <f t="shared" si="11"/>
        <v/>
      </c>
      <c r="H65" s="3" t="str">
        <f t="shared" si="11"/>
        <v/>
      </c>
      <c r="I65" s="3" t="str">
        <f t="shared" si="11"/>
        <v/>
      </c>
      <c r="J65" s="3" t="str">
        <f t="shared" si="11"/>
        <v/>
      </c>
      <c r="K65" s="3" t="str">
        <f t="shared" si="11"/>
        <v/>
      </c>
      <c r="L65" s="3" t="str">
        <f t="shared" si="11"/>
        <v/>
      </c>
      <c r="M65" s="19" t="str">
        <f>VLOOKUP($A58,NotaIndividualPorAlunoFIS,RIGHT(L64,2)+2,0)</f>
        <v/>
      </c>
      <c r="N65" s="10"/>
      <c r="O65" s="10"/>
    </row>
    <row r="66" spans="1:15" ht="15.6" x14ac:dyDescent="0.3">
      <c r="A66" s="72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0"/>
      <c r="O66" s="10"/>
    </row>
    <row r="67" spans="1:15" ht="15.6" x14ac:dyDescent="0.3">
      <c r="A67" s="72"/>
      <c r="B67" s="73" t="s">
        <v>16</v>
      </c>
      <c r="C67" s="23" t="s">
        <v>41</v>
      </c>
      <c r="D67" s="58" t="s">
        <v>42</v>
      </c>
      <c r="E67" s="23" t="s">
        <v>43</v>
      </c>
      <c r="F67" s="58" t="s">
        <v>44</v>
      </c>
      <c r="G67" s="23" t="s">
        <v>63</v>
      </c>
      <c r="H67" s="58" t="s">
        <v>32</v>
      </c>
      <c r="I67" s="14"/>
      <c r="J67" s="14"/>
      <c r="K67" s="14"/>
      <c r="L67" s="14"/>
      <c r="M67" s="15" t="s">
        <v>18</v>
      </c>
      <c r="N67" s="10"/>
      <c r="O67" s="10"/>
    </row>
    <row r="68" spans="1:15" ht="15.75" customHeight="1" x14ac:dyDescent="0.3">
      <c r="A68" s="72"/>
      <c r="B68" s="73"/>
      <c r="C68" s="26" t="str">
        <f>VLOOKUP($A58,NotaIndividualPorAlunoRED,2,0)</f>
        <v/>
      </c>
      <c r="D68" s="26" t="str">
        <f>VLOOKUP($A58,NotaIndividualPorAlunoRED,3,0)</f>
        <v/>
      </c>
      <c r="E68" s="26" t="str">
        <f>VLOOKUP($A58,NotaIndividualPorAlunoRED,4,0)</f>
        <v/>
      </c>
      <c r="F68" s="26" t="str">
        <f>VLOOKUP($A58,NotaIndividualPorAlunoRED,5,0)</f>
        <v/>
      </c>
      <c r="G68" s="26" t="str">
        <f>VLOOKUP($A58,NotaIndividualPorAlunoRED,6,0)</f>
        <v/>
      </c>
      <c r="H68" s="21" t="str">
        <f>VLOOKUP($A58,NotaIndividualPorAlunoRED,7,0)</f>
        <v/>
      </c>
      <c r="I68" s="14"/>
      <c r="J68" s="14"/>
      <c r="K68" s="14"/>
      <c r="L68" s="14"/>
      <c r="M68" s="20" t="str">
        <f>VLOOKUP(A58,NOTAS!C:I,7,0)</f>
        <v/>
      </c>
      <c r="N68" s="10"/>
      <c r="O68" s="10"/>
    </row>
    <row r="69" spans="1:15" x14ac:dyDescent="0.3">
      <c r="A69" s="72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0"/>
      <c r="O69" s="10"/>
    </row>
    <row r="70" spans="1:15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1:15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</row>
    <row r="72" spans="1:15" x14ac:dyDescent="0.3">
      <c r="A72" s="58" t="s">
        <v>38</v>
      </c>
      <c r="B72" s="57" t="s">
        <v>35</v>
      </c>
      <c r="C72" s="57" t="s">
        <v>56</v>
      </c>
      <c r="D72" s="57" t="s">
        <v>57</v>
      </c>
      <c r="E72" s="57" t="s">
        <v>58</v>
      </c>
      <c r="F72" s="57" t="s">
        <v>59</v>
      </c>
      <c r="G72" s="57" t="s">
        <v>60</v>
      </c>
      <c r="H72" s="57" t="s">
        <v>36</v>
      </c>
      <c r="I72" s="57" t="s">
        <v>61</v>
      </c>
      <c r="J72" s="57" t="s">
        <v>34</v>
      </c>
      <c r="K72" s="57" t="s">
        <v>62</v>
      </c>
      <c r="L72" s="16" t="s">
        <v>33</v>
      </c>
      <c r="M72" s="57" t="s">
        <v>37</v>
      </c>
      <c r="N72" s="10"/>
      <c r="O72" s="10"/>
    </row>
    <row r="73" spans="1:15" ht="15.6" x14ac:dyDescent="0.3">
      <c r="A73" s="58" t="str" cm="1">
        <f t="array" ref="A73">IF(ISERROR(INDEX(ListaDeAlunos,(((ROW()-2)/17)+1),(COLUMN()+1))),"",INDEX(ListaDeAlunos,(((ROW()-2)/17)+1),(COLUMN()+1)))</f>
        <v/>
      </c>
      <c r="B73" s="17" t="str">
        <f>VLOOKUP($A73,NotaIndividualPorAlunoPROVAO,2,0)</f>
        <v/>
      </c>
      <c r="C73" s="18" t="str">
        <f>VLOOKUP($A73,NotaIndividualPorAlunoPROVAO,3,0)</f>
        <v/>
      </c>
      <c r="D73" s="17" t="str">
        <f>VLOOKUP($A73,NotaIndividualPorAlunoPROVAO,4,0)</f>
        <v/>
      </c>
      <c r="E73" s="18" t="str">
        <f>VLOOKUP($A73,NotaIndividualPorAlunoPROVAO,5,0)</f>
        <v/>
      </c>
      <c r="F73" s="17" t="str">
        <f>VLOOKUP($A73,NotaIndividualPorAlunoPROVAO,6,0)</f>
        <v/>
      </c>
      <c r="G73" s="18" t="str">
        <f>VLOOKUP($A73,NotaIndividualPorAlunoPROVAO,7,0)</f>
        <v/>
      </c>
      <c r="H73" s="17" t="str">
        <f>VLOOKUP($A73,NotaIndividualPorAlunoPROVAO,8,0)</f>
        <v/>
      </c>
      <c r="I73" s="18" t="str">
        <f>VLOOKUP($A73,NotaIndividualPorAlunoPROVAO,9,0)</f>
        <v/>
      </c>
      <c r="J73" s="17" t="str">
        <f>VLOOKUP($A73,NotaIndividualPorAlunoPROVAO,10,0)</f>
        <v/>
      </c>
      <c r="K73" s="18" t="str">
        <f>VLOOKUP($A73,NotaIndividualPorAlunoPROVAO,11,0)</f>
        <v/>
      </c>
      <c r="L73" s="15" t="str">
        <f>VLOOKUP($A73,NotaIndividualPorAlunoPROVAO,12,0)</f>
        <v/>
      </c>
      <c r="M73" s="25" t="str">
        <f>VLOOKUP($A73,NotaIndividualPorAlunoPROVAO,13,0)</f>
        <v/>
      </c>
      <c r="N73" s="10"/>
      <c r="O73" s="10"/>
    </row>
    <row r="74" spans="1:15" x14ac:dyDescent="0.3">
      <c r="N74" s="10"/>
      <c r="O74" s="10"/>
    </row>
    <row r="75" spans="1:15" x14ac:dyDescent="0.3">
      <c r="A75" s="72" t="str">
        <f>A73</f>
        <v/>
      </c>
      <c r="B75" s="73" t="s">
        <v>15</v>
      </c>
      <c r="C75" s="57" t="s">
        <v>2</v>
      </c>
      <c r="D75" s="57" t="s">
        <v>3</v>
      </c>
      <c r="E75" s="57" t="s">
        <v>4</v>
      </c>
      <c r="F75" s="57" t="s">
        <v>5</v>
      </c>
      <c r="G75" s="57" t="s">
        <v>6</v>
      </c>
      <c r="H75" s="57" t="s">
        <v>7</v>
      </c>
      <c r="I75" s="57" t="s">
        <v>8</v>
      </c>
      <c r="J75" s="57" t="s">
        <v>9</v>
      </c>
      <c r="K75" s="57" t="s">
        <v>10</v>
      </c>
      <c r="L75" s="57" t="s">
        <v>11</v>
      </c>
      <c r="M75" s="57" t="s">
        <v>13</v>
      </c>
      <c r="N75" s="10"/>
      <c r="O75" s="10"/>
    </row>
    <row r="76" spans="1:15" ht="15" customHeight="1" x14ac:dyDescent="0.3">
      <c r="A76" s="72"/>
      <c r="B76" s="73"/>
      <c r="C76" s="5" t="str">
        <f t="shared" ref="C76:L76" si="12">VLOOKUP($A75,NotaIndividualPorAlunoMAT,RIGHT(C75,2)+1,0)</f>
        <v/>
      </c>
      <c r="D76" s="5" t="str">
        <f t="shared" si="12"/>
        <v/>
      </c>
      <c r="E76" s="5" t="str">
        <f t="shared" si="12"/>
        <v/>
      </c>
      <c r="F76" s="5" t="str">
        <f t="shared" si="12"/>
        <v/>
      </c>
      <c r="G76" s="5" t="str">
        <f t="shared" si="12"/>
        <v/>
      </c>
      <c r="H76" s="5" t="str">
        <f t="shared" si="12"/>
        <v/>
      </c>
      <c r="I76" s="5" t="str">
        <f t="shared" si="12"/>
        <v/>
      </c>
      <c r="J76" s="5" t="str">
        <f t="shared" si="12"/>
        <v/>
      </c>
      <c r="K76" s="5" t="str">
        <f t="shared" si="12"/>
        <v/>
      </c>
      <c r="L76" s="5" t="str">
        <f t="shared" si="12"/>
        <v/>
      </c>
      <c r="M76" s="19" t="str">
        <f>VLOOKUP($A75,NotaIndividualPorAlunoMAT,RIGHT(L75,2)+2,0)</f>
        <v/>
      </c>
      <c r="N76" s="10"/>
      <c r="O76" s="10"/>
    </row>
    <row r="77" spans="1:15" x14ac:dyDescent="0.3">
      <c r="A77" s="72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0"/>
      <c r="O77" s="10"/>
    </row>
    <row r="78" spans="1:15" x14ac:dyDescent="0.3">
      <c r="A78" s="72"/>
      <c r="B78" s="73" t="s">
        <v>14</v>
      </c>
      <c r="C78" s="57" t="s">
        <v>46</v>
      </c>
      <c r="D78" s="57" t="s">
        <v>47</v>
      </c>
      <c r="E78" s="57" t="s">
        <v>48</v>
      </c>
      <c r="F78" s="57" t="s">
        <v>49</v>
      </c>
      <c r="G78" s="57" t="s">
        <v>50</v>
      </c>
      <c r="H78" s="57" t="s">
        <v>51</v>
      </c>
      <c r="I78" s="57" t="s">
        <v>52</v>
      </c>
      <c r="J78" s="57" t="s">
        <v>53</v>
      </c>
      <c r="K78" s="57" t="s">
        <v>54</v>
      </c>
      <c r="L78" s="57" t="s">
        <v>55</v>
      </c>
      <c r="M78" s="57" t="s">
        <v>13</v>
      </c>
      <c r="N78" s="10"/>
      <c r="O78" s="10"/>
    </row>
    <row r="79" spans="1:15" ht="15.75" customHeight="1" x14ac:dyDescent="0.3">
      <c r="A79" s="72"/>
      <c r="B79" s="73"/>
      <c r="C79" s="3" t="str">
        <f t="shared" ref="C79:L79" si="13">VLOOKUP($A75,NotaIndividualPorAlunoQUI,RIGHT(C78,2)-9,0)</f>
        <v/>
      </c>
      <c r="D79" s="3" t="str">
        <f t="shared" si="13"/>
        <v/>
      </c>
      <c r="E79" s="3" t="str">
        <f t="shared" si="13"/>
        <v/>
      </c>
      <c r="F79" s="3" t="str">
        <f t="shared" si="13"/>
        <v/>
      </c>
      <c r="G79" s="3" t="str">
        <f t="shared" si="13"/>
        <v/>
      </c>
      <c r="H79" s="3" t="str">
        <f t="shared" si="13"/>
        <v/>
      </c>
      <c r="I79" s="3" t="str">
        <f t="shared" si="13"/>
        <v/>
      </c>
      <c r="J79" s="3" t="str">
        <f t="shared" si="13"/>
        <v/>
      </c>
      <c r="K79" s="3" t="str">
        <f t="shared" si="13"/>
        <v/>
      </c>
      <c r="L79" s="3" t="str">
        <f t="shared" si="13"/>
        <v/>
      </c>
      <c r="M79" s="19" t="str">
        <f>VLOOKUP($A75,NotaIndividualPorAlunoQUI,RIGHT(L78,2)-8,0)</f>
        <v/>
      </c>
      <c r="N79" s="10"/>
      <c r="O79" s="10"/>
    </row>
    <row r="80" spans="1:15" x14ac:dyDescent="0.3">
      <c r="A80" s="72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0"/>
      <c r="O80" s="10"/>
    </row>
    <row r="81" spans="1:15" x14ac:dyDescent="0.3">
      <c r="A81" s="72"/>
      <c r="B81" s="73" t="s">
        <v>12</v>
      </c>
      <c r="C81" s="57" t="s">
        <v>2</v>
      </c>
      <c r="D81" s="57" t="s">
        <v>3</v>
      </c>
      <c r="E81" s="57" t="s">
        <v>4</v>
      </c>
      <c r="F81" s="57" t="s">
        <v>5</v>
      </c>
      <c r="G81" s="57" t="s">
        <v>6</v>
      </c>
      <c r="H81" s="57" t="s">
        <v>7</v>
      </c>
      <c r="I81" s="57" t="s">
        <v>8</v>
      </c>
      <c r="J81" s="57" t="s">
        <v>9</v>
      </c>
      <c r="K81" s="57" t="s">
        <v>10</v>
      </c>
      <c r="L81" s="57" t="s">
        <v>11</v>
      </c>
      <c r="M81" s="57" t="s">
        <v>13</v>
      </c>
      <c r="N81" s="10"/>
      <c r="O81" s="10"/>
    </row>
    <row r="82" spans="1:15" ht="15.75" customHeight="1" x14ac:dyDescent="0.3">
      <c r="A82" s="72"/>
      <c r="B82" s="73"/>
      <c r="C82" s="3" t="str">
        <f t="shared" ref="C82:L82" si="14">VLOOKUP($A75,NotaIndividualPorAlunoFIS,RIGHT(C81,2)+1,0)</f>
        <v/>
      </c>
      <c r="D82" s="3" t="str">
        <f t="shared" si="14"/>
        <v/>
      </c>
      <c r="E82" s="3" t="str">
        <f t="shared" si="14"/>
        <v/>
      </c>
      <c r="F82" s="3" t="str">
        <f t="shared" si="14"/>
        <v/>
      </c>
      <c r="G82" s="3" t="str">
        <f t="shared" si="14"/>
        <v/>
      </c>
      <c r="H82" s="3" t="str">
        <f t="shared" si="14"/>
        <v/>
      </c>
      <c r="I82" s="3" t="str">
        <f t="shared" si="14"/>
        <v/>
      </c>
      <c r="J82" s="3" t="str">
        <f t="shared" si="14"/>
        <v/>
      </c>
      <c r="K82" s="3" t="str">
        <f t="shared" si="14"/>
        <v/>
      </c>
      <c r="L82" s="3" t="str">
        <f t="shared" si="14"/>
        <v/>
      </c>
      <c r="M82" s="19" t="str">
        <f>VLOOKUP($A75,NotaIndividualPorAlunoFIS,RIGHT(L81,2)+2,0)</f>
        <v/>
      </c>
      <c r="N82" s="10"/>
      <c r="O82" s="10"/>
    </row>
    <row r="83" spans="1:15" ht="15.6" x14ac:dyDescent="0.3">
      <c r="A83" s="72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0"/>
      <c r="O83" s="10"/>
    </row>
    <row r="84" spans="1:15" ht="15.6" x14ac:dyDescent="0.3">
      <c r="A84" s="72"/>
      <c r="B84" s="73" t="s">
        <v>16</v>
      </c>
      <c r="C84" s="23" t="s">
        <v>41</v>
      </c>
      <c r="D84" s="58" t="s">
        <v>42</v>
      </c>
      <c r="E84" s="23" t="s">
        <v>43</v>
      </c>
      <c r="F84" s="58" t="s">
        <v>44</v>
      </c>
      <c r="G84" s="23" t="s">
        <v>63</v>
      </c>
      <c r="H84" s="58" t="s">
        <v>32</v>
      </c>
      <c r="I84" s="14"/>
      <c r="J84" s="14"/>
      <c r="K84" s="14"/>
      <c r="L84" s="14"/>
      <c r="M84" s="15" t="s">
        <v>18</v>
      </c>
      <c r="N84" s="10"/>
      <c r="O84" s="10"/>
    </row>
    <row r="85" spans="1:15" ht="15.75" customHeight="1" x14ac:dyDescent="0.3">
      <c r="A85" s="72"/>
      <c r="B85" s="73"/>
      <c r="C85" s="26" t="str">
        <f>VLOOKUP($A75,NotaIndividualPorAlunoRED,2,0)</f>
        <v/>
      </c>
      <c r="D85" s="26" t="str">
        <f>VLOOKUP($A75,NotaIndividualPorAlunoRED,3,0)</f>
        <v/>
      </c>
      <c r="E85" s="26" t="str">
        <f>VLOOKUP($A75,NotaIndividualPorAlunoRED,4,0)</f>
        <v/>
      </c>
      <c r="F85" s="26" t="str">
        <f>VLOOKUP($A75,NotaIndividualPorAlunoRED,5,0)</f>
        <v/>
      </c>
      <c r="G85" s="26" t="str">
        <f>VLOOKUP($A75,NotaIndividualPorAlunoRED,6,0)</f>
        <v/>
      </c>
      <c r="H85" s="21" t="str">
        <f>VLOOKUP($A75,NotaIndividualPorAlunoRED,7,0)</f>
        <v/>
      </c>
      <c r="I85" s="14"/>
      <c r="J85" s="14"/>
      <c r="K85" s="14"/>
      <c r="L85" s="14"/>
      <c r="M85" s="20" t="str">
        <f>VLOOKUP(A75,NOTAS!C:I,7,0)</f>
        <v/>
      </c>
      <c r="N85" s="10"/>
      <c r="O85" s="10"/>
    </row>
    <row r="86" spans="1:15" x14ac:dyDescent="0.3">
      <c r="A86" s="72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0"/>
      <c r="O86" s="10"/>
    </row>
    <row r="87" spans="1:15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1:15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1:15" x14ac:dyDescent="0.3">
      <c r="A89" s="58" t="s">
        <v>38</v>
      </c>
      <c r="B89" s="57" t="s">
        <v>35</v>
      </c>
      <c r="C89" s="57" t="s">
        <v>56</v>
      </c>
      <c r="D89" s="57" t="s">
        <v>57</v>
      </c>
      <c r="E89" s="57" t="s">
        <v>58</v>
      </c>
      <c r="F89" s="57" t="s">
        <v>59</v>
      </c>
      <c r="G89" s="57" t="s">
        <v>60</v>
      </c>
      <c r="H89" s="57" t="s">
        <v>36</v>
      </c>
      <c r="I89" s="57" t="s">
        <v>61</v>
      </c>
      <c r="J89" s="57" t="s">
        <v>34</v>
      </c>
      <c r="K89" s="57" t="s">
        <v>62</v>
      </c>
      <c r="L89" s="16" t="s">
        <v>33</v>
      </c>
      <c r="M89" s="57" t="s">
        <v>37</v>
      </c>
      <c r="N89" s="10"/>
      <c r="O89" s="10"/>
    </row>
    <row r="90" spans="1:15" ht="15.6" x14ac:dyDescent="0.3">
      <c r="A90" s="58" t="str" cm="1">
        <f t="array" ref="A90">IF(ISERROR(INDEX(ListaDeAlunos,(((ROW()-2)/17)+1),(COLUMN()+1))),"",INDEX(ListaDeAlunos,(((ROW()-2)/17)+1),(COLUMN()+1)))</f>
        <v/>
      </c>
      <c r="B90" s="17" t="str">
        <f>VLOOKUP($A90,NotaIndividualPorAlunoPROVAO,2,0)</f>
        <v/>
      </c>
      <c r="C90" s="18" t="str">
        <f>VLOOKUP($A90,NotaIndividualPorAlunoPROVAO,3,0)</f>
        <v/>
      </c>
      <c r="D90" s="17" t="str">
        <f>VLOOKUP($A90,NotaIndividualPorAlunoPROVAO,4,0)</f>
        <v/>
      </c>
      <c r="E90" s="18" t="str">
        <f>VLOOKUP($A90,NotaIndividualPorAlunoPROVAO,5,0)</f>
        <v/>
      </c>
      <c r="F90" s="17" t="str">
        <f>VLOOKUP($A90,NotaIndividualPorAlunoPROVAO,6,0)</f>
        <v/>
      </c>
      <c r="G90" s="18" t="str">
        <f>VLOOKUP($A90,NotaIndividualPorAlunoPROVAO,7,0)</f>
        <v/>
      </c>
      <c r="H90" s="17" t="str">
        <f>VLOOKUP($A90,NotaIndividualPorAlunoPROVAO,8,0)</f>
        <v/>
      </c>
      <c r="I90" s="18" t="str">
        <f>VLOOKUP($A90,NotaIndividualPorAlunoPROVAO,9,0)</f>
        <v/>
      </c>
      <c r="J90" s="17" t="str">
        <f>VLOOKUP($A90,NotaIndividualPorAlunoPROVAO,10,0)</f>
        <v/>
      </c>
      <c r="K90" s="18" t="str">
        <f>VLOOKUP($A90,NotaIndividualPorAlunoPROVAO,11,0)</f>
        <v/>
      </c>
      <c r="L90" s="15" t="str">
        <f>VLOOKUP($A90,NotaIndividualPorAlunoPROVAO,12,0)</f>
        <v/>
      </c>
      <c r="M90" s="25" t="str">
        <f>VLOOKUP($A90,NotaIndividualPorAlunoPROVAO,13,0)</f>
        <v/>
      </c>
      <c r="N90" s="10"/>
      <c r="O90" s="10"/>
    </row>
    <row r="91" spans="1:15" x14ac:dyDescent="0.3">
      <c r="N91" s="10"/>
      <c r="O91" s="10"/>
    </row>
    <row r="92" spans="1:15" x14ac:dyDescent="0.3">
      <c r="A92" s="72" t="str">
        <f>A90</f>
        <v/>
      </c>
      <c r="B92" s="73" t="s">
        <v>15</v>
      </c>
      <c r="C92" s="57" t="s">
        <v>2</v>
      </c>
      <c r="D92" s="57" t="s">
        <v>3</v>
      </c>
      <c r="E92" s="57" t="s">
        <v>4</v>
      </c>
      <c r="F92" s="57" t="s">
        <v>5</v>
      </c>
      <c r="G92" s="57" t="s">
        <v>6</v>
      </c>
      <c r="H92" s="57" t="s">
        <v>7</v>
      </c>
      <c r="I92" s="57" t="s">
        <v>8</v>
      </c>
      <c r="J92" s="57" t="s">
        <v>9</v>
      </c>
      <c r="K92" s="57" t="s">
        <v>10</v>
      </c>
      <c r="L92" s="57" t="s">
        <v>11</v>
      </c>
      <c r="M92" s="57" t="s">
        <v>13</v>
      </c>
      <c r="N92" s="10"/>
      <c r="O92" s="10"/>
    </row>
    <row r="93" spans="1:15" ht="15.75" customHeight="1" x14ac:dyDescent="0.3">
      <c r="A93" s="72"/>
      <c r="B93" s="73"/>
      <c r="C93" s="5" t="str">
        <f t="shared" ref="C93:L93" si="15">VLOOKUP($A92,NotaIndividualPorAlunoMAT,RIGHT(C92,2)+1,0)</f>
        <v/>
      </c>
      <c r="D93" s="5" t="str">
        <f t="shared" si="15"/>
        <v/>
      </c>
      <c r="E93" s="5" t="str">
        <f t="shared" si="15"/>
        <v/>
      </c>
      <c r="F93" s="5" t="str">
        <f t="shared" si="15"/>
        <v/>
      </c>
      <c r="G93" s="5" t="str">
        <f t="shared" si="15"/>
        <v/>
      </c>
      <c r="H93" s="5" t="str">
        <f t="shared" si="15"/>
        <v/>
      </c>
      <c r="I93" s="5" t="str">
        <f t="shared" si="15"/>
        <v/>
      </c>
      <c r="J93" s="5" t="str">
        <f t="shared" si="15"/>
        <v/>
      </c>
      <c r="K93" s="5" t="str">
        <f t="shared" si="15"/>
        <v/>
      </c>
      <c r="L93" s="5" t="str">
        <f t="shared" si="15"/>
        <v/>
      </c>
      <c r="M93" s="19" t="str">
        <f>VLOOKUP($A92,NotaIndividualPorAlunoMAT,RIGHT(L92,2)+2,0)</f>
        <v/>
      </c>
      <c r="N93" s="10"/>
      <c r="O93" s="10"/>
    </row>
    <row r="94" spans="1:15" x14ac:dyDescent="0.3">
      <c r="A94" s="72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0"/>
      <c r="O94" s="10"/>
    </row>
    <row r="95" spans="1:15" x14ac:dyDescent="0.3">
      <c r="A95" s="72"/>
      <c r="B95" s="73" t="s">
        <v>14</v>
      </c>
      <c r="C95" s="57" t="s">
        <v>46</v>
      </c>
      <c r="D95" s="57" t="s">
        <v>47</v>
      </c>
      <c r="E95" s="57" t="s">
        <v>48</v>
      </c>
      <c r="F95" s="57" t="s">
        <v>49</v>
      </c>
      <c r="G95" s="57" t="s">
        <v>50</v>
      </c>
      <c r="H95" s="57" t="s">
        <v>51</v>
      </c>
      <c r="I95" s="57" t="s">
        <v>52</v>
      </c>
      <c r="J95" s="57" t="s">
        <v>53</v>
      </c>
      <c r="K95" s="57" t="s">
        <v>54</v>
      </c>
      <c r="L95" s="57" t="s">
        <v>55</v>
      </c>
      <c r="M95" s="57" t="s">
        <v>13</v>
      </c>
      <c r="N95" s="10"/>
      <c r="O95" s="10"/>
    </row>
    <row r="96" spans="1:15" ht="15.75" customHeight="1" x14ac:dyDescent="0.3">
      <c r="A96" s="72"/>
      <c r="B96" s="73"/>
      <c r="C96" s="3" t="str">
        <f t="shared" ref="C96:L96" si="16">VLOOKUP($A92,NotaIndividualPorAlunoQUI,RIGHT(C95,2)-9,0)</f>
        <v/>
      </c>
      <c r="D96" s="3" t="str">
        <f t="shared" si="16"/>
        <v/>
      </c>
      <c r="E96" s="3" t="str">
        <f t="shared" si="16"/>
        <v/>
      </c>
      <c r="F96" s="3" t="str">
        <f t="shared" si="16"/>
        <v/>
      </c>
      <c r="G96" s="3" t="str">
        <f t="shared" si="16"/>
        <v/>
      </c>
      <c r="H96" s="3" t="str">
        <f t="shared" si="16"/>
        <v/>
      </c>
      <c r="I96" s="3" t="str">
        <f t="shared" si="16"/>
        <v/>
      </c>
      <c r="J96" s="3" t="str">
        <f t="shared" si="16"/>
        <v/>
      </c>
      <c r="K96" s="3" t="str">
        <f t="shared" si="16"/>
        <v/>
      </c>
      <c r="L96" s="3" t="str">
        <f t="shared" si="16"/>
        <v/>
      </c>
      <c r="M96" s="19" t="str">
        <f>VLOOKUP($A92,NotaIndividualPorAlunoQUI,RIGHT(L95,2)-8,0)</f>
        <v/>
      </c>
      <c r="N96" s="10"/>
      <c r="O96" s="10"/>
    </row>
    <row r="97" spans="1:15" x14ac:dyDescent="0.3">
      <c r="A97" s="72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0"/>
      <c r="O97" s="10"/>
    </row>
    <row r="98" spans="1:15" x14ac:dyDescent="0.3">
      <c r="A98" s="72"/>
      <c r="B98" s="73" t="s">
        <v>12</v>
      </c>
      <c r="C98" s="57" t="s">
        <v>2</v>
      </c>
      <c r="D98" s="57" t="s">
        <v>3</v>
      </c>
      <c r="E98" s="57" t="s">
        <v>4</v>
      </c>
      <c r="F98" s="57" t="s">
        <v>5</v>
      </c>
      <c r="G98" s="57" t="s">
        <v>6</v>
      </c>
      <c r="H98" s="57" t="s">
        <v>7</v>
      </c>
      <c r="I98" s="57" t="s">
        <v>8</v>
      </c>
      <c r="J98" s="57" t="s">
        <v>9</v>
      </c>
      <c r="K98" s="57" t="s">
        <v>10</v>
      </c>
      <c r="L98" s="57" t="s">
        <v>11</v>
      </c>
      <c r="M98" s="57" t="s">
        <v>13</v>
      </c>
      <c r="N98" s="10"/>
      <c r="O98" s="10"/>
    </row>
    <row r="99" spans="1:15" ht="15.75" customHeight="1" x14ac:dyDescent="0.3">
      <c r="A99" s="72"/>
      <c r="B99" s="73"/>
      <c r="C99" s="3" t="str">
        <f t="shared" ref="C99:L99" si="17">VLOOKUP($A92,NotaIndividualPorAlunoFIS,RIGHT(C98,2)+1,0)</f>
        <v/>
      </c>
      <c r="D99" s="3" t="str">
        <f t="shared" si="17"/>
        <v/>
      </c>
      <c r="E99" s="3" t="str">
        <f t="shared" si="17"/>
        <v/>
      </c>
      <c r="F99" s="3" t="str">
        <f t="shared" si="17"/>
        <v/>
      </c>
      <c r="G99" s="3" t="str">
        <f t="shared" si="17"/>
        <v/>
      </c>
      <c r="H99" s="3" t="str">
        <f t="shared" si="17"/>
        <v/>
      </c>
      <c r="I99" s="3" t="str">
        <f t="shared" si="17"/>
        <v/>
      </c>
      <c r="J99" s="3" t="str">
        <f t="shared" si="17"/>
        <v/>
      </c>
      <c r="K99" s="3" t="str">
        <f t="shared" si="17"/>
        <v/>
      </c>
      <c r="L99" s="3" t="str">
        <f t="shared" si="17"/>
        <v/>
      </c>
      <c r="M99" s="19" t="str">
        <f>VLOOKUP($A92,NotaIndividualPorAlunoFIS,RIGHT(L98,2)+2,0)</f>
        <v/>
      </c>
      <c r="N99" s="10"/>
      <c r="O99" s="10"/>
    </row>
    <row r="100" spans="1:15" ht="15.6" x14ac:dyDescent="0.3">
      <c r="A100" s="72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0"/>
      <c r="O100" s="10"/>
    </row>
    <row r="101" spans="1:15" ht="15.6" x14ac:dyDescent="0.3">
      <c r="A101" s="72"/>
      <c r="B101" s="73" t="s">
        <v>16</v>
      </c>
      <c r="C101" s="23" t="s">
        <v>41</v>
      </c>
      <c r="D101" s="58" t="s">
        <v>42</v>
      </c>
      <c r="E101" s="23" t="s">
        <v>43</v>
      </c>
      <c r="F101" s="58" t="s">
        <v>44</v>
      </c>
      <c r="G101" s="23" t="s">
        <v>63</v>
      </c>
      <c r="H101" s="58" t="s">
        <v>32</v>
      </c>
      <c r="I101" s="14"/>
      <c r="J101" s="14"/>
      <c r="K101" s="14"/>
      <c r="L101" s="14"/>
      <c r="M101" s="15" t="s">
        <v>18</v>
      </c>
      <c r="N101" s="10"/>
      <c r="O101" s="10"/>
    </row>
    <row r="102" spans="1:15" ht="15.75" customHeight="1" x14ac:dyDescent="0.3">
      <c r="A102" s="72"/>
      <c r="B102" s="73"/>
      <c r="C102" s="26" t="str">
        <f>VLOOKUP($A92,NotaIndividualPorAlunoRED,2,0)</f>
        <v/>
      </c>
      <c r="D102" s="26" t="str">
        <f>VLOOKUP($A92,NotaIndividualPorAlunoRED,3,0)</f>
        <v/>
      </c>
      <c r="E102" s="26" t="str">
        <f>VLOOKUP($A92,NotaIndividualPorAlunoRED,4,0)</f>
        <v/>
      </c>
      <c r="F102" s="26" t="str">
        <f>VLOOKUP($A92,NotaIndividualPorAlunoRED,5,0)</f>
        <v/>
      </c>
      <c r="G102" s="26" t="str">
        <f>VLOOKUP($A92,NotaIndividualPorAlunoRED,6,0)</f>
        <v/>
      </c>
      <c r="H102" s="21" t="str">
        <f>VLOOKUP($A92,NotaIndividualPorAlunoRED,7,0)</f>
        <v/>
      </c>
      <c r="I102" s="14"/>
      <c r="J102" s="14"/>
      <c r="K102" s="14"/>
      <c r="L102" s="14"/>
      <c r="M102" s="20" t="str">
        <f>VLOOKUP(A92,NOTAS!C:I,7,0)</f>
        <v/>
      </c>
      <c r="N102" s="10"/>
      <c r="O102" s="10"/>
    </row>
    <row r="103" spans="1:15" x14ac:dyDescent="0.3">
      <c r="A103" s="72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0"/>
      <c r="O103" s="10"/>
    </row>
    <row r="104" spans="1:15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</row>
    <row r="105" spans="1:15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</row>
    <row r="106" spans="1:15" x14ac:dyDescent="0.3">
      <c r="A106" s="58" t="s">
        <v>38</v>
      </c>
      <c r="B106" s="57" t="s">
        <v>35</v>
      </c>
      <c r="C106" s="57" t="s">
        <v>56</v>
      </c>
      <c r="D106" s="57" t="s">
        <v>57</v>
      </c>
      <c r="E106" s="57" t="s">
        <v>58</v>
      </c>
      <c r="F106" s="57" t="s">
        <v>59</v>
      </c>
      <c r="G106" s="57" t="s">
        <v>60</v>
      </c>
      <c r="H106" s="57" t="s">
        <v>36</v>
      </c>
      <c r="I106" s="57" t="s">
        <v>61</v>
      </c>
      <c r="J106" s="57" t="s">
        <v>34</v>
      </c>
      <c r="K106" s="57" t="s">
        <v>62</v>
      </c>
      <c r="L106" s="16" t="s">
        <v>33</v>
      </c>
      <c r="M106" s="57" t="s">
        <v>37</v>
      </c>
      <c r="N106" s="10"/>
      <c r="O106" s="10"/>
    </row>
    <row r="107" spans="1:15" ht="15.6" x14ac:dyDescent="0.3">
      <c r="A107" s="58" t="str" cm="1">
        <f t="array" ref="A107">IF(ISERROR(INDEX(ListaDeAlunos,(((ROW()-2)/17)+1),(COLUMN()+1))),"",INDEX(ListaDeAlunos,(((ROW()-2)/17)+1),(COLUMN()+1)))</f>
        <v/>
      </c>
      <c r="B107" s="17" t="str">
        <f>VLOOKUP($A107,NotaIndividualPorAlunoPROVAO,2,0)</f>
        <v/>
      </c>
      <c r="C107" s="18" t="str">
        <f>VLOOKUP($A107,NotaIndividualPorAlunoPROVAO,3,0)</f>
        <v/>
      </c>
      <c r="D107" s="17" t="str">
        <f>VLOOKUP($A107,NotaIndividualPorAlunoPROVAO,4,0)</f>
        <v/>
      </c>
      <c r="E107" s="18" t="str">
        <f>VLOOKUP($A107,NotaIndividualPorAlunoPROVAO,5,0)</f>
        <v/>
      </c>
      <c r="F107" s="17" t="str">
        <f>VLOOKUP($A107,NotaIndividualPorAlunoPROVAO,6,0)</f>
        <v/>
      </c>
      <c r="G107" s="18" t="str">
        <f>VLOOKUP($A107,NotaIndividualPorAlunoPROVAO,7,0)</f>
        <v/>
      </c>
      <c r="H107" s="17" t="str">
        <f>VLOOKUP($A107,NotaIndividualPorAlunoPROVAO,8,0)</f>
        <v/>
      </c>
      <c r="I107" s="18" t="str">
        <f>VLOOKUP($A107,NotaIndividualPorAlunoPROVAO,9,0)</f>
        <v/>
      </c>
      <c r="J107" s="17" t="str">
        <f>VLOOKUP($A107,NotaIndividualPorAlunoPROVAO,10,0)</f>
        <v/>
      </c>
      <c r="K107" s="18" t="str">
        <f>VLOOKUP($A107,NotaIndividualPorAlunoPROVAO,11,0)</f>
        <v/>
      </c>
      <c r="L107" s="15" t="str">
        <f>VLOOKUP($A107,NotaIndividualPorAlunoPROVAO,12,0)</f>
        <v/>
      </c>
      <c r="M107" s="25" t="str">
        <f>VLOOKUP($A107,NotaIndividualPorAlunoPROVAO,13,0)</f>
        <v/>
      </c>
      <c r="N107" s="10"/>
      <c r="O107" s="10"/>
    </row>
    <row r="108" spans="1:15" x14ac:dyDescent="0.3">
      <c r="N108" s="10"/>
      <c r="O108" s="10"/>
    </row>
    <row r="109" spans="1:15" x14ac:dyDescent="0.3">
      <c r="A109" s="72" t="str">
        <f>A107</f>
        <v/>
      </c>
      <c r="B109" s="73" t="s">
        <v>15</v>
      </c>
      <c r="C109" s="57" t="s">
        <v>2</v>
      </c>
      <c r="D109" s="57" t="s">
        <v>3</v>
      </c>
      <c r="E109" s="57" t="s">
        <v>4</v>
      </c>
      <c r="F109" s="57" t="s">
        <v>5</v>
      </c>
      <c r="G109" s="57" t="s">
        <v>6</v>
      </c>
      <c r="H109" s="57" t="s">
        <v>7</v>
      </c>
      <c r="I109" s="57" t="s">
        <v>8</v>
      </c>
      <c r="J109" s="57" t="s">
        <v>9</v>
      </c>
      <c r="K109" s="57" t="s">
        <v>10</v>
      </c>
      <c r="L109" s="57" t="s">
        <v>11</v>
      </c>
      <c r="M109" s="57" t="s">
        <v>13</v>
      </c>
      <c r="N109" s="10"/>
      <c r="O109" s="10"/>
    </row>
    <row r="110" spans="1:15" ht="15.75" customHeight="1" x14ac:dyDescent="0.3">
      <c r="A110" s="72"/>
      <c r="B110" s="73"/>
      <c r="C110" s="5" t="str">
        <f t="shared" ref="C110:L110" si="18">VLOOKUP($A109,NotaIndividualPorAlunoMAT,RIGHT(C109,2)+1,0)</f>
        <v/>
      </c>
      <c r="D110" s="5" t="str">
        <f t="shared" si="18"/>
        <v/>
      </c>
      <c r="E110" s="5" t="str">
        <f t="shared" si="18"/>
        <v/>
      </c>
      <c r="F110" s="5" t="str">
        <f t="shared" si="18"/>
        <v/>
      </c>
      <c r="G110" s="5" t="str">
        <f t="shared" si="18"/>
        <v/>
      </c>
      <c r="H110" s="5" t="str">
        <f t="shared" si="18"/>
        <v/>
      </c>
      <c r="I110" s="5" t="str">
        <f t="shared" si="18"/>
        <v/>
      </c>
      <c r="J110" s="5" t="str">
        <f t="shared" si="18"/>
        <v/>
      </c>
      <c r="K110" s="5" t="str">
        <f t="shared" si="18"/>
        <v/>
      </c>
      <c r="L110" s="5" t="str">
        <f t="shared" si="18"/>
        <v/>
      </c>
      <c r="M110" s="19" t="str">
        <f>VLOOKUP($A109,NotaIndividualPorAlunoMAT,RIGHT(L109,2)+2,0)</f>
        <v/>
      </c>
      <c r="N110" s="10"/>
      <c r="O110" s="10"/>
    </row>
    <row r="111" spans="1:15" x14ac:dyDescent="0.3">
      <c r="A111" s="72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0"/>
      <c r="O111" s="10"/>
    </row>
    <row r="112" spans="1:15" ht="15" customHeight="1" x14ac:dyDescent="0.3">
      <c r="A112" s="72"/>
      <c r="B112" s="73" t="s">
        <v>14</v>
      </c>
      <c r="C112" s="57" t="s">
        <v>46</v>
      </c>
      <c r="D112" s="57" t="s">
        <v>47</v>
      </c>
      <c r="E112" s="57" t="s">
        <v>48</v>
      </c>
      <c r="F112" s="57" t="s">
        <v>49</v>
      </c>
      <c r="G112" s="57" t="s">
        <v>50</v>
      </c>
      <c r="H112" s="57" t="s">
        <v>51</v>
      </c>
      <c r="I112" s="57" t="s">
        <v>52</v>
      </c>
      <c r="J112" s="57" t="s">
        <v>53</v>
      </c>
      <c r="K112" s="57" t="s">
        <v>54</v>
      </c>
      <c r="L112" s="57" t="s">
        <v>55</v>
      </c>
      <c r="M112" s="57" t="s">
        <v>13</v>
      </c>
      <c r="N112" s="10"/>
      <c r="O112" s="10"/>
    </row>
    <row r="113" spans="1:15" ht="15.75" customHeight="1" x14ac:dyDescent="0.3">
      <c r="A113" s="72"/>
      <c r="B113" s="73"/>
      <c r="C113" s="3" t="str">
        <f t="shared" ref="C113:L113" si="19">VLOOKUP($A109,NotaIndividualPorAlunoQUI,RIGHT(C112,2)-9,0)</f>
        <v/>
      </c>
      <c r="D113" s="3" t="str">
        <f t="shared" si="19"/>
        <v/>
      </c>
      <c r="E113" s="3" t="str">
        <f t="shared" si="19"/>
        <v/>
      </c>
      <c r="F113" s="3" t="str">
        <f t="shared" si="19"/>
        <v/>
      </c>
      <c r="G113" s="3" t="str">
        <f t="shared" si="19"/>
        <v/>
      </c>
      <c r="H113" s="3" t="str">
        <f t="shared" si="19"/>
        <v/>
      </c>
      <c r="I113" s="3" t="str">
        <f t="shared" si="19"/>
        <v/>
      </c>
      <c r="J113" s="3" t="str">
        <f t="shared" si="19"/>
        <v/>
      </c>
      <c r="K113" s="3" t="str">
        <f t="shared" si="19"/>
        <v/>
      </c>
      <c r="L113" s="3" t="str">
        <f t="shared" si="19"/>
        <v/>
      </c>
      <c r="M113" s="19" t="str">
        <f>VLOOKUP($A109,NotaIndividualPorAlunoQUI,RIGHT(L112,2)-8,0)</f>
        <v/>
      </c>
      <c r="N113" s="10"/>
      <c r="O113" s="10"/>
    </row>
    <row r="114" spans="1:15" x14ac:dyDescent="0.3">
      <c r="A114" s="72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0"/>
      <c r="O114" s="10"/>
    </row>
    <row r="115" spans="1:15" x14ac:dyDescent="0.3">
      <c r="A115" s="72"/>
      <c r="B115" s="73" t="s">
        <v>12</v>
      </c>
      <c r="C115" s="57" t="s">
        <v>2</v>
      </c>
      <c r="D115" s="57" t="s">
        <v>3</v>
      </c>
      <c r="E115" s="57" t="s">
        <v>4</v>
      </c>
      <c r="F115" s="57" t="s">
        <v>5</v>
      </c>
      <c r="G115" s="57" t="s">
        <v>6</v>
      </c>
      <c r="H115" s="57" t="s">
        <v>7</v>
      </c>
      <c r="I115" s="57" t="s">
        <v>8</v>
      </c>
      <c r="J115" s="57" t="s">
        <v>9</v>
      </c>
      <c r="K115" s="57" t="s">
        <v>10</v>
      </c>
      <c r="L115" s="57" t="s">
        <v>11</v>
      </c>
      <c r="M115" s="57" t="s">
        <v>13</v>
      </c>
      <c r="N115" s="10"/>
      <c r="O115" s="10"/>
    </row>
    <row r="116" spans="1:15" ht="15.75" customHeight="1" x14ac:dyDescent="0.3">
      <c r="A116" s="72"/>
      <c r="B116" s="73"/>
      <c r="C116" s="3" t="str">
        <f t="shared" ref="C116:L116" si="20">VLOOKUP($A109,NotaIndividualPorAlunoFIS,RIGHT(C115,2)+1,0)</f>
        <v/>
      </c>
      <c r="D116" s="3" t="str">
        <f t="shared" si="20"/>
        <v/>
      </c>
      <c r="E116" s="3" t="str">
        <f t="shared" si="20"/>
        <v/>
      </c>
      <c r="F116" s="3" t="str">
        <f t="shared" si="20"/>
        <v/>
      </c>
      <c r="G116" s="3" t="str">
        <f t="shared" si="20"/>
        <v/>
      </c>
      <c r="H116" s="3" t="str">
        <f t="shared" si="20"/>
        <v/>
      </c>
      <c r="I116" s="3" t="str">
        <f t="shared" si="20"/>
        <v/>
      </c>
      <c r="J116" s="3" t="str">
        <f t="shared" si="20"/>
        <v/>
      </c>
      <c r="K116" s="3" t="str">
        <f t="shared" si="20"/>
        <v/>
      </c>
      <c r="L116" s="3" t="str">
        <f t="shared" si="20"/>
        <v/>
      </c>
      <c r="M116" s="19" t="str">
        <f>VLOOKUP($A109,NotaIndividualPorAlunoFIS,RIGHT(L115,2)+2,0)</f>
        <v/>
      </c>
      <c r="N116" s="10"/>
      <c r="O116" s="10"/>
    </row>
    <row r="117" spans="1:15" ht="15.6" x14ac:dyDescent="0.3">
      <c r="A117" s="72"/>
      <c r="B117" s="12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0"/>
    </row>
    <row r="118" spans="1:15" ht="15.6" x14ac:dyDescent="0.3">
      <c r="A118" s="72"/>
      <c r="B118" s="73" t="s">
        <v>16</v>
      </c>
      <c r="C118" s="23" t="s">
        <v>41</v>
      </c>
      <c r="D118" s="58" t="s">
        <v>42</v>
      </c>
      <c r="E118" s="23" t="s">
        <v>43</v>
      </c>
      <c r="F118" s="58" t="s">
        <v>44</v>
      </c>
      <c r="G118" s="23" t="s">
        <v>63</v>
      </c>
      <c r="H118" s="58" t="s">
        <v>32</v>
      </c>
      <c r="I118" s="14"/>
      <c r="J118" s="14"/>
      <c r="K118" s="14"/>
      <c r="L118" s="14"/>
      <c r="M118" s="15" t="s">
        <v>18</v>
      </c>
      <c r="N118" s="10"/>
      <c r="O118" s="10"/>
    </row>
    <row r="119" spans="1:15" ht="15.75" customHeight="1" x14ac:dyDescent="0.3">
      <c r="A119" s="72"/>
      <c r="B119" s="73"/>
      <c r="C119" s="26" t="str">
        <f>VLOOKUP($A109,NotaIndividualPorAlunoRED,2,0)</f>
        <v/>
      </c>
      <c r="D119" s="26" t="str">
        <f>VLOOKUP($A109,NotaIndividualPorAlunoRED,3,0)</f>
        <v/>
      </c>
      <c r="E119" s="26" t="str">
        <f>VLOOKUP($A109,NotaIndividualPorAlunoRED,4,0)</f>
        <v/>
      </c>
      <c r="F119" s="26" t="str">
        <f>VLOOKUP($A109,NotaIndividualPorAlunoRED,5,0)</f>
        <v/>
      </c>
      <c r="G119" s="26" t="str">
        <f>VLOOKUP($A109,NotaIndividualPorAlunoRED,6,0)</f>
        <v/>
      </c>
      <c r="H119" s="21" t="str">
        <f>VLOOKUP($A109,NotaIndividualPorAlunoRED,7,0)</f>
        <v/>
      </c>
      <c r="I119" s="14"/>
      <c r="J119" s="14"/>
      <c r="K119" s="14"/>
      <c r="L119" s="14"/>
      <c r="M119" s="20" t="str">
        <f>VLOOKUP(A109,NOTAS!C:I,7,0)</f>
        <v/>
      </c>
      <c r="N119" s="10"/>
      <c r="O119" s="10"/>
    </row>
    <row r="120" spans="1:15" x14ac:dyDescent="0.3">
      <c r="A120" s="72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0"/>
      <c r="O120" s="10"/>
    </row>
    <row r="121" spans="1:15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</row>
    <row r="122" spans="1:15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</row>
    <row r="123" spans="1:15" x14ac:dyDescent="0.3">
      <c r="A123" s="58" t="s">
        <v>38</v>
      </c>
      <c r="B123" s="57" t="s">
        <v>35</v>
      </c>
      <c r="C123" s="57" t="s">
        <v>56</v>
      </c>
      <c r="D123" s="57" t="s">
        <v>57</v>
      </c>
      <c r="E123" s="57" t="s">
        <v>58</v>
      </c>
      <c r="F123" s="57" t="s">
        <v>59</v>
      </c>
      <c r="G123" s="57" t="s">
        <v>60</v>
      </c>
      <c r="H123" s="57" t="s">
        <v>36</v>
      </c>
      <c r="I123" s="57" t="s">
        <v>61</v>
      </c>
      <c r="J123" s="57" t="s">
        <v>34</v>
      </c>
      <c r="K123" s="57" t="s">
        <v>62</v>
      </c>
      <c r="L123" s="16" t="s">
        <v>33</v>
      </c>
      <c r="M123" s="57" t="s">
        <v>37</v>
      </c>
      <c r="N123" s="10"/>
      <c r="O123" s="10"/>
    </row>
    <row r="124" spans="1:15" ht="15.6" x14ac:dyDescent="0.3">
      <c r="A124" s="58" t="str" cm="1">
        <f t="array" ref="A124">IF(ISERROR(INDEX(ListaDeAlunos,(((ROW()-2)/17)+1),(COLUMN()+1))),"",INDEX(ListaDeAlunos,(((ROW()-2)/17)+1),(COLUMN()+1)))</f>
        <v/>
      </c>
      <c r="B124" s="17" t="str">
        <f>VLOOKUP($A124,NotaIndividualPorAlunoPROVAO,2,0)</f>
        <v/>
      </c>
      <c r="C124" s="18" t="str">
        <f>VLOOKUP($A124,NotaIndividualPorAlunoPROVAO,3,0)</f>
        <v/>
      </c>
      <c r="D124" s="17" t="str">
        <f>VLOOKUP($A124,NotaIndividualPorAlunoPROVAO,4,0)</f>
        <v/>
      </c>
      <c r="E124" s="18" t="str">
        <f>VLOOKUP($A124,NotaIndividualPorAlunoPROVAO,5,0)</f>
        <v/>
      </c>
      <c r="F124" s="17" t="str">
        <f>VLOOKUP($A124,NotaIndividualPorAlunoPROVAO,6,0)</f>
        <v/>
      </c>
      <c r="G124" s="18" t="str">
        <f>VLOOKUP($A124,NotaIndividualPorAlunoPROVAO,7,0)</f>
        <v/>
      </c>
      <c r="H124" s="17" t="str">
        <f>VLOOKUP($A124,NotaIndividualPorAlunoPROVAO,8,0)</f>
        <v/>
      </c>
      <c r="I124" s="18" t="str">
        <f>VLOOKUP($A124,NotaIndividualPorAlunoPROVAO,9,0)</f>
        <v/>
      </c>
      <c r="J124" s="17" t="str">
        <f>VLOOKUP($A124,NotaIndividualPorAlunoPROVAO,10,0)</f>
        <v/>
      </c>
      <c r="K124" s="18" t="str">
        <f>VLOOKUP($A124,NotaIndividualPorAlunoPROVAO,11,0)</f>
        <v/>
      </c>
      <c r="L124" s="15" t="str">
        <f>VLOOKUP($A124,NotaIndividualPorAlunoPROVAO,12,0)</f>
        <v/>
      </c>
      <c r="M124" s="25" t="str">
        <f>VLOOKUP($A124,NotaIndividualPorAlunoPROVAO,13,0)</f>
        <v/>
      </c>
      <c r="N124" s="10"/>
      <c r="O124" s="10"/>
    </row>
    <row r="125" spans="1:15" x14ac:dyDescent="0.3">
      <c r="N125" s="10"/>
      <c r="O125" s="10"/>
    </row>
    <row r="126" spans="1:15" x14ac:dyDescent="0.3">
      <c r="A126" s="72" t="str">
        <f>A124</f>
        <v/>
      </c>
      <c r="B126" s="73" t="s">
        <v>15</v>
      </c>
      <c r="C126" s="57" t="s">
        <v>2</v>
      </c>
      <c r="D126" s="57" t="s">
        <v>3</v>
      </c>
      <c r="E126" s="57" t="s">
        <v>4</v>
      </c>
      <c r="F126" s="57" t="s">
        <v>5</v>
      </c>
      <c r="G126" s="57" t="s">
        <v>6</v>
      </c>
      <c r="H126" s="57" t="s">
        <v>7</v>
      </c>
      <c r="I126" s="57" t="s">
        <v>8</v>
      </c>
      <c r="J126" s="57" t="s">
        <v>9</v>
      </c>
      <c r="K126" s="57" t="s">
        <v>10</v>
      </c>
      <c r="L126" s="57" t="s">
        <v>11</v>
      </c>
      <c r="M126" s="57" t="s">
        <v>13</v>
      </c>
      <c r="N126" s="10"/>
      <c r="O126" s="10"/>
    </row>
    <row r="127" spans="1:15" ht="15.75" customHeight="1" x14ac:dyDescent="0.3">
      <c r="A127" s="72"/>
      <c r="B127" s="73"/>
      <c r="C127" s="5" t="str">
        <f t="shared" ref="C127:L127" si="21">VLOOKUP($A126,NotaIndividualPorAlunoMAT,RIGHT(C126,2)+1,0)</f>
        <v/>
      </c>
      <c r="D127" s="5" t="str">
        <f t="shared" si="21"/>
        <v/>
      </c>
      <c r="E127" s="5" t="str">
        <f t="shared" si="21"/>
        <v/>
      </c>
      <c r="F127" s="5" t="str">
        <f t="shared" si="21"/>
        <v/>
      </c>
      <c r="G127" s="5" t="str">
        <f t="shared" si="21"/>
        <v/>
      </c>
      <c r="H127" s="5" t="str">
        <f t="shared" si="21"/>
        <v/>
      </c>
      <c r="I127" s="5" t="str">
        <f t="shared" si="21"/>
        <v/>
      </c>
      <c r="J127" s="5" t="str">
        <f t="shared" si="21"/>
        <v/>
      </c>
      <c r="K127" s="5" t="str">
        <f t="shared" si="21"/>
        <v/>
      </c>
      <c r="L127" s="5" t="str">
        <f t="shared" si="21"/>
        <v/>
      </c>
      <c r="M127" s="19" t="str">
        <f>VLOOKUP($A126,NotaIndividualPorAlunoMAT,RIGHT(L126,2)+2,0)</f>
        <v/>
      </c>
      <c r="N127" s="10"/>
      <c r="O127" s="10"/>
    </row>
    <row r="128" spans="1:15" x14ac:dyDescent="0.3">
      <c r="A128" s="72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0"/>
      <c r="O128" s="10"/>
    </row>
    <row r="129" spans="1:15" x14ac:dyDescent="0.3">
      <c r="A129" s="72"/>
      <c r="B129" s="73" t="s">
        <v>14</v>
      </c>
      <c r="C129" s="57" t="s">
        <v>46</v>
      </c>
      <c r="D129" s="57" t="s">
        <v>47</v>
      </c>
      <c r="E129" s="57" t="s">
        <v>48</v>
      </c>
      <c r="F129" s="57" t="s">
        <v>49</v>
      </c>
      <c r="G129" s="57" t="s">
        <v>50</v>
      </c>
      <c r="H129" s="57" t="s">
        <v>51</v>
      </c>
      <c r="I129" s="57" t="s">
        <v>52</v>
      </c>
      <c r="J129" s="57" t="s">
        <v>53</v>
      </c>
      <c r="K129" s="57" t="s">
        <v>54</v>
      </c>
      <c r="L129" s="57" t="s">
        <v>55</v>
      </c>
      <c r="M129" s="57" t="s">
        <v>13</v>
      </c>
      <c r="N129" s="10"/>
      <c r="O129" s="10"/>
    </row>
    <row r="130" spans="1:15" ht="15" customHeight="1" x14ac:dyDescent="0.3">
      <c r="A130" s="72"/>
      <c r="B130" s="73"/>
      <c r="C130" s="3" t="str">
        <f t="shared" ref="C130:L130" si="22">VLOOKUP($A126,NotaIndividualPorAlunoQUI,RIGHT(C129,2)-9,0)</f>
        <v/>
      </c>
      <c r="D130" s="3" t="str">
        <f t="shared" si="22"/>
        <v/>
      </c>
      <c r="E130" s="3" t="str">
        <f t="shared" si="22"/>
        <v/>
      </c>
      <c r="F130" s="3" t="str">
        <f t="shared" si="22"/>
        <v/>
      </c>
      <c r="G130" s="3" t="str">
        <f t="shared" si="22"/>
        <v/>
      </c>
      <c r="H130" s="3" t="str">
        <f t="shared" si="22"/>
        <v/>
      </c>
      <c r="I130" s="3" t="str">
        <f t="shared" si="22"/>
        <v/>
      </c>
      <c r="J130" s="3" t="str">
        <f t="shared" si="22"/>
        <v/>
      </c>
      <c r="K130" s="3" t="str">
        <f t="shared" si="22"/>
        <v/>
      </c>
      <c r="L130" s="3" t="str">
        <f t="shared" si="22"/>
        <v/>
      </c>
      <c r="M130" s="19" t="str">
        <f>VLOOKUP($A126,NotaIndividualPorAlunoQUI,RIGHT(L129,2)-8,0)</f>
        <v/>
      </c>
      <c r="N130" s="10"/>
      <c r="O130" s="10"/>
    </row>
    <row r="131" spans="1:15" x14ac:dyDescent="0.3">
      <c r="A131" s="72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0"/>
      <c r="O131" s="10"/>
    </row>
    <row r="132" spans="1:15" x14ac:dyDescent="0.3">
      <c r="A132" s="72"/>
      <c r="B132" s="73" t="s">
        <v>12</v>
      </c>
      <c r="C132" s="57" t="s">
        <v>2</v>
      </c>
      <c r="D132" s="57" t="s">
        <v>3</v>
      </c>
      <c r="E132" s="57" t="s">
        <v>4</v>
      </c>
      <c r="F132" s="57" t="s">
        <v>5</v>
      </c>
      <c r="G132" s="57" t="s">
        <v>6</v>
      </c>
      <c r="H132" s="57" t="s">
        <v>7</v>
      </c>
      <c r="I132" s="57" t="s">
        <v>8</v>
      </c>
      <c r="J132" s="57" t="s">
        <v>9</v>
      </c>
      <c r="K132" s="57" t="s">
        <v>10</v>
      </c>
      <c r="L132" s="57" t="s">
        <v>11</v>
      </c>
      <c r="M132" s="57" t="s">
        <v>13</v>
      </c>
      <c r="N132" s="10"/>
      <c r="O132" s="10"/>
    </row>
    <row r="133" spans="1:15" ht="15.75" customHeight="1" x14ac:dyDescent="0.3">
      <c r="A133" s="72"/>
      <c r="B133" s="73"/>
      <c r="C133" s="3" t="str">
        <f t="shared" ref="C133:L133" si="23">VLOOKUP($A126,NotaIndividualPorAlunoFIS,RIGHT(C132,2)+1,0)</f>
        <v/>
      </c>
      <c r="D133" s="3" t="str">
        <f t="shared" si="23"/>
        <v/>
      </c>
      <c r="E133" s="3" t="str">
        <f t="shared" si="23"/>
        <v/>
      </c>
      <c r="F133" s="3" t="str">
        <f t="shared" si="23"/>
        <v/>
      </c>
      <c r="G133" s="3" t="str">
        <f t="shared" si="23"/>
        <v/>
      </c>
      <c r="H133" s="3" t="str">
        <f t="shared" si="23"/>
        <v/>
      </c>
      <c r="I133" s="3" t="str">
        <f t="shared" si="23"/>
        <v/>
      </c>
      <c r="J133" s="3" t="str">
        <f t="shared" si="23"/>
        <v/>
      </c>
      <c r="K133" s="3" t="str">
        <f t="shared" si="23"/>
        <v/>
      </c>
      <c r="L133" s="3" t="str">
        <f t="shared" si="23"/>
        <v/>
      </c>
      <c r="M133" s="19" t="str">
        <f>VLOOKUP($A126,NotaIndividualPorAlunoFIS,RIGHT(L132,2)+2,0)</f>
        <v/>
      </c>
      <c r="N133" s="10"/>
      <c r="O133" s="10"/>
    </row>
    <row r="134" spans="1:15" ht="15.6" x14ac:dyDescent="0.3">
      <c r="A134" s="72"/>
      <c r="B134" s="12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0"/>
      <c r="O134" s="10"/>
    </row>
    <row r="135" spans="1:15" ht="15.6" x14ac:dyDescent="0.3">
      <c r="A135" s="72"/>
      <c r="B135" s="73" t="s">
        <v>16</v>
      </c>
      <c r="C135" s="23" t="s">
        <v>41</v>
      </c>
      <c r="D135" s="58" t="s">
        <v>42</v>
      </c>
      <c r="E135" s="23" t="s">
        <v>43</v>
      </c>
      <c r="F135" s="58" t="s">
        <v>44</v>
      </c>
      <c r="G135" s="23" t="s">
        <v>63</v>
      </c>
      <c r="H135" s="58" t="s">
        <v>32</v>
      </c>
      <c r="I135" s="14"/>
      <c r="J135" s="14"/>
      <c r="K135" s="14"/>
      <c r="L135" s="14"/>
      <c r="M135" s="15" t="s">
        <v>18</v>
      </c>
      <c r="N135" s="10"/>
      <c r="O135" s="10"/>
    </row>
    <row r="136" spans="1:15" ht="15.75" customHeight="1" x14ac:dyDescent="0.3">
      <c r="A136" s="72"/>
      <c r="B136" s="73"/>
      <c r="C136" s="26" t="str">
        <f>VLOOKUP($A126,NotaIndividualPorAlunoRED,2,0)</f>
        <v/>
      </c>
      <c r="D136" s="26" t="str">
        <f>VLOOKUP($A126,NotaIndividualPorAlunoRED,3,0)</f>
        <v/>
      </c>
      <c r="E136" s="26" t="str">
        <f>VLOOKUP($A126,NotaIndividualPorAlunoRED,4,0)</f>
        <v/>
      </c>
      <c r="F136" s="26" t="str">
        <f>VLOOKUP($A126,NotaIndividualPorAlunoRED,5,0)</f>
        <v/>
      </c>
      <c r="G136" s="26" t="str">
        <f>VLOOKUP($A126,NotaIndividualPorAlunoRED,6,0)</f>
        <v/>
      </c>
      <c r="H136" s="21" t="str">
        <f>VLOOKUP($A126,NotaIndividualPorAlunoRED,7,0)</f>
        <v/>
      </c>
      <c r="I136" s="14"/>
      <c r="J136" s="14"/>
      <c r="K136" s="14"/>
      <c r="L136" s="14"/>
      <c r="M136" s="20" t="str">
        <f>VLOOKUP(A126,NOTAS!C:I,7,0)</f>
        <v/>
      </c>
      <c r="N136" s="10"/>
      <c r="O136" s="10"/>
    </row>
    <row r="137" spans="1:15" x14ac:dyDescent="0.3">
      <c r="A137" s="72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0"/>
      <c r="O137" s="10"/>
    </row>
    <row r="138" spans="1:15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1:15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1:15" x14ac:dyDescent="0.3">
      <c r="A140" s="58" t="s">
        <v>38</v>
      </c>
      <c r="B140" s="57" t="s">
        <v>35</v>
      </c>
      <c r="C140" s="57" t="s">
        <v>56</v>
      </c>
      <c r="D140" s="57" t="s">
        <v>57</v>
      </c>
      <c r="E140" s="57" t="s">
        <v>58</v>
      </c>
      <c r="F140" s="57" t="s">
        <v>59</v>
      </c>
      <c r="G140" s="57" t="s">
        <v>60</v>
      </c>
      <c r="H140" s="57" t="s">
        <v>36</v>
      </c>
      <c r="I140" s="57" t="s">
        <v>61</v>
      </c>
      <c r="J140" s="57" t="s">
        <v>34</v>
      </c>
      <c r="K140" s="57" t="s">
        <v>62</v>
      </c>
      <c r="L140" s="16" t="s">
        <v>33</v>
      </c>
      <c r="M140" s="57" t="s">
        <v>37</v>
      </c>
      <c r="N140" s="10"/>
      <c r="O140" s="10"/>
    </row>
    <row r="141" spans="1:15" ht="15.6" x14ac:dyDescent="0.3">
      <c r="A141" s="58" t="str" cm="1">
        <f t="array" ref="A141">IF(ISERROR(INDEX(ListaDeAlunos,(((ROW()-2)/17)+1),(COLUMN()+1))),"",INDEX(ListaDeAlunos,(((ROW()-2)/17)+1),(COLUMN()+1)))</f>
        <v/>
      </c>
      <c r="B141" s="17" t="str">
        <f>VLOOKUP($A141,NotaIndividualPorAlunoPROVAO,2,0)</f>
        <v/>
      </c>
      <c r="C141" s="18" t="str">
        <f>VLOOKUP($A141,NotaIndividualPorAlunoPROVAO,3,0)</f>
        <v/>
      </c>
      <c r="D141" s="17" t="str">
        <f>VLOOKUP($A141,NotaIndividualPorAlunoPROVAO,4,0)</f>
        <v/>
      </c>
      <c r="E141" s="18" t="str">
        <f>VLOOKUP($A141,NotaIndividualPorAlunoPROVAO,5,0)</f>
        <v/>
      </c>
      <c r="F141" s="17" t="str">
        <f>VLOOKUP($A141,NotaIndividualPorAlunoPROVAO,6,0)</f>
        <v/>
      </c>
      <c r="G141" s="18" t="str">
        <f>VLOOKUP($A141,NotaIndividualPorAlunoPROVAO,7,0)</f>
        <v/>
      </c>
      <c r="H141" s="17" t="str">
        <f>VLOOKUP($A141,NotaIndividualPorAlunoPROVAO,8,0)</f>
        <v/>
      </c>
      <c r="I141" s="18" t="str">
        <f>VLOOKUP($A141,NotaIndividualPorAlunoPROVAO,9,0)</f>
        <v/>
      </c>
      <c r="J141" s="17" t="str">
        <f>VLOOKUP($A141,NotaIndividualPorAlunoPROVAO,10,0)</f>
        <v/>
      </c>
      <c r="K141" s="18" t="str">
        <f>VLOOKUP($A141,NotaIndividualPorAlunoPROVAO,11,0)</f>
        <v/>
      </c>
      <c r="L141" s="15" t="str">
        <f>VLOOKUP($A141,NotaIndividualPorAlunoPROVAO,12,0)</f>
        <v/>
      </c>
      <c r="M141" s="25" t="str">
        <f>VLOOKUP($A141,NotaIndividualPorAlunoPROVAO,13,0)</f>
        <v/>
      </c>
      <c r="N141" s="10"/>
      <c r="O141" s="10"/>
    </row>
    <row r="142" spans="1:15" x14ac:dyDescent="0.3">
      <c r="N142" s="10"/>
      <c r="O142" s="10"/>
    </row>
    <row r="143" spans="1:15" x14ac:dyDescent="0.3">
      <c r="A143" s="72" t="str">
        <f>A141</f>
        <v/>
      </c>
      <c r="B143" s="73" t="s">
        <v>15</v>
      </c>
      <c r="C143" s="57" t="s">
        <v>2</v>
      </c>
      <c r="D143" s="57" t="s">
        <v>3</v>
      </c>
      <c r="E143" s="57" t="s">
        <v>4</v>
      </c>
      <c r="F143" s="57" t="s">
        <v>5</v>
      </c>
      <c r="G143" s="57" t="s">
        <v>6</v>
      </c>
      <c r="H143" s="57" t="s">
        <v>7</v>
      </c>
      <c r="I143" s="57" t="s">
        <v>8</v>
      </c>
      <c r="J143" s="57" t="s">
        <v>9</v>
      </c>
      <c r="K143" s="57" t="s">
        <v>10</v>
      </c>
      <c r="L143" s="57" t="s">
        <v>11</v>
      </c>
      <c r="M143" s="57" t="s">
        <v>13</v>
      </c>
      <c r="N143" s="10"/>
      <c r="O143" s="10"/>
    </row>
    <row r="144" spans="1:15" ht="15.75" customHeight="1" x14ac:dyDescent="0.3">
      <c r="A144" s="72"/>
      <c r="B144" s="73"/>
      <c r="C144" s="5" t="str">
        <f t="shared" ref="C144:L144" si="24">VLOOKUP($A143,NotaIndividualPorAlunoMAT,RIGHT(C143,2)+1,0)</f>
        <v/>
      </c>
      <c r="D144" s="5" t="str">
        <f t="shared" si="24"/>
        <v/>
      </c>
      <c r="E144" s="5" t="str">
        <f t="shared" si="24"/>
        <v/>
      </c>
      <c r="F144" s="5" t="str">
        <f t="shared" si="24"/>
        <v/>
      </c>
      <c r="G144" s="5" t="str">
        <f t="shared" si="24"/>
        <v/>
      </c>
      <c r="H144" s="5" t="str">
        <f t="shared" si="24"/>
        <v/>
      </c>
      <c r="I144" s="5" t="str">
        <f t="shared" si="24"/>
        <v/>
      </c>
      <c r="J144" s="5" t="str">
        <f t="shared" si="24"/>
        <v/>
      </c>
      <c r="K144" s="5" t="str">
        <f t="shared" si="24"/>
        <v/>
      </c>
      <c r="L144" s="5" t="str">
        <f t="shared" si="24"/>
        <v/>
      </c>
      <c r="M144" s="19" t="str">
        <f>VLOOKUP($A143,NotaIndividualPorAlunoMAT,RIGHT(L143,2)+2,0)</f>
        <v/>
      </c>
      <c r="N144" s="10"/>
      <c r="O144" s="10"/>
    </row>
    <row r="145" spans="1:15" x14ac:dyDescent="0.3">
      <c r="A145" s="72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0"/>
      <c r="O145" s="10"/>
    </row>
    <row r="146" spans="1:15" ht="15" customHeight="1" x14ac:dyDescent="0.3">
      <c r="A146" s="72"/>
      <c r="B146" s="73" t="s">
        <v>14</v>
      </c>
      <c r="C146" s="57" t="s">
        <v>46</v>
      </c>
      <c r="D146" s="57" t="s">
        <v>47</v>
      </c>
      <c r="E146" s="57" t="s">
        <v>48</v>
      </c>
      <c r="F146" s="57" t="s">
        <v>49</v>
      </c>
      <c r="G146" s="57" t="s">
        <v>50</v>
      </c>
      <c r="H146" s="57" t="s">
        <v>51</v>
      </c>
      <c r="I146" s="57" t="s">
        <v>52</v>
      </c>
      <c r="J146" s="57" t="s">
        <v>53</v>
      </c>
      <c r="K146" s="57" t="s">
        <v>54</v>
      </c>
      <c r="L146" s="57" t="s">
        <v>55</v>
      </c>
      <c r="M146" s="57" t="s">
        <v>13</v>
      </c>
      <c r="N146" s="10"/>
      <c r="O146" s="10"/>
    </row>
    <row r="147" spans="1:15" ht="15.75" customHeight="1" x14ac:dyDescent="0.3">
      <c r="A147" s="72"/>
      <c r="B147" s="73"/>
      <c r="C147" s="3" t="str">
        <f t="shared" ref="C147:L147" si="25">VLOOKUP($A143,NotaIndividualPorAlunoQUI,RIGHT(C146,2)-9,0)</f>
        <v/>
      </c>
      <c r="D147" s="3" t="str">
        <f t="shared" si="25"/>
        <v/>
      </c>
      <c r="E147" s="3" t="str">
        <f t="shared" si="25"/>
        <v/>
      </c>
      <c r="F147" s="3" t="str">
        <f t="shared" si="25"/>
        <v/>
      </c>
      <c r="G147" s="3" t="str">
        <f t="shared" si="25"/>
        <v/>
      </c>
      <c r="H147" s="3" t="str">
        <f t="shared" si="25"/>
        <v/>
      </c>
      <c r="I147" s="3" t="str">
        <f t="shared" si="25"/>
        <v/>
      </c>
      <c r="J147" s="3" t="str">
        <f t="shared" si="25"/>
        <v/>
      </c>
      <c r="K147" s="3" t="str">
        <f t="shared" si="25"/>
        <v/>
      </c>
      <c r="L147" s="3" t="str">
        <f t="shared" si="25"/>
        <v/>
      </c>
      <c r="M147" s="19" t="str">
        <f>VLOOKUP($A143,NotaIndividualPorAlunoQUI,RIGHT(L146,2)-8,0)</f>
        <v/>
      </c>
      <c r="N147" s="10"/>
      <c r="O147" s="10"/>
    </row>
    <row r="148" spans="1:15" x14ac:dyDescent="0.3">
      <c r="A148" s="72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0"/>
      <c r="O148" s="10"/>
    </row>
    <row r="149" spans="1:15" x14ac:dyDescent="0.3">
      <c r="A149" s="72"/>
      <c r="B149" s="73" t="s">
        <v>12</v>
      </c>
      <c r="C149" s="57" t="s">
        <v>2</v>
      </c>
      <c r="D149" s="57" t="s">
        <v>3</v>
      </c>
      <c r="E149" s="57" t="s">
        <v>4</v>
      </c>
      <c r="F149" s="57" t="s">
        <v>5</v>
      </c>
      <c r="G149" s="57" t="s">
        <v>6</v>
      </c>
      <c r="H149" s="57" t="s">
        <v>7</v>
      </c>
      <c r="I149" s="57" t="s">
        <v>8</v>
      </c>
      <c r="J149" s="57" t="s">
        <v>9</v>
      </c>
      <c r="K149" s="57" t="s">
        <v>10</v>
      </c>
      <c r="L149" s="57" t="s">
        <v>11</v>
      </c>
      <c r="M149" s="57" t="s">
        <v>13</v>
      </c>
      <c r="N149" s="10"/>
      <c r="O149" s="10"/>
    </row>
    <row r="150" spans="1:15" ht="15.75" customHeight="1" x14ac:dyDescent="0.3">
      <c r="A150" s="72"/>
      <c r="B150" s="73"/>
      <c r="C150" s="3" t="str">
        <f t="shared" ref="C150:L150" si="26">VLOOKUP($A143,NotaIndividualPorAlunoFIS,RIGHT(C149,2)+1,0)</f>
        <v/>
      </c>
      <c r="D150" s="3" t="str">
        <f t="shared" si="26"/>
        <v/>
      </c>
      <c r="E150" s="3" t="str">
        <f t="shared" si="26"/>
        <v/>
      </c>
      <c r="F150" s="3" t="str">
        <f t="shared" si="26"/>
        <v/>
      </c>
      <c r="G150" s="3" t="str">
        <f t="shared" si="26"/>
        <v/>
      </c>
      <c r="H150" s="3" t="str">
        <f t="shared" si="26"/>
        <v/>
      </c>
      <c r="I150" s="3" t="str">
        <f t="shared" si="26"/>
        <v/>
      </c>
      <c r="J150" s="3" t="str">
        <f t="shared" si="26"/>
        <v/>
      </c>
      <c r="K150" s="3" t="str">
        <f t="shared" si="26"/>
        <v/>
      </c>
      <c r="L150" s="3" t="str">
        <f t="shared" si="26"/>
        <v/>
      </c>
      <c r="M150" s="19" t="str">
        <f>VLOOKUP($A143,NotaIndividualPorAlunoFIS,RIGHT(L149,2)+2,0)</f>
        <v/>
      </c>
      <c r="N150" s="10"/>
      <c r="O150" s="10"/>
    </row>
    <row r="151" spans="1:15" ht="15.6" x14ac:dyDescent="0.3">
      <c r="A151" s="72"/>
      <c r="B151" s="12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0"/>
      <c r="O151" s="10"/>
    </row>
    <row r="152" spans="1:15" ht="15.6" x14ac:dyDescent="0.3">
      <c r="A152" s="72"/>
      <c r="B152" s="73" t="s">
        <v>16</v>
      </c>
      <c r="C152" s="23" t="s">
        <v>41</v>
      </c>
      <c r="D152" s="58" t="s">
        <v>42</v>
      </c>
      <c r="E152" s="23" t="s">
        <v>43</v>
      </c>
      <c r="F152" s="58" t="s">
        <v>44</v>
      </c>
      <c r="G152" s="23" t="s">
        <v>63</v>
      </c>
      <c r="H152" s="58" t="s">
        <v>32</v>
      </c>
      <c r="I152" s="14"/>
      <c r="J152" s="14"/>
      <c r="K152" s="14"/>
      <c r="L152" s="14"/>
      <c r="M152" s="15" t="s">
        <v>18</v>
      </c>
      <c r="N152" s="10"/>
      <c r="O152" s="10"/>
    </row>
    <row r="153" spans="1:15" ht="15.75" customHeight="1" x14ac:dyDescent="0.3">
      <c r="A153" s="72"/>
      <c r="B153" s="73"/>
      <c r="C153" s="26" t="str">
        <f>VLOOKUP($A143,NotaIndividualPorAlunoRED,2,0)</f>
        <v/>
      </c>
      <c r="D153" s="26" t="str">
        <f>VLOOKUP($A143,NotaIndividualPorAlunoRED,3,0)</f>
        <v/>
      </c>
      <c r="E153" s="26" t="str">
        <f>VLOOKUP($A143,NotaIndividualPorAlunoRED,4,0)</f>
        <v/>
      </c>
      <c r="F153" s="26" t="str">
        <f>VLOOKUP($A143,NotaIndividualPorAlunoRED,5,0)</f>
        <v/>
      </c>
      <c r="G153" s="26" t="str">
        <f>VLOOKUP($A143,NotaIndividualPorAlunoRED,6,0)</f>
        <v/>
      </c>
      <c r="H153" s="21" t="str">
        <f>VLOOKUP($A143,NotaIndividualPorAlunoRED,7,0)</f>
        <v/>
      </c>
      <c r="I153" s="14"/>
      <c r="J153" s="14"/>
      <c r="K153" s="14"/>
      <c r="L153" s="14"/>
      <c r="M153" s="20" t="str">
        <f>VLOOKUP(A143,NOTAS!C:I,7,0)</f>
        <v/>
      </c>
      <c r="N153" s="10"/>
      <c r="O153" s="10"/>
    </row>
    <row r="154" spans="1:15" x14ac:dyDescent="0.3">
      <c r="A154" s="72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0"/>
      <c r="O154" s="10"/>
    </row>
    <row r="155" spans="1:15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1:15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1:15" x14ac:dyDescent="0.3">
      <c r="A157" s="58" t="s">
        <v>38</v>
      </c>
      <c r="B157" s="57" t="s">
        <v>35</v>
      </c>
      <c r="C157" s="57" t="s">
        <v>56</v>
      </c>
      <c r="D157" s="57" t="s">
        <v>57</v>
      </c>
      <c r="E157" s="57" t="s">
        <v>58</v>
      </c>
      <c r="F157" s="57" t="s">
        <v>59</v>
      </c>
      <c r="G157" s="57" t="s">
        <v>60</v>
      </c>
      <c r="H157" s="57" t="s">
        <v>36</v>
      </c>
      <c r="I157" s="57" t="s">
        <v>61</v>
      </c>
      <c r="J157" s="57" t="s">
        <v>34</v>
      </c>
      <c r="K157" s="57" t="s">
        <v>62</v>
      </c>
      <c r="L157" s="16" t="s">
        <v>33</v>
      </c>
      <c r="M157" s="57" t="s">
        <v>37</v>
      </c>
      <c r="N157" s="10"/>
      <c r="O157" s="10"/>
    </row>
    <row r="158" spans="1:15" ht="15.6" x14ac:dyDescent="0.3">
      <c r="A158" s="58" t="str" cm="1">
        <f t="array" ref="A158">IF(ISERROR(INDEX(ListaDeAlunos,(((ROW()-2)/17)+1),(COLUMN()+1))),"",INDEX(ListaDeAlunos,(((ROW()-2)/17)+1),(COLUMN()+1)))</f>
        <v/>
      </c>
      <c r="B158" s="17" t="str">
        <f>VLOOKUP($A158,NotaIndividualPorAlunoPROVAO,2,0)</f>
        <v/>
      </c>
      <c r="C158" s="18" t="str">
        <f>VLOOKUP($A158,NotaIndividualPorAlunoPROVAO,3,0)</f>
        <v/>
      </c>
      <c r="D158" s="17" t="str">
        <f>VLOOKUP($A158,NotaIndividualPorAlunoPROVAO,4,0)</f>
        <v/>
      </c>
      <c r="E158" s="18" t="str">
        <f>VLOOKUP($A158,NotaIndividualPorAlunoPROVAO,5,0)</f>
        <v/>
      </c>
      <c r="F158" s="17" t="str">
        <f>VLOOKUP($A158,NotaIndividualPorAlunoPROVAO,6,0)</f>
        <v/>
      </c>
      <c r="G158" s="18" t="str">
        <f>VLOOKUP($A158,NotaIndividualPorAlunoPROVAO,7,0)</f>
        <v/>
      </c>
      <c r="H158" s="17" t="str">
        <f>VLOOKUP($A158,NotaIndividualPorAlunoPROVAO,8,0)</f>
        <v/>
      </c>
      <c r="I158" s="18" t="str">
        <f>VLOOKUP($A158,NotaIndividualPorAlunoPROVAO,9,0)</f>
        <v/>
      </c>
      <c r="J158" s="17" t="str">
        <f>VLOOKUP($A158,NotaIndividualPorAlunoPROVAO,10,0)</f>
        <v/>
      </c>
      <c r="K158" s="18" t="str">
        <f>VLOOKUP($A158,NotaIndividualPorAlunoPROVAO,11,0)</f>
        <v/>
      </c>
      <c r="L158" s="15" t="str">
        <f>VLOOKUP($A158,NotaIndividualPorAlunoPROVAO,12,0)</f>
        <v/>
      </c>
      <c r="M158" s="25" t="str">
        <f>VLOOKUP($A158,NotaIndividualPorAlunoPROVAO,13,0)</f>
        <v/>
      </c>
      <c r="N158" s="10"/>
      <c r="O158" s="10"/>
    </row>
    <row r="159" spans="1:15" x14ac:dyDescent="0.3">
      <c r="N159" s="10"/>
      <c r="O159" s="10"/>
    </row>
    <row r="160" spans="1:15" x14ac:dyDescent="0.3">
      <c r="A160" s="72" t="str">
        <f>A158</f>
        <v/>
      </c>
      <c r="B160" s="73" t="s">
        <v>15</v>
      </c>
      <c r="C160" s="57" t="s">
        <v>2</v>
      </c>
      <c r="D160" s="57" t="s">
        <v>3</v>
      </c>
      <c r="E160" s="57" t="s">
        <v>4</v>
      </c>
      <c r="F160" s="57" t="s">
        <v>5</v>
      </c>
      <c r="G160" s="57" t="s">
        <v>6</v>
      </c>
      <c r="H160" s="57" t="s">
        <v>7</v>
      </c>
      <c r="I160" s="57" t="s">
        <v>8</v>
      </c>
      <c r="J160" s="57" t="s">
        <v>9</v>
      </c>
      <c r="K160" s="57" t="s">
        <v>10</v>
      </c>
      <c r="L160" s="57" t="s">
        <v>11</v>
      </c>
      <c r="M160" s="57" t="s">
        <v>13</v>
      </c>
      <c r="N160" s="10"/>
      <c r="O160" s="10"/>
    </row>
    <row r="161" spans="1:15" ht="15" customHeight="1" x14ac:dyDescent="0.3">
      <c r="A161" s="72"/>
      <c r="B161" s="73"/>
      <c r="C161" s="5" t="str">
        <f t="shared" ref="C161:L161" si="27">VLOOKUP($A160,NotaIndividualPorAlunoMAT,RIGHT(C160,2)+1,0)</f>
        <v/>
      </c>
      <c r="D161" s="5" t="str">
        <f t="shared" si="27"/>
        <v/>
      </c>
      <c r="E161" s="5" t="str">
        <f t="shared" si="27"/>
        <v/>
      </c>
      <c r="F161" s="5" t="str">
        <f t="shared" si="27"/>
        <v/>
      </c>
      <c r="G161" s="5" t="str">
        <f t="shared" si="27"/>
        <v/>
      </c>
      <c r="H161" s="5" t="str">
        <f t="shared" si="27"/>
        <v/>
      </c>
      <c r="I161" s="5" t="str">
        <f t="shared" si="27"/>
        <v/>
      </c>
      <c r="J161" s="5" t="str">
        <f t="shared" si="27"/>
        <v/>
      </c>
      <c r="K161" s="5" t="str">
        <f t="shared" si="27"/>
        <v/>
      </c>
      <c r="L161" s="5" t="str">
        <f t="shared" si="27"/>
        <v/>
      </c>
      <c r="M161" s="19" t="str">
        <f>VLOOKUP($A160,NotaIndividualPorAlunoMAT,RIGHT(L160,2)+2,0)</f>
        <v/>
      </c>
      <c r="N161" s="10"/>
      <c r="O161" s="10"/>
    </row>
    <row r="162" spans="1:15" x14ac:dyDescent="0.3">
      <c r="A162" s="72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0"/>
      <c r="O162" s="10"/>
    </row>
    <row r="163" spans="1:15" x14ac:dyDescent="0.3">
      <c r="A163" s="72"/>
      <c r="B163" s="73" t="s">
        <v>14</v>
      </c>
      <c r="C163" s="57" t="s">
        <v>46</v>
      </c>
      <c r="D163" s="57" t="s">
        <v>47</v>
      </c>
      <c r="E163" s="57" t="s">
        <v>48</v>
      </c>
      <c r="F163" s="57" t="s">
        <v>49</v>
      </c>
      <c r="G163" s="57" t="s">
        <v>50</v>
      </c>
      <c r="H163" s="57" t="s">
        <v>51</v>
      </c>
      <c r="I163" s="57" t="s">
        <v>52</v>
      </c>
      <c r="J163" s="57" t="s">
        <v>53</v>
      </c>
      <c r="K163" s="57" t="s">
        <v>54</v>
      </c>
      <c r="L163" s="57" t="s">
        <v>55</v>
      </c>
      <c r="M163" s="57" t="s">
        <v>13</v>
      </c>
      <c r="N163" s="10"/>
      <c r="O163" s="10"/>
    </row>
    <row r="164" spans="1:15" ht="15.75" customHeight="1" x14ac:dyDescent="0.3">
      <c r="A164" s="72"/>
      <c r="B164" s="73"/>
      <c r="C164" s="3" t="str">
        <f t="shared" ref="C164:L164" si="28">VLOOKUP($A160,NotaIndividualPorAlunoQUI,RIGHT(C163,2)-9,0)</f>
        <v/>
      </c>
      <c r="D164" s="3" t="str">
        <f t="shared" si="28"/>
        <v/>
      </c>
      <c r="E164" s="3" t="str">
        <f t="shared" si="28"/>
        <v/>
      </c>
      <c r="F164" s="3" t="str">
        <f t="shared" si="28"/>
        <v/>
      </c>
      <c r="G164" s="3" t="str">
        <f t="shared" si="28"/>
        <v/>
      </c>
      <c r="H164" s="3" t="str">
        <f t="shared" si="28"/>
        <v/>
      </c>
      <c r="I164" s="3" t="str">
        <f t="shared" si="28"/>
        <v/>
      </c>
      <c r="J164" s="3" t="str">
        <f t="shared" si="28"/>
        <v/>
      </c>
      <c r="K164" s="3" t="str">
        <f t="shared" si="28"/>
        <v/>
      </c>
      <c r="L164" s="3" t="str">
        <f t="shared" si="28"/>
        <v/>
      </c>
      <c r="M164" s="19" t="str">
        <f>VLOOKUP($A160,NotaIndividualPorAlunoQUI,RIGHT(L163,2)-8,0)</f>
        <v/>
      </c>
      <c r="N164" s="10"/>
      <c r="O164" s="10"/>
    </row>
    <row r="165" spans="1:15" x14ac:dyDescent="0.3">
      <c r="A165" s="72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0"/>
      <c r="O165" s="10"/>
    </row>
    <row r="166" spans="1:15" x14ac:dyDescent="0.3">
      <c r="A166" s="72"/>
      <c r="B166" s="73" t="s">
        <v>12</v>
      </c>
      <c r="C166" s="57" t="s">
        <v>2</v>
      </c>
      <c r="D166" s="57" t="s">
        <v>3</v>
      </c>
      <c r="E166" s="57" t="s">
        <v>4</v>
      </c>
      <c r="F166" s="57" t="s">
        <v>5</v>
      </c>
      <c r="G166" s="57" t="s">
        <v>6</v>
      </c>
      <c r="H166" s="57" t="s">
        <v>7</v>
      </c>
      <c r="I166" s="57" t="s">
        <v>8</v>
      </c>
      <c r="J166" s="57" t="s">
        <v>9</v>
      </c>
      <c r="K166" s="57" t="s">
        <v>10</v>
      </c>
      <c r="L166" s="57" t="s">
        <v>11</v>
      </c>
      <c r="M166" s="57" t="s">
        <v>13</v>
      </c>
      <c r="N166" s="10"/>
      <c r="O166" s="10"/>
    </row>
    <row r="167" spans="1:15" ht="15.75" customHeight="1" x14ac:dyDescent="0.3">
      <c r="A167" s="72"/>
      <c r="B167" s="73"/>
      <c r="C167" s="3" t="str">
        <f t="shared" ref="C167:L167" si="29">VLOOKUP($A160,NotaIndividualPorAlunoFIS,RIGHT(C166,2)+1,0)</f>
        <v/>
      </c>
      <c r="D167" s="3" t="str">
        <f t="shared" si="29"/>
        <v/>
      </c>
      <c r="E167" s="3" t="str">
        <f t="shared" si="29"/>
        <v/>
      </c>
      <c r="F167" s="3" t="str">
        <f t="shared" si="29"/>
        <v/>
      </c>
      <c r="G167" s="3" t="str">
        <f t="shared" si="29"/>
        <v/>
      </c>
      <c r="H167" s="3" t="str">
        <f t="shared" si="29"/>
        <v/>
      </c>
      <c r="I167" s="3" t="str">
        <f t="shared" si="29"/>
        <v/>
      </c>
      <c r="J167" s="3" t="str">
        <f t="shared" si="29"/>
        <v/>
      </c>
      <c r="K167" s="3" t="str">
        <f t="shared" si="29"/>
        <v/>
      </c>
      <c r="L167" s="3" t="str">
        <f t="shared" si="29"/>
        <v/>
      </c>
      <c r="M167" s="19" t="str">
        <f>VLOOKUP($A160,NotaIndividualPorAlunoFIS,RIGHT(L166,2)+2,0)</f>
        <v/>
      </c>
      <c r="N167" s="10"/>
      <c r="O167" s="10"/>
    </row>
    <row r="168" spans="1:15" ht="15.6" x14ac:dyDescent="0.3">
      <c r="A168" s="72"/>
      <c r="B168" s="12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0"/>
      <c r="O168" s="10"/>
    </row>
    <row r="169" spans="1:15" ht="15.6" x14ac:dyDescent="0.3">
      <c r="A169" s="72"/>
      <c r="B169" s="73" t="s">
        <v>16</v>
      </c>
      <c r="C169" s="23" t="s">
        <v>41</v>
      </c>
      <c r="D169" s="58" t="s">
        <v>42</v>
      </c>
      <c r="E169" s="23" t="s">
        <v>43</v>
      </c>
      <c r="F169" s="58" t="s">
        <v>44</v>
      </c>
      <c r="G169" s="23" t="s">
        <v>63</v>
      </c>
      <c r="H169" s="58" t="s">
        <v>32</v>
      </c>
      <c r="I169" s="14"/>
      <c r="J169" s="14"/>
      <c r="K169" s="14"/>
      <c r="L169" s="14"/>
      <c r="M169" s="15" t="s">
        <v>18</v>
      </c>
      <c r="N169" s="10"/>
      <c r="O169" s="10"/>
    </row>
    <row r="170" spans="1:15" ht="15.75" customHeight="1" x14ac:dyDescent="0.3">
      <c r="A170" s="72"/>
      <c r="B170" s="73"/>
      <c r="C170" s="26" t="str">
        <f>VLOOKUP($A160,NotaIndividualPorAlunoRED,2,0)</f>
        <v/>
      </c>
      <c r="D170" s="26" t="str">
        <f>VLOOKUP($A160,NotaIndividualPorAlunoRED,3,0)</f>
        <v/>
      </c>
      <c r="E170" s="26" t="str">
        <f>VLOOKUP($A160,NotaIndividualPorAlunoRED,4,0)</f>
        <v/>
      </c>
      <c r="F170" s="26" t="str">
        <f>VLOOKUP($A160,NotaIndividualPorAlunoRED,5,0)</f>
        <v/>
      </c>
      <c r="G170" s="26" t="str">
        <f>VLOOKUP($A160,NotaIndividualPorAlunoRED,6,0)</f>
        <v/>
      </c>
      <c r="H170" s="21" t="str">
        <f>VLOOKUP($A160,NotaIndividualPorAlunoRED,7,0)</f>
        <v/>
      </c>
      <c r="I170" s="14"/>
      <c r="J170" s="14"/>
      <c r="K170" s="14"/>
      <c r="L170" s="14"/>
      <c r="M170" s="20" t="str">
        <f>VLOOKUP(A160,NOTAS!C:I,7,0)</f>
        <v/>
      </c>
      <c r="N170" s="10"/>
      <c r="O170" s="10"/>
    </row>
    <row r="171" spans="1:15" x14ac:dyDescent="0.3">
      <c r="A171" s="72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0"/>
      <c r="O171" s="10"/>
    </row>
    <row r="172" spans="1:15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1:15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1:15" x14ac:dyDescent="0.3">
      <c r="A174" s="58" t="s">
        <v>38</v>
      </c>
      <c r="B174" s="57" t="s">
        <v>35</v>
      </c>
      <c r="C174" s="57" t="s">
        <v>56</v>
      </c>
      <c r="D174" s="57" t="s">
        <v>57</v>
      </c>
      <c r="E174" s="57" t="s">
        <v>58</v>
      </c>
      <c r="F174" s="57" t="s">
        <v>59</v>
      </c>
      <c r="G174" s="57" t="s">
        <v>60</v>
      </c>
      <c r="H174" s="57" t="s">
        <v>36</v>
      </c>
      <c r="I174" s="57" t="s">
        <v>61</v>
      </c>
      <c r="J174" s="57" t="s">
        <v>34</v>
      </c>
      <c r="K174" s="57" t="s">
        <v>62</v>
      </c>
      <c r="L174" s="16" t="s">
        <v>33</v>
      </c>
      <c r="M174" s="57" t="s">
        <v>37</v>
      </c>
      <c r="N174" s="10"/>
      <c r="O174" s="10"/>
    </row>
    <row r="175" spans="1:15" ht="15.6" x14ac:dyDescent="0.3">
      <c r="A175" s="58" t="str" cm="1">
        <f t="array" ref="A175">IF(ISERROR(INDEX(ListaDeAlunos,(((ROW()-2)/17)+1),(COLUMN()+1))),"",INDEX(ListaDeAlunos,(((ROW()-2)/17)+1),(COLUMN()+1)))</f>
        <v/>
      </c>
      <c r="B175" s="17" t="str">
        <f>VLOOKUP($A175,NotaIndividualPorAlunoPROVAO,2,0)</f>
        <v/>
      </c>
      <c r="C175" s="18" t="str">
        <f>VLOOKUP($A175,NotaIndividualPorAlunoPROVAO,3,0)</f>
        <v/>
      </c>
      <c r="D175" s="17" t="str">
        <f>VLOOKUP($A175,NotaIndividualPorAlunoPROVAO,4,0)</f>
        <v/>
      </c>
      <c r="E175" s="18" t="str">
        <f>VLOOKUP($A175,NotaIndividualPorAlunoPROVAO,5,0)</f>
        <v/>
      </c>
      <c r="F175" s="17" t="str">
        <f>VLOOKUP($A175,NotaIndividualPorAlunoPROVAO,6,0)</f>
        <v/>
      </c>
      <c r="G175" s="18" t="str">
        <f>VLOOKUP($A175,NotaIndividualPorAlunoPROVAO,7,0)</f>
        <v/>
      </c>
      <c r="H175" s="17" t="str">
        <f>VLOOKUP($A175,NotaIndividualPorAlunoPROVAO,8,0)</f>
        <v/>
      </c>
      <c r="I175" s="18" t="str">
        <f>VLOOKUP($A175,NotaIndividualPorAlunoPROVAO,9,0)</f>
        <v/>
      </c>
      <c r="J175" s="17" t="str">
        <f>VLOOKUP($A175,NotaIndividualPorAlunoPROVAO,10,0)</f>
        <v/>
      </c>
      <c r="K175" s="18" t="str">
        <f>VLOOKUP($A175,NotaIndividualPorAlunoPROVAO,11,0)</f>
        <v/>
      </c>
      <c r="L175" s="15" t="str">
        <f>VLOOKUP($A175,NotaIndividualPorAlunoPROVAO,12,0)</f>
        <v/>
      </c>
      <c r="M175" s="25" t="str">
        <f>VLOOKUP($A175,NotaIndividualPorAlunoPROVAO,13,0)</f>
        <v/>
      </c>
      <c r="N175" s="10"/>
      <c r="O175" s="10"/>
    </row>
    <row r="176" spans="1:15" x14ac:dyDescent="0.3">
      <c r="N176" s="10"/>
      <c r="O176" s="10"/>
    </row>
    <row r="177" spans="1:15" x14ac:dyDescent="0.3">
      <c r="A177" s="72" t="str">
        <f>A175</f>
        <v/>
      </c>
      <c r="B177" s="73" t="s">
        <v>15</v>
      </c>
      <c r="C177" s="57" t="s">
        <v>2</v>
      </c>
      <c r="D177" s="57" t="s">
        <v>3</v>
      </c>
      <c r="E177" s="57" t="s">
        <v>4</v>
      </c>
      <c r="F177" s="57" t="s">
        <v>5</v>
      </c>
      <c r="G177" s="57" t="s">
        <v>6</v>
      </c>
      <c r="H177" s="57" t="s">
        <v>7</v>
      </c>
      <c r="I177" s="57" t="s">
        <v>8</v>
      </c>
      <c r="J177" s="57" t="s">
        <v>9</v>
      </c>
      <c r="K177" s="57" t="s">
        <v>10</v>
      </c>
      <c r="L177" s="57" t="s">
        <v>11</v>
      </c>
      <c r="M177" s="57" t="s">
        <v>13</v>
      </c>
      <c r="N177" s="10"/>
      <c r="O177" s="10"/>
    </row>
    <row r="178" spans="1:15" ht="15.75" customHeight="1" x14ac:dyDescent="0.3">
      <c r="A178" s="72"/>
      <c r="B178" s="73"/>
      <c r="C178" s="5" t="str">
        <f t="shared" ref="C178:L178" si="30">VLOOKUP($A177,NotaIndividualPorAlunoMAT,RIGHT(C177,2)+1,0)</f>
        <v/>
      </c>
      <c r="D178" s="5" t="str">
        <f t="shared" si="30"/>
        <v/>
      </c>
      <c r="E178" s="5" t="str">
        <f t="shared" si="30"/>
        <v/>
      </c>
      <c r="F178" s="5" t="str">
        <f t="shared" si="30"/>
        <v/>
      </c>
      <c r="G178" s="5" t="str">
        <f t="shared" si="30"/>
        <v/>
      </c>
      <c r="H178" s="5" t="str">
        <f t="shared" si="30"/>
        <v/>
      </c>
      <c r="I178" s="5" t="str">
        <f t="shared" si="30"/>
        <v/>
      </c>
      <c r="J178" s="5" t="str">
        <f t="shared" si="30"/>
        <v/>
      </c>
      <c r="K178" s="5" t="str">
        <f t="shared" si="30"/>
        <v/>
      </c>
      <c r="L178" s="5" t="str">
        <f t="shared" si="30"/>
        <v/>
      </c>
      <c r="M178" s="19" t="str">
        <f>VLOOKUP($A177,NotaIndividualPorAlunoMAT,RIGHT(L177,2)+2,0)</f>
        <v/>
      </c>
      <c r="N178" s="10"/>
      <c r="O178" s="10"/>
    </row>
    <row r="179" spans="1:15" x14ac:dyDescent="0.3">
      <c r="A179" s="72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0"/>
      <c r="O179" s="10"/>
    </row>
    <row r="180" spans="1:15" x14ac:dyDescent="0.3">
      <c r="A180" s="72"/>
      <c r="B180" s="73" t="s">
        <v>14</v>
      </c>
      <c r="C180" s="57" t="s">
        <v>46</v>
      </c>
      <c r="D180" s="57" t="s">
        <v>47</v>
      </c>
      <c r="E180" s="57" t="s">
        <v>48</v>
      </c>
      <c r="F180" s="57" t="s">
        <v>49</v>
      </c>
      <c r="G180" s="57" t="s">
        <v>50</v>
      </c>
      <c r="H180" s="57" t="s">
        <v>51</v>
      </c>
      <c r="I180" s="57" t="s">
        <v>52</v>
      </c>
      <c r="J180" s="57" t="s">
        <v>53</v>
      </c>
      <c r="K180" s="57" t="s">
        <v>54</v>
      </c>
      <c r="L180" s="57" t="s">
        <v>55</v>
      </c>
      <c r="M180" s="57" t="s">
        <v>13</v>
      </c>
      <c r="N180" s="10"/>
      <c r="O180" s="10"/>
    </row>
    <row r="181" spans="1:15" ht="15.75" customHeight="1" x14ac:dyDescent="0.3">
      <c r="A181" s="72"/>
      <c r="B181" s="73"/>
      <c r="C181" s="3" t="str">
        <f t="shared" ref="C181:L181" si="31">VLOOKUP($A177,NotaIndividualPorAlunoQUI,RIGHT(C180,2)-9,0)</f>
        <v/>
      </c>
      <c r="D181" s="3" t="str">
        <f t="shared" si="31"/>
        <v/>
      </c>
      <c r="E181" s="3" t="str">
        <f t="shared" si="31"/>
        <v/>
      </c>
      <c r="F181" s="3" t="str">
        <f t="shared" si="31"/>
        <v/>
      </c>
      <c r="G181" s="3" t="str">
        <f t="shared" si="31"/>
        <v/>
      </c>
      <c r="H181" s="3" t="str">
        <f t="shared" si="31"/>
        <v/>
      </c>
      <c r="I181" s="3" t="str">
        <f t="shared" si="31"/>
        <v/>
      </c>
      <c r="J181" s="3" t="str">
        <f t="shared" si="31"/>
        <v/>
      </c>
      <c r="K181" s="3" t="str">
        <f t="shared" si="31"/>
        <v/>
      </c>
      <c r="L181" s="3" t="str">
        <f t="shared" si="31"/>
        <v/>
      </c>
      <c r="M181" s="19" t="str">
        <f>VLOOKUP($A177,NotaIndividualPorAlunoQUI,RIGHT(L180,2)-8,0)</f>
        <v/>
      </c>
      <c r="N181" s="10"/>
      <c r="O181" s="10"/>
    </row>
    <row r="182" spans="1:15" x14ac:dyDescent="0.3">
      <c r="A182" s="72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0"/>
      <c r="O182" s="10"/>
    </row>
    <row r="183" spans="1:15" x14ac:dyDescent="0.3">
      <c r="A183" s="72"/>
      <c r="B183" s="73" t="s">
        <v>12</v>
      </c>
      <c r="C183" s="57" t="s">
        <v>2</v>
      </c>
      <c r="D183" s="57" t="s">
        <v>3</v>
      </c>
      <c r="E183" s="57" t="s">
        <v>4</v>
      </c>
      <c r="F183" s="57" t="s">
        <v>5</v>
      </c>
      <c r="G183" s="57" t="s">
        <v>6</v>
      </c>
      <c r="H183" s="57" t="s">
        <v>7</v>
      </c>
      <c r="I183" s="57" t="s">
        <v>8</v>
      </c>
      <c r="J183" s="57" t="s">
        <v>9</v>
      </c>
      <c r="K183" s="57" t="s">
        <v>10</v>
      </c>
      <c r="L183" s="57" t="s">
        <v>11</v>
      </c>
      <c r="M183" s="57" t="s">
        <v>13</v>
      </c>
      <c r="N183" s="10"/>
      <c r="O183" s="10"/>
    </row>
    <row r="184" spans="1:15" ht="15.75" customHeight="1" x14ac:dyDescent="0.3">
      <c r="A184" s="72"/>
      <c r="B184" s="73"/>
      <c r="C184" s="3" t="str">
        <f t="shared" ref="C184:L184" si="32">VLOOKUP($A177,NotaIndividualPorAlunoFIS,RIGHT(C183,2)+1,0)</f>
        <v/>
      </c>
      <c r="D184" s="3" t="str">
        <f t="shared" si="32"/>
        <v/>
      </c>
      <c r="E184" s="3" t="str">
        <f t="shared" si="32"/>
        <v/>
      </c>
      <c r="F184" s="3" t="str">
        <f t="shared" si="32"/>
        <v/>
      </c>
      <c r="G184" s="3" t="str">
        <f t="shared" si="32"/>
        <v/>
      </c>
      <c r="H184" s="3" t="str">
        <f t="shared" si="32"/>
        <v/>
      </c>
      <c r="I184" s="3" t="str">
        <f t="shared" si="32"/>
        <v/>
      </c>
      <c r="J184" s="3" t="str">
        <f t="shared" si="32"/>
        <v/>
      </c>
      <c r="K184" s="3" t="str">
        <f t="shared" si="32"/>
        <v/>
      </c>
      <c r="L184" s="3" t="str">
        <f t="shared" si="32"/>
        <v/>
      </c>
      <c r="M184" s="19" t="str">
        <f>VLOOKUP($A177,NotaIndividualPorAlunoFIS,RIGHT(L183,2)+2,0)</f>
        <v/>
      </c>
      <c r="N184" s="10"/>
      <c r="O184" s="10"/>
    </row>
    <row r="185" spans="1:15" ht="15.6" x14ac:dyDescent="0.3">
      <c r="A185" s="72"/>
      <c r="B185" s="12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0"/>
      <c r="O185" s="10"/>
    </row>
    <row r="186" spans="1:15" ht="15.6" x14ac:dyDescent="0.3">
      <c r="A186" s="72"/>
      <c r="B186" s="73" t="s">
        <v>16</v>
      </c>
      <c r="C186" s="23" t="s">
        <v>41</v>
      </c>
      <c r="D186" s="58" t="s">
        <v>42</v>
      </c>
      <c r="E186" s="23" t="s">
        <v>43</v>
      </c>
      <c r="F186" s="58" t="s">
        <v>44</v>
      </c>
      <c r="G186" s="23" t="s">
        <v>63</v>
      </c>
      <c r="H186" s="58" t="s">
        <v>32</v>
      </c>
      <c r="I186" s="14"/>
      <c r="J186" s="14"/>
      <c r="K186" s="14"/>
      <c r="L186" s="14"/>
      <c r="M186" s="15" t="s">
        <v>18</v>
      </c>
      <c r="N186" s="10"/>
      <c r="O186" s="10"/>
    </row>
    <row r="187" spans="1:15" ht="15.75" customHeight="1" x14ac:dyDescent="0.3">
      <c r="A187" s="72"/>
      <c r="B187" s="73"/>
      <c r="C187" s="26" t="str">
        <f>VLOOKUP($A177,NotaIndividualPorAlunoRED,2,0)</f>
        <v/>
      </c>
      <c r="D187" s="26" t="str">
        <f>VLOOKUP($A177,NotaIndividualPorAlunoRED,3,0)</f>
        <v/>
      </c>
      <c r="E187" s="26" t="str">
        <f>VLOOKUP($A177,NotaIndividualPorAlunoRED,4,0)</f>
        <v/>
      </c>
      <c r="F187" s="26" t="str">
        <f>VLOOKUP($A177,NotaIndividualPorAlunoRED,5,0)</f>
        <v/>
      </c>
      <c r="G187" s="26" t="str">
        <f>VLOOKUP($A177,NotaIndividualPorAlunoRED,6,0)</f>
        <v/>
      </c>
      <c r="H187" s="21" t="str">
        <f>VLOOKUP($A177,NotaIndividualPorAlunoRED,7,0)</f>
        <v/>
      </c>
      <c r="I187" s="14"/>
      <c r="J187" s="14"/>
      <c r="K187" s="14"/>
      <c r="L187" s="14"/>
      <c r="M187" s="20" t="str">
        <f>VLOOKUP(A177,NOTAS!C:I,7,0)</f>
        <v/>
      </c>
      <c r="N187" s="10"/>
      <c r="O187" s="10"/>
    </row>
    <row r="188" spans="1:15" x14ac:dyDescent="0.3">
      <c r="A188" s="72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0"/>
      <c r="O188" s="10"/>
    </row>
    <row r="189" spans="1:15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1:15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1:15" x14ac:dyDescent="0.3">
      <c r="A191" s="58" t="s">
        <v>38</v>
      </c>
      <c r="B191" s="57" t="s">
        <v>35</v>
      </c>
      <c r="C191" s="57" t="s">
        <v>56</v>
      </c>
      <c r="D191" s="57" t="s">
        <v>57</v>
      </c>
      <c r="E191" s="57" t="s">
        <v>58</v>
      </c>
      <c r="F191" s="57" t="s">
        <v>59</v>
      </c>
      <c r="G191" s="57" t="s">
        <v>60</v>
      </c>
      <c r="H191" s="57" t="s">
        <v>36</v>
      </c>
      <c r="I191" s="57" t="s">
        <v>61</v>
      </c>
      <c r="J191" s="57" t="s">
        <v>34</v>
      </c>
      <c r="K191" s="57" t="s">
        <v>62</v>
      </c>
      <c r="L191" s="16" t="s">
        <v>33</v>
      </c>
      <c r="M191" s="57" t="s">
        <v>37</v>
      </c>
      <c r="N191" s="10"/>
      <c r="O191" s="10"/>
    </row>
    <row r="192" spans="1:15" ht="15.6" x14ac:dyDescent="0.3">
      <c r="A192" s="58" t="str" cm="1">
        <f t="array" ref="A192">IF(ISERROR(INDEX(ListaDeAlunos,(((ROW()-2)/17)+1),(COLUMN()+1))),"",INDEX(ListaDeAlunos,(((ROW()-2)/17)+1),(COLUMN()+1)))</f>
        <v/>
      </c>
      <c r="B192" s="17" t="str">
        <f>VLOOKUP($A192,NotaIndividualPorAlunoPROVAO,2,0)</f>
        <v/>
      </c>
      <c r="C192" s="18" t="str">
        <f>VLOOKUP($A192,NotaIndividualPorAlunoPROVAO,3,0)</f>
        <v/>
      </c>
      <c r="D192" s="17" t="str">
        <f>VLOOKUP($A192,NotaIndividualPorAlunoPROVAO,4,0)</f>
        <v/>
      </c>
      <c r="E192" s="18" t="str">
        <f>VLOOKUP($A192,NotaIndividualPorAlunoPROVAO,5,0)</f>
        <v/>
      </c>
      <c r="F192" s="17" t="str">
        <f>VLOOKUP($A192,NotaIndividualPorAlunoPROVAO,6,0)</f>
        <v/>
      </c>
      <c r="G192" s="18" t="str">
        <f>VLOOKUP($A192,NotaIndividualPorAlunoPROVAO,7,0)</f>
        <v/>
      </c>
      <c r="H192" s="17" t="str">
        <f>VLOOKUP($A192,NotaIndividualPorAlunoPROVAO,8,0)</f>
        <v/>
      </c>
      <c r="I192" s="18" t="str">
        <f>VLOOKUP($A192,NotaIndividualPorAlunoPROVAO,9,0)</f>
        <v/>
      </c>
      <c r="J192" s="17" t="str">
        <f>VLOOKUP($A192,NotaIndividualPorAlunoPROVAO,10,0)</f>
        <v/>
      </c>
      <c r="K192" s="18" t="str">
        <f>VLOOKUP($A192,NotaIndividualPorAlunoPROVAO,11,0)</f>
        <v/>
      </c>
      <c r="L192" s="15" t="str">
        <f>VLOOKUP($A192,NotaIndividualPorAlunoPROVAO,12,0)</f>
        <v/>
      </c>
      <c r="M192" s="25" t="str">
        <f>VLOOKUP($A192,NotaIndividualPorAlunoPROVAO,13,0)</f>
        <v/>
      </c>
      <c r="N192" s="10"/>
      <c r="O192" s="10"/>
    </row>
    <row r="193" spans="1:15" x14ac:dyDescent="0.3">
      <c r="N193" s="10"/>
      <c r="O193" s="10"/>
    </row>
    <row r="194" spans="1:15" x14ac:dyDescent="0.3">
      <c r="A194" s="72" t="str">
        <f>A192</f>
        <v/>
      </c>
      <c r="B194" s="73" t="s">
        <v>15</v>
      </c>
      <c r="C194" s="57" t="s">
        <v>2</v>
      </c>
      <c r="D194" s="57" t="s">
        <v>3</v>
      </c>
      <c r="E194" s="57" t="s">
        <v>4</v>
      </c>
      <c r="F194" s="57" t="s">
        <v>5</v>
      </c>
      <c r="G194" s="57" t="s">
        <v>6</v>
      </c>
      <c r="H194" s="57" t="s">
        <v>7</v>
      </c>
      <c r="I194" s="57" t="s">
        <v>8</v>
      </c>
      <c r="J194" s="57" t="s">
        <v>9</v>
      </c>
      <c r="K194" s="57" t="s">
        <v>10</v>
      </c>
      <c r="L194" s="57" t="s">
        <v>11</v>
      </c>
      <c r="M194" s="57" t="s">
        <v>13</v>
      </c>
      <c r="N194" s="10"/>
      <c r="O194" s="10"/>
    </row>
    <row r="195" spans="1:15" ht="15.75" customHeight="1" x14ac:dyDescent="0.3">
      <c r="A195" s="72"/>
      <c r="B195" s="73"/>
      <c r="C195" s="5" t="str">
        <f t="shared" ref="C195:L195" si="33">VLOOKUP($A194,NotaIndividualPorAlunoMAT,RIGHT(C194,2)+1,0)</f>
        <v/>
      </c>
      <c r="D195" s="5" t="str">
        <f t="shared" si="33"/>
        <v/>
      </c>
      <c r="E195" s="5" t="str">
        <f t="shared" si="33"/>
        <v/>
      </c>
      <c r="F195" s="5" t="str">
        <f t="shared" si="33"/>
        <v/>
      </c>
      <c r="G195" s="5" t="str">
        <f t="shared" si="33"/>
        <v/>
      </c>
      <c r="H195" s="5" t="str">
        <f t="shared" si="33"/>
        <v/>
      </c>
      <c r="I195" s="5" t="str">
        <f t="shared" si="33"/>
        <v/>
      </c>
      <c r="J195" s="5" t="str">
        <f t="shared" si="33"/>
        <v/>
      </c>
      <c r="K195" s="5" t="str">
        <f t="shared" si="33"/>
        <v/>
      </c>
      <c r="L195" s="5" t="str">
        <f t="shared" si="33"/>
        <v/>
      </c>
      <c r="M195" s="19" t="str">
        <f>VLOOKUP($A194,NotaIndividualPorAlunoMAT,RIGHT(L194,2)+2,0)</f>
        <v/>
      </c>
      <c r="N195" s="10"/>
      <c r="O195" s="10"/>
    </row>
    <row r="196" spans="1:15" x14ac:dyDescent="0.3">
      <c r="A196" s="72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0"/>
      <c r="O196" s="10"/>
    </row>
    <row r="197" spans="1:15" ht="15" customHeight="1" x14ac:dyDescent="0.3">
      <c r="A197" s="72"/>
      <c r="B197" s="73" t="s">
        <v>14</v>
      </c>
      <c r="C197" s="57" t="s">
        <v>46</v>
      </c>
      <c r="D197" s="57" t="s">
        <v>47</v>
      </c>
      <c r="E197" s="57" t="s">
        <v>48</v>
      </c>
      <c r="F197" s="57" t="s">
        <v>49</v>
      </c>
      <c r="G197" s="57" t="s">
        <v>50</v>
      </c>
      <c r="H197" s="57" t="s">
        <v>51</v>
      </c>
      <c r="I197" s="57" t="s">
        <v>52</v>
      </c>
      <c r="J197" s="57" t="s">
        <v>53</v>
      </c>
      <c r="K197" s="57" t="s">
        <v>54</v>
      </c>
      <c r="L197" s="57" t="s">
        <v>55</v>
      </c>
      <c r="M197" s="57" t="s">
        <v>13</v>
      </c>
      <c r="N197" s="10"/>
      <c r="O197" s="10"/>
    </row>
    <row r="198" spans="1:15" ht="15.75" customHeight="1" x14ac:dyDescent="0.3">
      <c r="A198" s="72"/>
      <c r="B198" s="73"/>
      <c r="C198" s="3" t="str">
        <f t="shared" ref="C198:L198" si="34">VLOOKUP($A194,NotaIndividualPorAlunoQUI,RIGHT(C197,2)-9,0)</f>
        <v/>
      </c>
      <c r="D198" s="3" t="str">
        <f t="shared" si="34"/>
        <v/>
      </c>
      <c r="E198" s="3" t="str">
        <f t="shared" si="34"/>
        <v/>
      </c>
      <c r="F198" s="3" t="str">
        <f t="shared" si="34"/>
        <v/>
      </c>
      <c r="G198" s="3" t="str">
        <f t="shared" si="34"/>
        <v/>
      </c>
      <c r="H198" s="3" t="str">
        <f t="shared" si="34"/>
        <v/>
      </c>
      <c r="I198" s="3" t="str">
        <f t="shared" si="34"/>
        <v/>
      </c>
      <c r="J198" s="3" t="str">
        <f t="shared" si="34"/>
        <v/>
      </c>
      <c r="K198" s="3" t="str">
        <f t="shared" si="34"/>
        <v/>
      </c>
      <c r="L198" s="3" t="str">
        <f t="shared" si="34"/>
        <v/>
      </c>
      <c r="M198" s="19" t="str">
        <f>VLOOKUP($A194,NotaIndividualPorAlunoQUI,RIGHT(L197,2)-8,0)</f>
        <v/>
      </c>
      <c r="N198" s="10"/>
      <c r="O198" s="10"/>
    </row>
    <row r="199" spans="1:15" x14ac:dyDescent="0.3">
      <c r="A199" s="72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0"/>
      <c r="O199" s="10"/>
    </row>
    <row r="200" spans="1:15" x14ac:dyDescent="0.3">
      <c r="A200" s="72"/>
      <c r="B200" s="73" t="s">
        <v>12</v>
      </c>
      <c r="C200" s="57" t="s">
        <v>2</v>
      </c>
      <c r="D200" s="57" t="s">
        <v>3</v>
      </c>
      <c r="E200" s="57" t="s">
        <v>4</v>
      </c>
      <c r="F200" s="57" t="s">
        <v>5</v>
      </c>
      <c r="G200" s="57" t="s">
        <v>6</v>
      </c>
      <c r="H200" s="57" t="s">
        <v>7</v>
      </c>
      <c r="I200" s="57" t="s">
        <v>8</v>
      </c>
      <c r="J200" s="57" t="s">
        <v>9</v>
      </c>
      <c r="K200" s="57" t="s">
        <v>10</v>
      </c>
      <c r="L200" s="57" t="s">
        <v>11</v>
      </c>
      <c r="M200" s="57" t="s">
        <v>13</v>
      </c>
      <c r="N200" s="10"/>
      <c r="O200" s="10"/>
    </row>
    <row r="201" spans="1:15" ht="15.75" customHeight="1" x14ac:dyDescent="0.3">
      <c r="A201" s="72"/>
      <c r="B201" s="73"/>
      <c r="C201" s="3" t="str">
        <f t="shared" ref="C201:L201" si="35">VLOOKUP($A194,NotaIndividualPorAlunoFIS,RIGHT(C200,2)+1,0)</f>
        <v/>
      </c>
      <c r="D201" s="3" t="str">
        <f t="shared" si="35"/>
        <v/>
      </c>
      <c r="E201" s="3" t="str">
        <f t="shared" si="35"/>
        <v/>
      </c>
      <c r="F201" s="3" t="str">
        <f t="shared" si="35"/>
        <v/>
      </c>
      <c r="G201" s="3" t="str">
        <f t="shared" si="35"/>
        <v/>
      </c>
      <c r="H201" s="3" t="str">
        <f t="shared" si="35"/>
        <v/>
      </c>
      <c r="I201" s="3" t="str">
        <f t="shared" si="35"/>
        <v/>
      </c>
      <c r="J201" s="3" t="str">
        <f t="shared" si="35"/>
        <v/>
      </c>
      <c r="K201" s="3" t="str">
        <f t="shared" si="35"/>
        <v/>
      </c>
      <c r="L201" s="3" t="str">
        <f t="shared" si="35"/>
        <v/>
      </c>
      <c r="M201" s="19" t="str">
        <f>VLOOKUP($A194,NotaIndividualPorAlunoFIS,RIGHT(L200,2)+2,0)</f>
        <v/>
      </c>
      <c r="N201" s="10"/>
      <c r="O201" s="10"/>
    </row>
    <row r="202" spans="1:15" ht="15.6" x14ac:dyDescent="0.3">
      <c r="A202" s="72"/>
      <c r="B202" s="12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0"/>
      <c r="O202" s="10"/>
    </row>
    <row r="203" spans="1:15" ht="15.6" x14ac:dyDescent="0.3">
      <c r="A203" s="72"/>
      <c r="B203" s="73" t="s">
        <v>16</v>
      </c>
      <c r="C203" s="23" t="s">
        <v>41</v>
      </c>
      <c r="D203" s="58" t="s">
        <v>42</v>
      </c>
      <c r="E203" s="23" t="s">
        <v>43</v>
      </c>
      <c r="F203" s="58" t="s">
        <v>44</v>
      </c>
      <c r="G203" s="23" t="s">
        <v>63</v>
      </c>
      <c r="H203" s="58" t="s">
        <v>32</v>
      </c>
      <c r="I203" s="14"/>
      <c r="J203" s="14"/>
      <c r="K203" s="14"/>
      <c r="L203" s="14"/>
      <c r="M203" s="15" t="s">
        <v>18</v>
      </c>
      <c r="N203" s="10"/>
      <c r="O203" s="10"/>
    </row>
    <row r="204" spans="1:15" ht="15.75" customHeight="1" x14ac:dyDescent="0.3">
      <c r="A204" s="72"/>
      <c r="B204" s="73"/>
      <c r="C204" s="26" t="str">
        <f>VLOOKUP($A194,NotaIndividualPorAlunoRED,2,0)</f>
        <v/>
      </c>
      <c r="D204" s="26" t="str">
        <f>VLOOKUP($A194,NotaIndividualPorAlunoRED,3,0)</f>
        <v/>
      </c>
      <c r="E204" s="26" t="str">
        <f>VLOOKUP($A194,NotaIndividualPorAlunoRED,4,0)</f>
        <v/>
      </c>
      <c r="F204" s="26" t="str">
        <f>VLOOKUP($A194,NotaIndividualPorAlunoRED,5,0)</f>
        <v/>
      </c>
      <c r="G204" s="26" t="str">
        <f>VLOOKUP($A194,NotaIndividualPorAlunoRED,6,0)</f>
        <v/>
      </c>
      <c r="H204" s="21" t="str">
        <f>VLOOKUP($A194,NotaIndividualPorAlunoRED,7,0)</f>
        <v/>
      </c>
      <c r="I204" s="14"/>
      <c r="J204" s="14"/>
      <c r="K204" s="14"/>
      <c r="L204" s="14"/>
      <c r="M204" s="20" t="str">
        <f>VLOOKUP(A194,NOTAS!C:I,7,0)</f>
        <v/>
      </c>
      <c r="N204" s="10"/>
      <c r="O204" s="10"/>
    </row>
    <row r="205" spans="1:15" x14ac:dyDescent="0.3">
      <c r="A205" s="72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0"/>
      <c r="O205" s="10"/>
    </row>
    <row r="206" spans="1:15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</row>
    <row r="207" spans="1:15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</row>
    <row r="208" spans="1:15" x14ac:dyDescent="0.3">
      <c r="A208" s="58" t="s">
        <v>38</v>
      </c>
      <c r="B208" s="57" t="s">
        <v>35</v>
      </c>
      <c r="C208" s="57" t="s">
        <v>56</v>
      </c>
      <c r="D208" s="57" t="s">
        <v>57</v>
      </c>
      <c r="E208" s="57" t="s">
        <v>58</v>
      </c>
      <c r="F208" s="57" t="s">
        <v>59</v>
      </c>
      <c r="G208" s="57" t="s">
        <v>60</v>
      </c>
      <c r="H208" s="57" t="s">
        <v>36</v>
      </c>
      <c r="I208" s="57" t="s">
        <v>61</v>
      </c>
      <c r="J208" s="57" t="s">
        <v>34</v>
      </c>
      <c r="K208" s="57" t="s">
        <v>62</v>
      </c>
      <c r="L208" s="16" t="s">
        <v>33</v>
      </c>
      <c r="M208" s="57" t="s">
        <v>37</v>
      </c>
      <c r="N208" s="10"/>
      <c r="O208" s="10"/>
    </row>
    <row r="209" spans="1:15" ht="15.6" x14ac:dyDescent="0.3">
      <c r="A209" s="58" t="str" cm="1">
        <f t="array" ref="A209">IF(ISERROR(INDEX(ListaDeAlunos,(((ROW()-2)/17)+1),(COLUMN()+1))),"",INDEX(ListaDeAlunos,(((ROW()-2)/17)+1),(COLUMN()+1)))</f>
        <v/>
      </c>
      <c r="B209" s="17" t="str">
        <f>VLOOKUP($A209,NotaIndividualPorAlunoPROVAO,2,0)</f>
        <v/>
      </c>
      <c r="C209" s="18" t="str">
        <f>VLOOKUP($A209,NotaIndividualPorAlunoPROVAO,3,0)</f>
        <v/>
      </c>
      <c r="D209" s="17" t="str">
        <f>VLOOKUP($A209,NotaIndividualPorAlunoPROVAO,4,0)</f>
        <v/>
      </c>
      <c r="E209" s="18" t="str">
        <f>VLOOKUP($A209,NotaIndividualPorAlunoPROVAO,5,0)</f>
        <v/>
      </c>
      <c r="F209" s="17" t="str">
        <f>VLOOKUP($A209,NotaIndividualPorAlunoPROVAO,6,0)</f>
        <v/>
      </c>
      <c r="G209" s="18" t="str">
        <f>VLOOKUP($A209,NotaIndividualPorAlunoPROVAO,7,0)</f>
        <v/>
      </c>
      <c r="H209" s="17" t="str">
        <f>VLOOKUP($A209,NotaIndividualPorAlunoPROVAO,8,0)</f>
        <v/>
      </c>
      <c r="I209" s="18" t="str">
        <f>VLOOKUP($A209,NotaIndividualPorAlunoPROVAO,9,0)</f>
        <v/>
      </c>
      <c r="J209" s="17" t="str">
        <f>VLOOKUP($A209,NotaIndividualPorAlunoPROVAO,10,0)</f>
        <v/>
      </c>
      <c r="K209" s="18" t="str">
        <f>VLOOKUP($A209,NotaIndividualPorAlunoPROVAO,11,0)</f>
        <v/>
      </c>
      <c r="L209" s="15" t="str">
        <f>VLOOKUP($A209,NotaIndividualPorAlunoPROVAO,12,0)</f>
        <v/>
      </c>
      <c r="M209" s="25" t="str">
        <f>VLOOKUP($A209,NotaIndividualPorAlunoPROVAO,13,0)</f>
        <v/>
      </c>
      <c r="N209" s="10"/>
      <c r="O209" s="10"/>
    </row>
    <row r="210" spans="1:15" x14ac:dyDescent="0.3">
      <c r="N210" s="10"/>
      <c r="O210" s="10"/>
    </row>
    <row r="211" spans="1:15" x14ac:dyDescent="0.3">
      <c r="A211" s="72" t="str">
        <f>A209</f>
        <v/>
      </c>
      <c r="B211" s="73" t="s">
        <v>15</v>
      </c>
      <c r="C211" s="57" t="s">
        <v>2</v>
      </c>
      <c r="D211" s="57" t="s">
        <v>3</v>
      </c>
      <c r="E211" s="57" t="s">
        <v>4</v>
      </c>
      <c r="F211" s="57" t="s">
        <v>5</v>
      </c>
      <c r="G211" s="57" t="s">
        <v>6</v>
      </c>
      <c r="H211" s="57" t="s">
        <v>7</v>
      </c>
      <c r="I211" s="57" t="s">
        <v>8</v>
      </c>
      <c r="J211" s="57" t="s">
        <v>9</v>
      </c>
      <c r="K211" s="57" t="s">
        <v>10</v>
      </c>
      <c r="L211" s="57" t="s">
        <v>11</v>
      </c>
      <c r="M211" s="57" t="s">
        <v>13</v>
      </c>
      <c r="N211" s="10"/>
      <c r="O211" s="10"/>
    </row>
    <row r="212" spans="1:15" ht="15" customHeight="1" x14ac:dyDescent="0.3">
      <c r="A212" s="72"/>
      <c r="B212" s="73"/>
      <c r="C212" s="5" t="str">
        <f t="shared" ref="C212:L212" si="36">VLOOKUP($A211,NotaIndividualPorAlunoMAT,RIGHT(C211,2)+1,0)</f>
        <v/>
      </c>
      <c r="D212" s="5" t="str">
        <f t="shared" si="36"/>
        <v/>
      </c>
      <c r="E212" s="5" t="str">
        <f t="shared" si="36"/>
        <v/>
      </c>
      <c r="F212" s="5" t="str">
        <f t="shared" si="36"/>
        <v/>
      </c>
      <c r="G212" s="5" t="str">
        <f t="shared" si="36"/>
        <v/>
      </c>
      <c r="H212" s="5" t="str">
        <f t="shared" si="36"/>
        <v/>
      </c>
      <c r="I212" s="5" t="str">
        <f t="shared" si="36"/>
        <v/>
      </c>
      <c r="J212" s="5" t="str">
        <f t="shared" si="36"/>
        <v/>
      </c>
      <c r="K212" s="5" t="str">
        <f t="shared" si="36"/>
        <v/>
      </c>
      <c r="L212" s="5" t="str">
        <f t="shared" si="36"/>
        <v/>
      </c>
      <c r="M212" s="19" t="str">
        <f>VLOOKUP($A211,NotaIndividualPorAlunoMAT,RIGHT(L211,2)+2,0)</f>
        <v/>
      </c>
      <c r="N212" s="10"/>
      <c r="O212" s="10"/>
    </row>
    <row r="213" spans="1:15" x14ac:dyDescent="0.3">
      <c r="A213" s="72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0"/>
      <c r="O213" s="10"/>
    </row>
    <row r="214" spans="1:15" x14ac:dyDescent="0.3">
      <c r="A214" s="72"/>
      <c r="B214" s="73" t="s">
        <v>14</v>
      </c>
      <c r="C214" s="57" t="s">
        <v>46</v>
      </c>
      <c r="D214" s="57" t="s">
        <v>47</v>
      </c>
      <c r="E214" s="57" t="s">
        <v>48</v>
      </c>
      <c r="F214" s="57" t="s">
        <v>49</v>
      </c>
      <c r="G214" s="57" t="s">
        <v>50</v>
      </c>
      <c r="H214" s="57" t="s">
        <v>51</v>
      </c>
      <c r="I214" s="57" t="s">
        <v>52</v>
      </c>
      <c r="J214" s="57" t="s">
        <v>53</v>
      </c>
      <c r="K214" s="57" t="s">
        <v>54</v>
      </c>
      <c r="L214" s="57" t="s">
        <v>55</v>
      </c>
      <c r="M214" s="57" t="s">
        <v>13</v>
      </c>
      <c r="N214" s="10"/>
      <c r="O214" s="10"/>
    </row>
    <row r="215" spans="1:15" ht="15.75" customHeight="1" x14ac:dyDescent="0.3">
      <c r="A215" s="72"/>
      <c r="B215" s="73"/>
      <c r="C215" s="3" t="str">
        <f t="shared" ref="C215:L215" si="37">VLOOKUP($A211,NotaIndividualPorAlunoQUI,RIGHT(C214,2)-9,0)</f>
        <v/>
      </c>
      <c r="D215" s="3" t="str">
        <f t="shared" si="37"/>
        <v/>
      </c>
      <c r="E215" s="3" t="str">
        <f t="shared" si="37"/>
        <v/>
      </c>
      <c r="F215" s="3" t="str">
        <f t="shared" si="37"/>
        <v/>
      </c>
      <c r="G215" s="3" t="str">
        <f t="shared" si="37"/>
        <v/>
      </c>
      <c r="H215" s="3" t="str">
        <f t="shared" si="37"/>
        <v/>
      </c>
      <c r="I215" s="3" t="str">
        <f t="shared" si="37"/>
        <v/>
      </c>
      <c r="J215" s="3" t="str">
        <f t="shared" si="37"/>
        <v/>
      </c>
      <c r="K215" s="3" t="str">
        <f t="shared" si="37"/>
        <v/>
      </c>
      <c r="L215" s="3" t="str">
        <f t="shared" si="37"/>
        <v/>
      </c>
      <c r="M215" s="19" t="str">
        <f>VLOOKUP($A211,NotaIndividualPorAlunoQUI,RIGHT(L214,2)-8,0)</f>
        <v/>
      </c>
      <c r="N215" s="10"/>
      <c r="O215" s="10"/>
    </row>
    <row r="216" spans="1:15" x14ac:dyDescent="0.3">
      <c r="A216" s="72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0"/>
      <c r="O216" s="10"/>
    </row>
    <row r="217" spans="1:15" x14ac:dyDescent="0.3">
      <c r="A217" s="72"/>
      <c r="B217" s="73" t="s">
        <v>12</v>
      </c>
      <c r="C217" s="57" t="s">
        <v>2</v>
      </c>
      <c r="D217" s="57" t="s">
        <v>3</v>
      </c>
      <c r="E217" s="57" t="s">
        <v>4</v>
      </c>
      <c r="F217" s="57" t="s">
        <v>5</v>
      </c>
      <c r="G217" s="57" t="s">
        <v>6</v>
      </c>
      <c r="H217" s="57" t="s">
        <v>7</v>
      </c>
      <c r="I217" s="57" t="s">
        <v>8</v>
      </c>
      <c r="J217" s="57" t="s">
        <v>9</v>
      </c>
      <c r="K217" s="57" t="s">
        <v>10</v>
      </c>
      <c r="L217" s="57" t="s">
        <v>11</v>
      </c>
      <c r="M217" s="57" t="s">
        <v>13</v>
      </c>
      <c r="N217" s="10"/>
      <c r="O217" s="10"/>
    </row>
    <row r="218" spans="1:15" ht="15.75" customHeight="1" x14ac:dyDescent="0.3">
      <c r="A218" s="72"/>
      <c r="B218" s="73"/>
      <c r="C218" s="3" t="str">
        <f t="shared" ref="C218:L218" si="38">VLOOKUP($A211,NotaIndividualPorAlunoFIS,RIGHT(C217,2)+1,0)</f>
        <v/>
      </c>
      <c r="D218" s="3" t="str">
        <f t="shared" si="38"/>
        <v/>
      </c>
      <c r="E218" s="3" t="str">
        <f t="shared" si="38"/>
        <v/>
      </c>
      <c r="F218" s="3" t="str">
        <f t="shared" si="38"/>
        <v/>
      </c>
      <c r="G218" s="3" t="str">
        <f t="shared" si="38"/>
        <v/>
      </c>
      <c r="H218" s="3" t="str">
        <f t="shared" si="38"/>
        <v/>
      </c>
      <c r="I218" s="3" t="str">
        <f t="shared" si="38"/>
        <v/>
      </c>
      <c r="J218" s="3" t="str">
        <f t="shared" si="38"/>
        <v/>
      </c>
      <c r="K218" s="3" t="str">
        <f t="shared" si="38"/>
        <v/>
      </c>
      <c r="L218" s="3" t="str">
        <f t="shared" si="38"/>
        <v/>
      </c>
      <c r="M218" s="19" t="str">
        <f>VLOOKUP($A211,NotaIndividualPorAlunoFIS,RIGHT(L217,2)+2,0)</f>
        <v/>
      </c>
      <c r="N218" s="10"/>
      <c r="O218" s="10"/>
    </row>
    <row r="219" spans="1:15" ht="15.6" x14ac:dyDescent="0.3">
      <c r="A219" s="72"/>
      <c r="B219" s="12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0"/>
      <c r="O219" s="10"/>
    </row>
    <row r="220" spans="1:15" ht="15.6" x14ac:dyDescent="0.3">
      <c r="A220" s="72"/>
      <c r="B220" s="73" t="s">
        <v>16</v>
      </c>
      <c r="C220" s="23" t="s">
        <v>41</v>
      </c>
      <c r="D220" s="58" t="s">
        <v>42</v>
      </c>
      <c r="E220" s="23" t="s">
        <v>43</v>
      </c>
      <c r="F220" s="58" t="s">
        <v>44</v>
      </c>
      <c r="G220" s="23" t="s">
        <v>63</v>
      </c>
      <c r="H220" s="58" t="s">
        <v>32</v>
      </c>
      <c r="I220" s="14"/>
      <c r="J220" s="14"/>
      <c r="K220" s="14"/>
      <c r="L220" s="14"/>
      <c r="M220" s="15" t="s">
        <v>18</v>
      </c>
      <c r="N220" s="10"/>
      <c r="O220" s="10"/>
    </row>
    <row r="221" spans="1:15" ht="15.75" customHeight="1" x14ac:dyDescent="0.3">
      <c r="A221" s="72"/>
      <c r="B221" s="73"/>
      <c r="C221" s="26" t="str">
        <f>VLOOKUP($A211,NotaIndividualPorAlunoRED,2,0)</f>
        <v/>
      </c>
      <c r="D221" s="26" t="str">
        <f>VLOOKUP($A211,NotaIndividualPorAlunoRED,3,0)</f>
        <v/>
      </c>
      <c r="E221" s="26" t="str">
        <f>VLOOKUP($A211,NotaIndividualPorAlunoRED,4,0)</f>
        <v/>
      </c>
      <c r="F221" s="26" t="str">
        <f>VLOOKUP($A211,NotaIndividualPorAlunoRED,5,0)</f>
        <v/>
      </c>
      <c r="G221" s="26" t="str">
        <f>VLOOKUP($A211,NotaIndividualPorAlunoRED,6,0)</f>
        <v/>
      </c>
      <c r="H221" s="21" t="str">
        <f>VLOOKUP($A211,NotaIndividualPorAlunoRED,7,0)</f>
        <v/>
      </c>
      <c r="I221" s="14"/>
      <c r="J221" s="14"/>
      <c r="K221" s="14"/>
      <c r="L221" s="14"/>
      <c r="M221" s="20" t="str">
        <f>VLOOKUP(A211,NOTAS!C:I,7,0)</f>
        <v/>
      </c>
      <c r="N221" s="10"/>
      <c r="O221" s="10"/>
    </row>
    <row r="222" spans="1:15" x14ac:dyDescent="0.3">
      <c r="A222" s="72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0"/>
      <c r="O222" s="10"/>
    </row>
    <row r="223" spans="1:15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1:15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1:15" x14ac:dyDescent="0.3">
      <c r="A225" s="58" t="s">
        <v>38</v>
      </c>
      <c r="B225" s="57" t="s">
        <v>35</v>
      </c>
      <c r="C225" s="57" t="s">
        <v>56</v>
      </c>
      <c r="D225" s="57" t="s">
        <v>57</v>
      </c>
      <c r="E225" s="57" t="s">
        <v>58</v>
      </c>
      <c r="F225" s="57" t="s">
        <v>59</v>
      </c>
      <c r="G225" s="57" t="s">
        <v>60</v>
      </c>
      <c r="H225" s="57" t="s">
        <v>36</v>
      </c>
      <c r="I225" s="57" t="s">
        <v>61</v>
      </c>
      <c r="J225" s="57" t="s">
        <v>34</v>
      </c>
      <c r="K225" s="57" t="s">
        <v>62</v>
      </c>
      <c r="L225" s="16" t="s">
        <v>33</v>
      </c>
      <c r="M225" s="57" t="s">
        <v>37</v>
      </c>
      <c r="N225" s="10"/>
      <c r="O225" s="10"/>
    </row>
    <row r="226" spans="1:15" ht="15.6" x14ac:dyDescent="0.3">
      <c r="A226" s="58" t="str" cm="1">
        <f t="array" ref="A226">IF(ISERROR(INDEX(ListaDeAlunos,(((ROW()-2)/17)+1),(COLUMN()+1))),"",INDEX(ListaDeAlunos,(((ROW()-2)/17)+1),(COLUMN()+1)))</f>
        <v/>
      </c>
      <c r="B226" s="17" t="str">
        <f>VLOOKUP($A226,NotaIndividualPorAlunoPROVAO,2,0)</f>
        <v/>
      </c>
      <c r="C226" s="18" t="str">
        <f>VLOOKUP($A226,NotaIndividualPorAlunoPROVAO,3,0)</f>
        <v/>
      </c>
      <c r="D226" s="17" t="str">
        <f>VLOOKUP($A226,NotaIndividualPorAlunoPROVAO,4,0)</f>
        <v/>
      </c>
      <c r="E226" s="18" t="str">
        <f>VLOOKUP($A226,NotaIndividualPorAlunoPROVAO,5,0)</f>
        <v/>
      </c>
      <c r="F226" s="17" t="str">
        <f>VLOOKUP($A226,NotaIndividualPorAlunoPROVAO,6,0)</f>
        <v/>
      </c>
      <c r="G226" s="18" t="str">
        <f>VLOOKUP($A226,NotaIndividualPorAlunoPROVAO,7,0)</f>
        <v/>
      </c>
      <c r="H226" s="17" t="str">
        <f>VLOOKUP($A226,NotaIndividualPorAlunoPROVAO,8,0)</f>
        <v/>
      </c>
      <c r="I226" s="18" t="str">
        <f>VLOOKUP($A226,NotaIndividualPorAlunoPROVAO,9,0)</f>
        <v/>
      </c>
      <c r="J226" s="17" t="str">
        <f>VLOOKUP($A226,NotaIndividualPorAlunoPROVAO,10,0)</f>
        <v/>
      </c>
      <c r="K226" s="18" t="str">
        <f>VLOOKUP($A226,NotaIndividualPorAlunoPROVAO,11,0)</f>
        <v/>
      </c>
      <c r="L226" s="15" t="str">
        <f>VLOOKUP($A226,NotaIndividualPorAlunoPROVAO,12,0)</f>
        <v/>
      </c>
      <c r="M226" s="25" t="str">
        <f>VLOOKUP($A226,NotaIndividualPorAlunoPROVAO,13,0)</f>
        <v/>
      </c>
      <c r="N226" s="10"/>
      <c r="O226" s="10"/>
    </row>
    <row r="227" spans="1:15" x14ac:dyDescent="0.3">
      <c r="N227" s="10"/>
      <c r="O227" s="10"/>
    </row>
    <row r="228" spans="1:15" x14ac:dyDescent="0.3">
      <c r="A228" s="72" t="str">
        <f>A226</f>
        <v/>
      </c>
      <c r="B228" s="73" t="s">
        <v>15</v>
      </c>
      <c r="C228" s="57" t="s">
        <v>2</v>
      </c>
      <c r="D228" s="57" t="s">
        <v>3</v>
      </c>
      <c r="E228" s="57" t="s">
        <v>4</v>
      </c>
      <c r="F228" s="57" t="s">
        <v>5</v>
      </c>
      <c r="G228" s="57" t="s">
        <v>6</v>
      </c>
      <c r="H228" s="57" t="s">
        <v>7</v>
      </c>
      <c r="I228" s="57" t="s">
        <v>8</v>
      </c>
      <c r="J228" s="57" t="s">
        <v>9</v>
      </c>
      <c r="K228" s="57" t="s">
        <v>10</v>
      </c>
      <c r="L228" s="57" t="s">
        <v>11</v>
      </c>
      <c r="M228" s="57" t="s">
        <v>13</v>
      </c>
      <c r="N228" s="10"/>
      <c r="O228" s="10"/>
    </row>
    <row r="229" spans="1:15" ht="15.75" customHeight="1" x14ac:dyDescent="0.3">
      <c r="A229" s="72"/>
      <c r="B229" s="73"/>
      <c r="C229" s="5" t="str">
        <f t="shared" ref="C229:L229" si="39">VLOOKUP($A228,NotaIndividualPorAlunoMAT,RIGHT(C228,2)+1,0)</f>
        <v/>
      </c>
      <c r="D229" s="5" t="str">
        <f t="shared" si="39"/>
        <v/>
      </c>
      <c r="E229" s="5" t="str">
        <f t="shared" si="39"/>
        <v/>
      </c>
      <c r="F229" s="5" t="str">
        <f t="shared" si="39"/>
        <v/>
      </c>
      <c r="G229" s="5" t="str">
        <f t="shared" si="39"/>
        <v/>
      </c>
      <c r="H229" s="5" t="str">
        <f t="shared" si="39"/>
        <v/>
      </c>
      <c r="I229" s="5" t="str">
        <f t="shared" si="39"/>
        <v/>
      </c>
      <c r="J229" s="5" t="str">
        <f t="shared" si="39"/>
        <v/>
      </c>
      <c r="K229" s="5" t="str">
        <f t="shared" si="39"/>
        <v/>
      </c>
      <c r="L229" s="5" t="str">
        <f t="shared" si="39"/>
        <v/>
      </c>
      <c r="M229" s="19" t="str">
        <f>VLOOKUP($A228,NotaIndividualPorAlunoMAT,RIGHT(L228,2)+2,0)</f>
        <v/>
      </c>
      <c r="N229" s="10"/>
      <c r="O229" s="10"/>
    </row>
    <row r="230" spans="1:15" x14ac:dyDescent="0.3">
      <c r="A230" s="72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0"/>
      <c r="O230" s="10"/>
    </row>
    <row r="231" spans="1:15" x14ac:dyDescent="0.3">
      <c r="A231" s="72"/>
      <c r="B231" s="73" t="s">
        <v>14</v>
      </c>
      <c r="C231" s="57" t="s">
        <v>46</v>
      </c>
      <c r="D231" s="57" t="s">
        <v>47</v>
      </c>
      <c r="E231" s="57" t="s">
        <v>48</v>
      </c>
      <c r="F231" s="57" t="s">
        <v>49</v>
      </c>
      <c r="G231" s="57" t="s">
        <v>50</v>
      </c>
      <c r="H231" s="57" t="s">
        <v>51</v>
      </c>
      <c r="I231" s="57" t="s">
        <v>52</v>
      </c>
      <c r="J231" s="57" t="s">
        <v>53</v>
      </c>
      <c r="K231" s="57" t="s">
        <v>54</v>
      </c>
      <c r="L231" s="57" t="s">
        <v>55</v>
      </c>
      <c r="M231" s="57" t="s">
        <v>13</v>
      </c>
      <c r="N231" s="10"/>
      <c r="O231" s="10"/>
    </row>
    <row r="232" spans="1:15" ht="15.75" customHeight="1" x14ac:dyDescent="0.3">
      <c r="A232" s="72"/>
      <c r="B232" s="73"/>
      <c r="C232" s="3" t="str">
        <f t="shared" ref="C232:L232" si="40">VLOOKUP($A228,NotaIndividualPorAlunoQUI,RIGHT(C231,2)-9,0)</f>
        <v/>
      </c>
      <c r="D232" s="3" t="str">
        <f t="shared" si="40"/>
        <v/>
      </c>
      <c r="E232" s="3" t="str">
        <f t="shared" si="40"/>
        <v/>
      </c>
      <c r="F232" s="3" t="str">
        <f t="shared" si="40"/>
        <v/>
      </c>
      <c r="G232" s="3" t="str">
        <f t="shared" si="40"/>
        <v/>
      </c>
      <c r="H232" s="3" t="str">
        <f t="shared" si="40"/>
        <v/>
      </c>
      <c r="I232" s="3" t="str">
        <f t="shared" si="40"/>
        <v/>
      </c>
      <c r="J232" s="3" t="str">
        <f t="shared" si="40"/>
        <v/>
      </c>
      <c r="K232" s="3" t="str">
        <f t="shared" si="40"/>
        <v/>
      </c>
      <c r="L232" s="3" t="str">
        <f t="shared" si="40"/>
        <v/>
      </c>
      <c r="M232" s="19" t="str">
        <f>VLOOKUP($A228,NotaIndividualPorAlunoQUI,RIGHT(L231,2)-8,0)</f>
        <v/>
      </c>
      <c r="N232" s="10"/>
      <c r="O232" s="10"/>
    </row>
    <row r="233" spans="1:15" x14ac:dyDescent="0.3">
      <c r="A233" s="72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0"/>
      <c r="O233" s="10"/>
    </row>
    <row r="234" spans="1:15" x14ac:dyDescent="0.3">
      <c r="A234" s="72"/>
      <c r="B234" s="73" t="s">
        <v>12</v>
      </c>
      <c r="C234" s="57" t="s">
        <v>2</v>
      </c>
      <c r="D234" s="57" t="s">
        <v>3</v>
      </c>
      <c r="E234" s="57" t="s">
        <v>4</v>
      </c>
      <c r="F234" s="57" t="s">
        <v>5</v>
      </c>
      <c r="G234" s="57" t="s">
        <v>6</v>
      </c>
      <c r="H234" s="57" t="s">
        <v>7</v>
      </c>
      <c r="I234" s="57" t="s">
        <v>8</v>
      </c>
      <c r="J234" s="57" t="s">
        <v>9</v>
      </c>
      <c r="K234" s="57" t="s">
        <v>10</v>
      </c>
      <c r="L234" s="57" t="s">
        <v>11</v>
      </c>
      <c r="M234" s="57" t="s">
        <v>13</v>
      </c>
      <c r="N234" s="10"/>
      <c r="O234" s="10"/>
    </row>
    <row r="235" spans="1:15" ht="15.75" customHeight="1" x14ac:dyDescent="0.3">
      <c r="A235" s="72"/>
      <c r="B235" s="73"/>
      <c r="C235" s="3" t="str">
        <f t="shared" ref="C235:L235" si="41">VLOOKUP($A228,NotaIndividualPorAlunoFIS,RIGHT(C234,2)+1,0)</f>
        <v/>
      </c>
      <c r="D235" s="3" t="str">
        <f t="shared" si="41"/>
        <v/>
      </c>
      <c r="E235" s="3" t="str">
        <f t="shared" si="41"/>
        <v/>
      </c>
      <c r="F235" s="3" t="str">
        <f t="shared" si="41"/>
        <v/>
      </c>
      <c r="G235" s="3" t="str">
        <f t="shared" si="41"/>
        <v/>
      </c>
      <c r="H235" s="3" t="str">
        <f t="shared" si="41"/>
        <v/>
      </c>
      <c r="I235" s="3" t="str">
        <f t="shared" si="41"/>
        <v/>
      </c>
      <c r="J235" s="3" t="str">
        <f t="shared" si="41"/>
        <v/>
      </c>
      <c r="K235" s="3" t="str">
        <f t="shared" si="41"/>
        <v/>
      </c>
      <c r="L235" s="3" t="str">
        <f t="shared" si="41"/>
        <v/>
      </c>
      <c r="M235" s="19" t="str">
        <f>VLOOKUP($A228,NotaIndividualPorAlunoFIS,RIGHT(L234,2)+2,0)</f>
        <v/>
      </c>
      <c r="N235" s="10"/>
      <c r="O235" s="10"/>
    </row>
    <row r="236" spans="1:15" ht="15.6" x14ac:dyDescent="0.3">
      <c r="A236" s="72"/>
      <c r="B236" s="12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0"/>
      <c r="O236" s="10"/>
    </row>
    <row r="237" spans="1:15" ht="15.6" x14ac:dyDescent="0.3">
      <c r="A237" s="72"/>
      <c r="B237" s="73" t="s">
        <v>16</v>
      </c>
      <c r="C237" s="23" t="s">
        <v>41</v>
      </c>
      <c r="D237" s="58" t="s">
        <v>42</v>
      </c>
      <c r="E237" s="23" t="s">
        <v>43</v>
      </c>
      <c r="F237" s="58" t="s">
        <v>44</v>
      </c>
      <c r="G237" s="23" t="s">
        <v>63</v>
      </c>
      <c r="H237" s="58" t="s">
        <v>32</v>
      </c>
      <c r="I237" s="14"/>
      <c r="J237" s="14"/>
      <c r="K237" s="14"/>
      <c r="L237" s="14"/>
      <c r="M237" s="15" t="s">
        <v>18</v>
      </c>
      <c r="N237" s="10"/>
      <c r="O237" s="10"/>
    </row>
    <row r="238" spans="1:15" ht="15.75" customHeight="1" x14ac:dyDescent="0.3">
      <c r="A238" s="72"/>
      <c r="B238" s="73"/>
      <c r="C238" s="26" t="str">
        <f>VLOOKUP($A228,NotaIndividualPorAlunoRED,2,0)</f>
        <v/>
      </c>
      <c r="D238" s="26" t="str">
        <f>VLOOKUP($A228,NotaIndividualPorAlunoRED,3,0)</f>
        <v/>
      </c>
      <c r="E238" s="26" t="str">
        <f>VLOOKUP($A228,NotaIndividualPorAlunoRED,4,0)</f>
        <v/>
      </c>
      <c r="F238" s="26" t="str">
        <f>VLOOKUP($A228,NotaIndividualPorAlunoRED,5,0)</f>
        <v/>
      </c>
      <c r="G238" s="26" t="str">
        <f>VLOOKUP($A228,NotaIndividualPorAlunoRED,6,0)</f>
        <v/>
      </c>
      <c r="H238" s="21" t="str">
        <f>VLOOKUP($A228,NotaIndividualPorAlunoRED,7,0)</f>
        <v/>
      </c>
      <c r="I238" s="14"/>
      <c r="J238" s="14"/>
      <c r="K238" s="14"/>
      <c r="L238" s="14"/>
      <c r="M238" s="20" t="str">
        <f>VLOOKUP(A228,NOTAS!C:I,7,0)</f>
        <v/>
      </c>
      <c r="N238" s="10"/>
      <c r="O238" s="10"/>
    </row>
    <row r="239" spans="1:15" x14ac:dyDescent="0.3">
      <c r="A239" s="72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0"/>
      <c r="O239" s="10"/>
    </row>
    <row r="240" spans="1:15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1:15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1:15" x14ac:dyDescent="0.3">
      <c r="A242" s="58" t="s">
        <v>38</v>
      </c>
      <c r="B242" s="57" t="s">
        <v>35</v>
      </c>
      <c r="C242" s="57" t="s">
        <v>56</v>
      </c>
      <c r="D242" s="57" t="s">
        <v>57</v>
      </c>
      <c r="E242" s="57" t="s">
        <v>58</v>
      </c>
      <c r="F242" s="57" t="s">
        <v>59</v>
      </c>
      <c r="G242" s="57" t="s">
        <v>60</v>
      </c>
      <c r="H242" s="57" t="s">
        <v>36</v>
      </c>
      <c r="I242" s="57" t="s">
        <v>61</v>
      </c>
      <c r="J242" s="57" t="s">
        <v>34</v>
      </c>
      <c r="K242" s="57" t="s">
        <v>62</v>
      </c>
      <c r="L242" s="16" t="s">
        <v>33</v>
      </c>
      <c r="M242" s="57" t="s">
        <v>37</v>
      </c>
      <c r="N242" s="10"/>
      <c r="O242" s="10"/>
    </row>
    <row r="243" spans="1:15" ht="15.6" x14ac:dyDescent="0.3">
      <c r="A243" s="58" t="str" cm="1">
        <f t="array" ref="A243">IF(ISERROR(INDEX(ListaDeAlunos,(((ROW()-2)/17)+1),(COLUMN()+1))),"",INDEX(ListaDeAlunos,(((ROW()-2)/17)+1),(COLUMN()+1)))</f>
        <v/>
      </c>
      <c r="B243" s="17" t="str">
        <f>VLOOKUP($A243,NotaIndividualPorAlunoPROVAO,2,0)</f>
        <v/>
      </c>
      <c r="C243" s="18" t="str">
        <f>VLOOKUP($A243,NotaIndividualPorAlunoPROVAO,3,0)</f>
        <v/>
      </c>
      <c r="D243" s="17" t="str">
        <f>VLOOKUP($A243,NotaIndividualPorAlunoPROVAO,4,0)</f>
        <v/>
      </c>
      <c r="E243" s="18" t="str">
        <f>VLOOKUP($A243,NotaIndividualPorAlunoPROVAO,5,0)</f>
        <v/>
      </c>
      <c r="F243" s="17" t="str">
        <f>VLOOKUP($A243,NotaIndividualPorAlunoPROVAO,6,0)</f>
        <v/>
      </c>
      <c r="G243" s="18" t="str">
        <f>VLOOKUP($A243,NotaIndividualPorAlunoPROVAO,7,0)</f>
        <v/>
      </c>
      <c r="H243" s="17" t="str">
        <f>VLOOKUP($A243,NotaIndividualPorAlunoPROVAO,8,0)</f>
        <v/>
      </c>
      <c r="I243" s="18" t="str">
        <f>VLOOKUP($A243,NotaIndividualPorAlunoPROVAO,9,0)</f>
        <v/>
      </c>
      <c r="J243" s="17" t="str">
        <f>VLOOKUP($A243,NotaIndividualPorAlunoPROVAO,10,0)</f>
        <v/>
      </c>
      <c r="K243" s="18" t="str">
        <f>VLOOKUP($A243,NotaIndividualPorAlunoPROVAO,11,0)</f>
        <v/>
      </c>
      <c r="L243" s="15" t="str">
        <f>VLOOKUP($A243,NotaIndividualPorAlunoPROVAO,12,0)</f>
        <v/>
      </c>
      <c r="M243" s="25" t="str">
        <f>VLOOKUP($A243,NotaIndividualPorAlunoPROVAO,13,0)</f>
        <v/>
      </c>
      <c r="N243" s="10"/>
      <c r="O243" s="10"/>
    </row>
    <row r="244" spans="1:15" x14ac:dyDescent="0.3">
      <c r="N244" s="10"/>
      <c r="O244" s="10"/>
    </row>
    <row r="245" spans="1:15" x14ac:dyDescent="0.3">
      <c r="A245" s="72" t="str">
        <f>A243</f>
        <v/>
      </c>
      <c r="B245" s="73" t="s">
        <v>15</v>
      </c>
      <c r="C245" s="57" t="s">
        <v>2</v>
      </c>
      <c r="D245" s="57" t="s">
        <v>3</v>
      </c>
      <c r="E245" s="57" t="s">
        <v>4</v>
      </c>
      <c r="F245" s="57" t="s">
        <v>5</v>
      </c>
      <c r="G245" s="57" t="s">
        <v>6</v>
      </c>
      <c r="H245" s="57" t="s">
        <v>7</v>
      </c>
      <c r="I245" s="57" t="s">
        <v>8</v>
      </c>
      <c r="J245" s="57" t="s">
        <v>9</v>
      </c>
      <c r="K245" s="57" t="s">
        <v>10</v>
      </c>
      <c r="L245" s="57" t="s">
        <v>11</v>
      </c>
      <c r="M245" s="57" t="s">
        <v>13</v>
      </c>
      <c r="N245" s="10"/>
      <c r="O245" s="10"/>
    </row>
    <row r="246" spans="1:15" ht="15" customHeight="1" x14ac:dyDescent="0.3">
      <c r="A246" s="72"/>
      <c r="B246" s="73"/>
      <c r="C246" s="5" t="str">
        <f t="shared" ref="C246:L246" si="42">VLOOKUP($A245,NotaIndividualPorAlunoMAT,RIGHT(C245,2)+1,0)</f>
        <v/>
      </c>
      <c r="D246" s="5" t="str">
        <f t="shared" si="42"/>
        <v/>
      </c>
      <c r="E246" s="5" t="str">
        <f t="shared" si="42"/>
        <v/>
      </c>
      <c r="F246" s="5" t="str">
        <f t="shared" si="42"/>
        <v/>
      </c>
      <c r="G246" s="5" t="str">
        <f t="shared" si="42"/>
        <v/>
      </c>
      <c r="H246" s="5" t="str">
        <f t="shared" si="42"/>
        <v/>
      </c>
      <c r="I246" s="5" t="str">
        <f t="shared" si="42"/>
        <v/>
      </c>
      <c r="J246" s="5" t="str">
        <f t="shared" si="42"/>
        <v/>
      </c>
      <c r="K246" s="5" t="str">
        <f t="shared" si="42"/>
        <v/>
      </c>
      <c r="L246" s="5" t="str">
        <f t="shared" si="42"/>
        <v/>
      </c>
      <c r="M246" s="19" t="str">
        <f>VLOOKUP($A245,NotaIndividualPorAlunoMAT,RIGHT(L245,2)+2,0)</f>
        <v/>
      </c>
      <c r="N246" s="10"/>
      <c r="O246" s="10"/>
    </row>
    <row r="247" spans="1:15" x14ac:dyDescent="0.3">
      <c r="A247" s="72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0"/>
      <c r="O247" s="10"/>
    </row>
    <row r="248" spans="1:15" x14ac:dyDescent="0.3">
      <c r="A248" s="72"/>
      <c r="B248" s="73" t="s">
        <v>14</v>
      </c>
      <c r="C248" s="57" t="s">
        <v>46</v>
      </c>
      <c r="D248" s="57" t="s">
        <v>47</v>
      </c>
      <c r="E248" s="57" t="s">
        <v>48</v>
      </c>
      <c r="F248" s="57" t="s">
        <v>49</v>
      </c>
      <c r="G248" s="57" t="s">
        <v>50</v>
      </c>
      <c r="H248" s="57" t="s">
        <v>51</v>
      </c>
      <c r="I248" s="57" t="s">
        <v>52</v>
      </c>
      <c r="J248" s="57" t="s">
        <v>53</v>
      </c>
      <c r="K248" s="57" t="s">
        <v>54</v>
      </c>
      <c r="L248" s="57" t="s">
        <v>55</v>
      </c>
      <c r="M248" s="57" t="s">
        <v>13</v>
      </c>
      <c r="N248" s="10"/>
      <c r="O248" s="10"/>
    </row>
    <row r="249" spans="1:15" ht="15.75" customHeight="1" x14ac:dyDescent="0.3">
      <c r="A249" s="72"/>
      <c r="B249" s="73"/>
      <c r="C249" s="3" t="str">
        <f t="shared" ref="C249:L249" si="43">VLOOKUP($A245,NotaIndividualPorAlunoQUI,RIGHT(C248,2)-9,0)</f>
        <v/>
      </c>
      <c r="D249" s="3" t="str">
        <f t="shared" si="43"/>
        <v/>
      </c>
      <c r="E249" s="3" t="str">
        <f t="shared" si="43"/>
        <v/>
      </c>
      <c r="F249" s="3" t="str">
        <f t="shared" si="43"/>
        <v/>
      </c>
      <c r="G249" s="3" t="str">
        <f t="shared" si="43"/>
        <v/>
      </c>
      <c r="H249" s="3" t="str">
        <f t="shared" si="43"/>
        <v/>
      </c>
      <c r="I249" s="3" t="str">
        <f t="shared" si="43"/>
        <v/>
      </c>
      <c r="J249" s="3" t="str">
        <f t="shared" si="43"/>
        <v/>
      </c>
      <c r="K249" s="3" t="str">
        <f t="shared" si="43"/>
        <v/>
      </c>
      <c r="L249" s="3" t="str">
        <f t="shared" si="43"/>
        <v/>
      </c>
      <c r="M249" s="19" t="str">
        <f>VLOOKUP($A245,NotaIndividualPorAlunoQUI,RIGHT(L248,2)-8,0)</f>
        <v/>
      </c>
      <c r="N249" s="10"/>
      <c r="O249" s="10"/>
    </row>
    <row r="250" spans="1:15" x14ac:dyDescent="0.3">
      <c r="A250" s="72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0"/>
      <c r="O250" s="10"/>
    </row>
    <row r="251" spans="1:15" x14ac:dyDescent="0.3">
      <c r="A251" s="72"/>
      <c r="B251" s="73" t="s">
        <v>12</v>
      </c>
      <c r="C251" s="57" t="s">
        <v>2</v>
      </c>
      <c r="D251" s="57" t="s">
        <v>3</v>
      </c>
      <c r="E251" s="57" t="s">
        <v>4</v>
      </c>
      <c r="F251" s="57" t="s">
        <v>5</v>
      </c>
      <c r="G251" s="57" t="s">
        <v>6</v>
      </c>
      <c r="H251" s="57" t="s">
        <v>7</v>
      </c>
      <c r="I251" s="57" t="s">
        <v>8</v>
      </c>
      <c r="J251" s="57" t="s">
        <v>9</v>
      </c>
      <c r="K251" s="57" t="s">
        <v>10</v>
      </c>
      <c r="L251" s="57" t="s">
        <v>11</v>
      </c>
      <c r="M251" s="57" t="s">
        <v>13</v>
      </c>
      <c r="N251" s="10"/>
      <c r="O251" s="10"/>
    </row>
    <row r="252" spans="1:15" ht="15.75" customHeight="1" x14ac:dyDescent="0.3">
      <c r="A252" s="72"/>
      <c r="B252" s="73"/>
      <c r="C252" s="3" t="str">
        <f t="shared" ref="C252:L252" si="44">VLOOKUP($A245,NotaIndividualPorAlunoFIS,RIGHT(C251,2)+1,0)</f>
        <v/>
      </c>
      <c r="D252" s="3" t="str">
        <f t="shared" si="44"/>
        <v/>
      </c>
      <c r="E252" s="3" t="str">
        <f t="shared" si="44"/>
        <v/>
      </c>
      <c r="F252" s="3" t="str">
        <f t="shared" si="44"/>
        <v/>
      </c>
      <c r="G252" s="3" t="str">
        <f t="shared" si="44"/>
        <v/>
      </c>
      <c r="H252" s="3" t="str">
        <f t="shared" si="44"/>
        <v/>
      </c>
      <c r="I252" s="3" t="str">
        <f t="shared" si="44"/>
        <v/>
      </c>
      <c r="J252" s="3" t="str">
        <f t="shared" si="44"/>
        <v/>
      </c>
      <c r="K252" s="3" t="str">
        <f t="shared" si="44"/>
        <v/>
      </c>
      <c r="L252" s="3" t="str">
        <f t="shared" si="44"/>
        <v/>
      </c>
      <c r="M252" s="19" t="str">
        <f>VLOOKUP($A245,NotaIndividualPorAlunoFIS,RIGHT(L251,2)+2,0)</f>
        <v/>
      </c>
      <c r="N252" s="10"/>
      <c r="O252" s="10"/>
    </row>
    <row r="253" spans="1:15" ht="15.6" x14ac:dyDescent="0.3">
      <c r="A253" s="72"/>
      <c r="B253" s="12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0"/>
      <c r="O253" s="10"/>
    </row>
    <row r="254" spans="1:15" ht="15.6" x14ac:dyDescent="0.3">
      <c r="A254" s="72"/>
      <c r="B254" s="73" t="s">
        <v>16</v>
      </c>
      <c r="C254" s="23" t="s">
        <v>41</v>
      </c>
      <c r="D254" s="58" t="s">
        <v>42</v>
      </c>
      <c r="E254" s="23" t="s">
        <v>43</v>
      </c>
      <c r="F254" s="58" t="s">
        <v>44</v>
      </c>
      <c r="G254" s="23" t="s">
        <v>63</v>
      </c>
      <c r="H254" s="58" t="s">
        <v>32</v>
      </c>
      <c r="I254" s="14"/>
      <c r="J254" s="14"/>
      <c r="K254" s="14"/>
      <c r="L254" s="14"/>
      <c r="M254" s="15" t="s">
        <v>18</v>
      </c>
      <c r="N254" s="10"/>
      <c r="O254" s="10"/>
    </row>
    <row r="255" spans="1:15" ht="15.75" customHeight="1" x14ac:dyDescent="0.3">
      <c r="A255" s="72"/>
      <c r="B255" s="73"/>
      <c r="C255" s="26" t="str">
        <f>VLOOKUP($A245,NotaIndividualPorAlunoRED,2,0)</f>
        <v/>
      </c>
      <c r="D255" s="26" t="str">
        <f>VLOOKUP($A245,NotaIndividualPorAlunoRED,3,0)</f>
        <v/>
      </c>
      <c r="E255" s="26" t="str">
        <f>VLOOKUP($A245,NotaIndividualPorAlunoRED,4,0)</f>
        <v/>
      </c>
      <c r="F255" s="26" t="str">
        <f>VLOOKUP($A245,NotaIndividualPorAlunoRED,5,0)</f>
        <v/>
      </c>
      <c r="G255" s="26" t="str">
        <f>VLOOKUP($A245,NotaIndividualPorAlunoRED,6,0)</f>
        <v/>
      </c>
      <c r="H255" s="21" t="str">
        <f>VLOOKUP($A245,NotaIndividualPorAlunoRED,7,0)</f>
        <v/>
      </c>
      <c r="I255" s="14"/>
      <c r="J255" s="14"/>
      <c r="K255" s="14"/>
      <c r="L255" s="14"/>
      <c r="M255" s="20" t="str">
        <f>VLOOKUP(A245,NOTAS!C:I,7,0)</f>
        <v/>
      </c>
      <c r="N255" s="10"/>
      <c r="O255" s="10"/>
    </row>
    <row r="256" spans="1:15" x14ac:dyDescent="0.3">
      <c r="A256" s="72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0"/>
      <c r="O256" s="10"/>
    </row>
    <row r="257" spans="1:15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1:15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1:15" x14ac:dyDescent="0.3">
      <c r="A259" s="58" t="s">
        <v>38</v>
      </c>
      <c r="B259" s="57" t="s">
        <v>35</v>
      </c>
      <c r="C259" s="57" t="s">
        <v>56</v>
      </c>
      <c r="D259" s="57" t="s">
        <v>57</v>
      </c>
      <c r="E259" s="57" t="s">
        <v>58</v>
      </c>
      <c r="F259" s="57" t="s">
        <v>59</v>
      </c>
      <c r="G259" s="57" t="s">
        <v>60</v>
      </c>
      <c r="H259" s="57" t="s">
        <v>36</v>
      </c>
      <c r="I259" s="57" t="s">
        <v>61</v>
      </c>
      <c r="J259" s="57" t="s">
        <v>34</v>
      </c>
      <c r="K259" s="57" t="s">
        <v>62</v>
      </c>
      <c r="L259" s="16" t="s">
        <v>33</v>
      </c>
      <c r="M259" s="57" t="s">
        <v>37</v>
      </c>
      <c r="N259" s="10"/>
      <c r="O259" s="10"/>
    </row>
    <row r="260" spans="1:15" ht="15.6" x14ac:dyDescent="0.3">
      <c r="A260" s="58" t="str" cm="1">
        <f t="array" ref="A260">IF(ISERROR(INDEX(ListaDeAlunos,(((ROW()-2)/17)+1),(COLUMN()+1))),"",INDEX(ListaDeAlunos,(((ROW()-2)/17)+1),(COLUMN()+1)))</f>
        <v/>
      </c>
      <c r="B260" s="17" t="str">
        <f>VLOOKUP($A260,NotaIndividualPorAlunoPROVAO,2,0)</f>
        <v/>
      </c>
      <c r="C260" s="18" t="str">
        <f>VLOOKUP($A260,NotaIndividualPorAlunoPROVAO,3,0)</f>
        <v/>
      </c>
      <c r="D260" s="17" t="str">
        <f>VLOOKUP($A260,NotaIndividualPorAlunoPROVAO,4,0)</f>
        <v/>
      </c>
      <c r="E260" s="18" t="str">
        <f>VLOOKUP($A260,NotaIndividualPorAlunoPROVAO,5,0)</f>
        <v/>
      </c>
      <c r="F260" s="17" t="str">
        <f>VLOOKUP($A260,NotaIndividualPorAlunoPROVAO,6,0)</f>
        <v/>
      </c>
      <c r="G260" s="18" t="str">
        <f>VLOOKUP($A260,NotaIndividualPorAlunoPROVAO,7,0)</f>
        <v/>
      </c>
      <c r="H260" s="17" t="str">
        <f>VLOOKUP($A260,NotaIndividualPorAlunoPROVAO,8,0)</f>
        <v/>
      </c>
      <c r="I260" s="18" t="str">
        <f>VLOOKUP($A260,NotaIndividualPorAlunoPROVAO,9,0)</f>
        <v/>
      </c>
      <c r="J260" s="17" t="str">
        <f>VLOOKUP($A260,NotaIndividualPorAlunoPROVAO,10,0)</f>
        <v/>
      </c>
      <c r="K260" s="18" t="str">
        <f>VLOOKUP($A260,NotaIndividualPorAlunoPROVAO,11,0)</f>
        <v/>
      </c>
      <c r="L260" s="15" t="str">
        <f>VLOOKUP($A260,NotaIndividualPorAlunoPROVAO,12,0)</f>
        <v/>
      </c>
      <c r="M260" s="25" t="str">
        <f>VLOOKUP($A260,NotaIndividualPorAlunoPROVAO,13,0)</f>
        <v/>
      </c>
      <c r="N260" s="10"/>
      <c r="O260" s="10"/>
    </row>
    <row r="261" spans="1:15" x14ac:dyDescent="0.3">
      <c r="N261" s="10"/>
      <c r="O261" s="10"/>
    </row>
    <row r="262" spans="1:15" x14ac:dyDescent="0.3">
      <c r="A262" s="72" t="str">
        <f>A260</f>
        <v/>
      </c>
      <c r="B262" s="73" t="s">
        <v>15</v>
      </c>
      <c r="C262" s="57" t="s">
        <v>2</v>
      </c>
      <c r="D262" s="57" t="s">
        <v>3</v>
      </c>
      <c r="E262" s="57" t="s">
        <v>4</v>
      </c>
      <c r="F262" s="57" t="s">
        <v>5</v>
      </c>
      <c r="G262" s="57" t="s">
        <v>6</v>
      </c>
      <c r="H262" s="57" t="s">
        <v>7</v>
      </c>
      <c r="I262" s="57" t="s">
        <v>8</v>
      </c>
      <c r="J262" s="57" t="s">
        <v>9</v>
      </c>
      <c r="K262" s="57" t="s">
        <v>10</v>
      </c>
      <c r="L262" s="57" t="s">
        <v>11</v>
      </c>
      <c r="M262" s="57" t="s">
        <v>13</v>
      </c>
      <c r="N262" s="10"/>
      <c r="O262" s="10"/>
    </row>
    <row r="263" spans="1:15" ht="15.75" customHeight="1" x14ac:dyDescent="0.3">
      <c r="A263" s="72"/>
      <c r="B263" s="73"/>
      <c r="C263" s="5" t="str">
        <f t="shared" ref="C263:L263" si="45">VLOOKUP($A262,NotaIndividualPorAlunoMAT,RIGHT(C262,2)+1,0)</f>
        <v/>
      </c>
      <c r="D263" s="5" t="str">
        <f t="shared" si="45"/>
        <v/>
      </c>
      <c r="E263" s="5" t="str">
        <f t="shared" si="45"/>
        <v/>
      </c>
      <c r="F263" s="5" t="str">
        <f t="shared" si="45"/>
        <v/>
      </c>
      <c r="G263" s="5" t="str">
        <f t="shared" si="45"/>
        <v/>
      </c>
      <c r="H263" s="5" t="str">
        <f t="shared" si="45"/>
        <v/>
      </c>
      <c r="I263" s="5" t="str">
        <f t="shared" si="45"/>
        <v/>
      </c>
      <c r="J263" s="5" t="str">
        <f t="shared" si="45"/>
        <v/>
      </c>
      <c r="K263" s="5" t="str">
        <f t="shared" si="45"/>
        <v/>
      </c>
      <c r="L263" s="5" t="str">
        <f t="shared" si="45"/>
        <v/>
      </c>
      <c r="M263" s="19" t="str">
        <f>VLOOKUP($A262,NotaIndividualPorAlunoMAT,RIGHT(L262,2)+2,0)</f>
        <v/>
      </c>
      <c r="N263" s="10"/>
      <c r="O263" s="10"/>
    </row>
    <row r="264" spans="1:15" x14ac:dyDescent="0.3">
      <c r="A264" s="72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0"/>
      <c r="O264" s="10"/>
    </row>
    <row r="265" spans="1:15" x14ac:dyDescent="0.3">
      <c r="A265" s="72"/>
      <c r="B265" s="73" t="s">
        <v>14</v>
      </c>
      <c r="C265" s="57" t="s">
        <v>46</v>
      </c>
      <c r="D265" s="57" t="s">
        <v>47</v>
      </c>
      <c r="E265" s="57" t="s">
        <v>48</v>
      </c>
      <c r="F265" s="57" t="s">
        <v>49</v>
      </c>
      <c r="G265" s="57" t="s">
        <v>50</v>
      </c>
      <c r="H265" s="57" t="s">
        <v>51</v>
      </c>
      <c r="I265" s="57" t="s">
        <v>52</v>
      </c>
      <c r="J265" s="57" t="s">
        <v>53</v>
      </c>
      <c r="K265" s="57" t="s">
        <v>54</v>
      </c>
      <c r="L265" s="57" t="s">
        <v>55</v>
      </c>
      <c r="M265" s="57" t="s">
        <v>13</v>
      </c>
      <c r="N265" s="10"/>
      <c r="O265" s="10"/>
    </row>
    <row r="266" spans="1:15" ht="15.75" customHeight="1" x14ac:dyDescent="0.3">
      <c r="A266" s="72"/>
      <c r="B266" s="73"/>
      <c r="C266" s="3" t="str">
        <f t="shared" ref="C266:L266" si="46">VLOOKUP($A262,NotaIndividualPorAlunoQUI,RIGHT(C265,2)-9,0)</f>
        <v/>
      </c>
      <c r="D266" s="3" t="str">
        <f t="shared" si="46"/>
        <v/>
      </c>
      <c r="E266" s="3" t="str">
        <f t="shared" si="46"/>
        <v/>
      </c>
      <c r="F266" s="3" t="str">
        <f t="shared" si="46"/>
        <v/>
      </c>
      <c r="G266" s="3" t="str">
        <f t="shared" si="46"/>
        <v/>
      </c>
      <c r="H266" s="3" t="str">
        <f t="shared" si="46"/>
        <v/>
      </c>
      <c r="I266" s="3" t="str">
        <f t="shared" si="46"/>
        <v/>
      </c>
      <c r="J266" s="3" t="str">
        <f t="shared" si="46"/>
        <v/>
      </c>
      <c r="K266" s="3" t="str">
        <f t="shared" si="46"/>
        <v/>
      </c>
      <c r="L266" s="3" t="str">
        <f t="shared" si="46"/>
        <v/>
      </c>
      <c r="M266" s="19" t="str">
        <f>VLOOKUP($A262,NotaIndividualPorAlunoQUI,RIGHT(L265,2)-8,0)</f>
        <v/>
      </c>
      <c r="N266" s="10"/>
      <c r="O266" s="10"/>
    </row>
    <row r="267" spans="1:15" x14ac:dyDescent="0.3">
      <c r="A267" s="72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0"/>
      <c r="O267" s="10"/>
    </row>
    <row r="268" spans="1:15" x14ac:dyDescent="0.3">
      <c r="A268" s="72"/>
      <c r="B268" s="73" t="s">
        <v>12</v>
      </c>
      <c r="C268" s="57" t="s">
        <v>2</v>
      </c>
      <c r="D268" s="57" t="s">
        <v>3</v>
      </c>
      <c r="E268" s="57" t="s">
        <v>4</v>
      </c>
      <c r="F268" s="57" t="s">
        <v>5</v>
      </c>
      <c r="G268" s="57" t="s">
        <v>6</v>
      </c>
      <c r="H268" s="57" t="s">
        <v>7</v>
      </c>
      <c r="I268" s="57" t="s">
        <v>8</v>
      </c>
      <c r="J268" s="57" t="s">
        <v>9</v>
      </c>
      <c r="K268" s="57" t="s">
        <v>10</v>
      </c>
      <c r="L268" s="57" t="s">
        <v>11</v>
      </c>
      <c r="M268" s="57" t="s">
        <v>13</v>
      </c>
      <c r="N268" s="10"/>
      <c r="O268" s="10"/>
    </row>
    <row r="269" spans="1:15" ht="15.75" customHeight="1" x14ac:dyDescent="0.3">
      <c r="A269" s="72"/>
      <c r="B269" s="73"/>
      <c r="C269" s="3" t="str">
        <f t="shared" ref="C269:L269" si="47">VLOOKUP($A262,NotaIndividualPorAlunoFIS,RIGHT(C268,2)+1,0)</f>
        <v/>
      </c>
      <c r="D269" s="3" t="str">
        <f t="shared" si="47"/>
        <v/>
      </c>
      <c r="E269" s="3" t="str">
        <f t="shared" si="47"/>
        <v/>
      </c>
      <c r="F269" s="3" t="str">
        <f t="shared" si="47"/>
        <v/>
      </c>
      <c r="G269" s="3" t="str">
        <f t="shared" si="47"/>
        <v/>
      </c>
      <c r="H269" s="3" t="str">
        <f t="shared" si="47"/>
        <v/>
      </c>
      <c r="I269" s="3" t="str">
        <f t="shared" si="47"/>
        <v/>
      </c>
      <c r="J269" s="3" t="str">
        <f t="shared" si="47"/>
        <v/>
      </c>
      <c r="K269" s="3" t="str">
        <f t="shared" si="47"/>
        <v/>
      </c>
      <c r="L269" s="3" t="str">
        <f t="shared" si="47"/>
        <v/>
      </c>
      <c r="M269" s="19" t="str">
        <f>VLOOKUP($A262,NotaIndividualPorAlunoFIS,RIGHT(L268,2)+2,0)</f>
        <v/>
      </c>
      <c r="N269" s="10"/>
      <c r="O269" s="10"/>
    </row>
    <row r="270" spans="1:15" ht="15" customHeight="1" x14ac:dyDescent="0.3">
      <c r="A270" s="72"/>
      <c r="B270" s="12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0"/>
      <c r="O270" s="10"/>
    </row>
    <row r="271" spans="1:15" ht="15.6" x14ac:dyDescent="0.3">
      <c r="A271" s="72"/>
      <c r="B271" s="73" t="s">
        <v>16</v>
      </c>
      <c r="C271" s="23" t="s">
        <v>41</v>
      </c>
      <c r="D271" s="58" t="s">
        <v>42</v>
      </c>
      <c r="E271" s="23" t="s">
        <v>43</v>
      </c>
      <c r="F271" s="58" t="s">
        <v>44</v>
      </c>
      <c r="G271" s="23" t="s">
        <v>63</v>
      </c>
      <c r="H271" s="58" t="s">
        <v>32</v>
      </c>
      <c r="I271" s="14"/>
      <c r="J271" s="14"/>
      <c r="K271" s="14"/>
      <c r="L271" s="14"/>
      <c r="M271" s="15" t="s">
        <v>18</v>
      </c>
      <c r="N271" s="10"/>
      <c r="O271" s="10"/>
    </row>
    <row r="272" spans="1:15" ht="15.75" customHeight="1" x14ac:dyDescent="0.3">
      <c r="A272" s="72"/>
      <c r="B272" s="73"/>
      <c r="C272" s="26" t="str">
        <f>VLOOKUP($A262,NotaIndividualPorAlunoRED,2,0)</f>
        <v/>
      </c>
      <c r="D272" s="26" t="str">
        <f>VLOOKUP($A262,NotaIndividualPorAlunoRED,3,0)</f>
        <v/>
      </c>
      <c r="E272" s="26" t="str">
        <f>VLOOKUP($A262,NotaIndividualPorAlunoRED,4,0)</f>
        <v/>
      </c>
      <c r="F272" s="26" t="str">
        <f>VLOOKUP($A262,NotaIndividualPorAlunoRED,5,0)</f>
        <v/>
      </c>
      <c r="G272" s="26" t="str">
        <f>VLOOKUP($A262,NotaIndividualPorAlunoRED,6,0)</f>
        <v/>
      </c>
      <c r="H272" s="21" t="str">
        <f>VLOOKUP($A262,NotaIndividualPorAlunoRED,7,0)</f>
        <v/>
      </c>
      <c r="I272" s="14"/>
      <c r="J272" s="14"/>
      <c r="K272" s="14"/>
      <c r="L272" s="14"/>
      <c r="M272" s="20" t="str">
        <f>VLOOKUP(A262,NOTAS!C:I,7,0)</f>
        <v/>
      </c>
      <c r="N272" s="10"/>
      <c r="O272" s="10"/>
    </row>
    <row r="273" spans="1:15" x14ac:dyDescent="0.3">
      <c r="A273" s="72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0"/>
      <c r="O273" s="10"/>
    </row>
    <row r="274" spans="1:15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1:15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1:15" x14ac:dyDescent="0.3">
      <c r="A276" s="58" t="s">
        <v>38</v>
      </c>
      <c r="B276" s="57" t="s">
        <v>35</v>
      </c>
      <c r="C276" s="57" t="s">
        <v>56</v>
      </c>
      <c r="D276" s="57" t="s">
        <v>57</v>
      </c>
      <c r="E276" s="57" t="s">
        <v>58</v>
      </c>
      <c r="F276" s="57" t="s">
        <v>59</v>
      </c>
      <c r="G276" s="57" t="s">
        <v>60</v>
      </c>
      <c r="H276" s="57" t="s">
        <v>36</v>
      </c>
      <c r="I276" s="57" t="s">
        <v>61</v>
      </c>
      <c r="J276" s="57" t="s">
        <v>34</v>
      </c>
      <c r="K276" s="57" t="s">
        <v>62</v>
      </c>
      <c r="L276" s="16" t="s">
        <v>33</v>
      </c>
      <c r="M276" s="57" t="s">
        <v>37</v>
      </c>
      <c r="N276" s="10"/>
      <c r="O276" s="10"/>
    </row>
    <row r="277" spans="1:15" ht="15.6" x14ac:dyDescent="0.3">
      <c r="A277" s="58" t="str" cm="1">
        <f t="array" ref="A277">IF(ISERROR(INDEX(ListaDeAlunos,(((ROW()-2)/17)+1),(COLUMN()+1))),"",INDEX(ListaDeAlunos,(((ROW()-2)/17)+1),(COLUMN()+1)))</f>
        <v/>
      </c>
      <c r="B277" s="17" t="str">
        <f>VLOOKUP($A277,NotaIndividualPorAlunoPROVAO,2,0)</f>
        <v/>
      </c>
      <c r="C277" s="18" t="str">
        <f>VLOOKUP($A277,NotaIndividualPorAlunoPROVAO,3,0)</f>
        <v/>
      </c>
      <c r="D277" s="17" t="str">
        <f>VLOOKUP($A277,NotaIndividualPorAlunoPROVAO,4,0)</f>
        <v/>
      </c>
      <c r="E277" s="18" t="str">
        <f>VLOOKUP($A277,NotaIndividualPorAlunoPROVAO,5,0)</f>
        <v/>
      </c>
      <c r="F277" s="17" t="str">
        <f>VLOOKUP($A277,NotaIndividualPorAlunoPROVAO,6,0)</f>
        <v/>
      </c>
      <c r="G277" s="18" t="str">
        <f>VLOOKUP($A277,NotaIndividualPorAlunoPROVAO,7,0)</f>
        <v/>
      </c>
      <c r="H277" s="17" t="str">
        <f>VLOOKUP($A277,NotaIndividualPorAlunoPROVAO,8,0)</f>
        <v/>
      </c>
      <c r="I277" s="18" t="str">
        <f>VLOOKUP($A277,NotaIndividualPorAlunoPROVAO,9,0)</f>
        <v/>
      </c>
      <c r="J277" s="17" t="str">
        <f>VLOOKUP($A277,NotaIndividualPorAlunoPROVAO,10,0)</f>
        <v/>
      </c>
      <c r="K277" s="18" t="str">
        <f>VLOOKUP($A277,NotaIndividualPorAlunoPROVAO,11,0)</f>
        <v/>
      </c>
      <c r="L277" s="15" t="str">
        <f>VLOOKUP($A277,NotaIndividualPorAlunoPROVAO,12,0)</f>
        <v/>
      </c>
      <c r="M277" s="25" t="str">
        <f>VLOOKUP($A277,NotaIndividualPorAlunoPROVAO,13,0)</f>
        <v/>
      </c>
      <c r="N277" s="10"/>
      <c r="O277" s="10"/>
    </row>
    <row r="278" spans="1:15" x14ac:dyDescent="0.3">
      <c r="N278" s="10"/>
      <c r="O278" s="10"/>
    </row>
    <row r="279" spans="1:15" ht="15" customHeight="1" x14ac:dyDescent="0.3">
      <c r="A279" s="72" t="str">
        <f>A277</f>
        <v/>
      </c>
      <c r="B279" s="73" t="s">
        <v>15</v>
      </c>
      <c r="C279" s="57" t="s">
        <v>2</v>
      </c>
      <c r="D279" s="57" t="s">
        <v>3</v>
      </c>
      <c r="E279" s="57" t="s">
        <v>4</v>
      </c>
      <c r="F279" s="57" t="s">
        <v>5</v>
      </c>
      <c r="G279" s="57" t="s">
        <v>6</v>
      </c>
      <c r="H279" s="57" t="s">
        <v>7</v>
      </c>
      <c r="I279" s="57" t="s">
        <v>8</v>
      </c>
      <c r="J279" s="57" t="s">
        <v>9</v>
      </c>
      <c r="K279" s="57" t="s">
        <v>10</v>
      </c>
      <c r="L279" s="57" t="s">
        <v>11</v>
      </c>
      <c r="M279" s="57" t="s">
        <v>13</v>
      </c>
      <c r="N279" s="10"/>
      <c r="O279" s="10"/>
    </row>
    <row r="280" spans="1:15" ht="15.75" customHeight="1" x14ac:dyDescent="0.3">
      <c r="A280" s="72"/>
      <c r="B280" s="73"/>
      <c r="C280" s="5" t="str">
        <f t="shared" ref="C280:L280" si="48">VLOOKUP($A279,NotaIndividualPorAlunoMAT,RIGHT(C279,2)+1,0)</f>
        <v/>
      </c>
      <c r="D280" s="5" t="str">
        <f t="shared" si="48"/>
        <v/>
      </c>
      <c r="E280" s="5" t="str">
        <f t="shared" si="48"/>
        <v/>
      </c>
      <c r="F280" s="5" t="str">
        <f t="shared" si="48"/>
        <v/>
      </c>
      <c r="G280" s="5" t="str">
        <f t="shared" si="48"/>
        <v/>
      </c>
      <c r="H280" s="5" t="str">
        <f t="shared" si="48"/>
        <v/>
      </c>
      <c r="I280" s="5" t="str">
        <f t="shared" si="48"/>
        <v/>
      </c>
      <c r="J280" s="5" t="str">
        <f t="shared" si="48"/>
        <v/>
      </c>
      <c r="K280" s="5" t="str">
        <f t="shared" si="48"/>
        <v/>
      </c>
      <c r="L280" s="5" t="str">
        <f t="shared" si="48"/>
        <v/>
      </c>
      <c r="M280" s="19" t="str">
        <f>VLOOKUP($A279,NotaIndividualPorAlunoMAT,RIGHT(L279,2)+2,0)</f>
        <v/>
      </c>
      <c r="N280" s="10"/>
      <c r="O280" s="10"/>
    </row>
    <row r="281" spans="1:15" x14ac:dyDescent="0.3">
      <c r="A281" s="72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0"/>
      <c r="O281" s="10"/>
    </row>
    <row r="282" spans="1:15" x14ac:dyDescent="0.3">
      <c r="A282" s="72"/>
      <c r="B282" s="73" t="s">
        <v>14</v>
      </c>
      <c r="C282" s="57" t="s">
        <v>46</v>
      </c>
      <c r="D282" s="57" t="s">
        <v>47</v>
      </c>
      <c r="E282" s="57" t="s">
        <v>48</v>
      </c>
      <c r="F282" s="57" t="s">
        <v>49</v>
      </c>
      <c r="G282" s="57" t="s">
        <v>50</v>
      </c>
      <c r="H282" s="57" t="s">
        <v>51</v>
      </c>
      <c r="I282" s="57" t="s">
        <v>52</v>
      </c>
      <c r="J282" s="57" t="s">
        <v>53</v>
      </c>
      <c r="K282" s="57" t="s">
        <v>54</v>
      </c>
      <c r="L282" s="57" t="s">
        <v>55</v>
      </c>
      <c r="M282" s="57" t="s">
        <v>13</v>
      </c>
      <c r="N282" s="10"/>
      <c r="O282" s="10"/>
    </row>
    <row r="283" spans="1:15" ht="15.75" customHeight="1" x14ac:dyDescent="0.3">
      <c r="A283" s="72"/>
      <c r="B283" s="73"/>
      <c r="C283" s="3" t="str">
        <f t="shared" ref="C283:L283" si="49">VLOOKUP($A279,NotaIndividualPorAlunoQUI,RIGHT(C282,2)-9,0)</f>
        <v/>
      </c>
      <c r="D283" s="3" t="str">
        <f t="shared" si="49"/>
        <v/>
      </c>
      <c r="E283" s="3" t="str">
        <f t="shared" si="49"/>
        <v/>
      </c>
      <c r="F283" s="3" t="str">
        <f t="shared" si="49"/>
        <v/>
      </c>
      <c r="G283" s="3" t="str">
        <f t="shared" si="49"/>
        <v/>
      </c>
      <c r="H283" s="3" t="str">
        <f t="shared" si="49"/>
        <v/>
      </c>
      <c r="I283" s="3" t="str">
        <f t="shared" si="49"/>
        <v/>
      </c>
      <c r="J283" s="3" t="str">
        <f t="shared" si="49"/>
        <v/>
      </c>
      <c r="K283" s="3" t="str">
        <f t="shared" si="49"/>
        <v/>
      </c>
      <c r="L283" s="3" t="str">
        <f t="shared" si="49"/>
        <v/>
      </c>
      <c r="M283" s="19" t="str">
        <f>VLOOKUP($A279,NotaIndividualPorAlunoQUI,RIGHT(L282,2)-8,0)</f>
        <v/>
      </c>
      <c r="N283" s="10"/>
      <c r="O283" s="10"/>
    </row>
    <row r="284" spans="1:15" x14ac:dyDescent="0.3">
      <c r="A284" s="72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0"/>
      <c r="O284" s="10"/>
    </row>
    <row r="285" spans="1:15" x14ac:dyDescent="0.3">
      <c r="A285" s="72"/>
      <c r="B285" s="73" t="s">
        <v>12</v>
      </c>
      <c r="C285" s="57" t="s">
        <v>2</v>
      </c>
      <c r="D285" s="57" t="s">
        <v>3</v>
      </c>
      <c r="E285" s="57" t="s">
        <v>4</v>
      </c>
      <c r="F285" s="57" t="s">
        <v>5</v>
      </c>
      <c r="G285" s="57" t="s">
        <v>6</v>
      </c>
      <c r="H285" s="57" t="s">
        <v>7</v>
      </c>
      <c r="I285" s="57" t="s">
        <v>8</v>
      </c>
      <c r="J285" s="57" t="s">
        <v>9</v>
      </c>
      <c r="K285" s="57" t="s">
        <v>10</v>
      </c>
      <c r="L285" s="57" t="s">
        <v>11</v>
      </c>
      <c r="M285" s="57" t="s">
        <v>13</v>
      </c>
      <c r="N285" s="10"/>
      <c r="O285" s="10"/>
    </row>
    <row r="286" spans="1:15" ht="15.75" customHeight="1" x14ac:dyDescent="0.3">
      <c r="A286" s="72"/>
      <c r="B286" s="73"/>
      <c r="C286" s="3" t="str">
        <f t="shared" ref="C286:L286" si="50">VLOOKUP($A279,NotaIndividualPorAlunoFIS,RIGHT(C285,2)+1,0)</f>
        <v/>
      </c>
      <c r="D286" s="3" t="str">
        <f t="shared" si="50"/>
        <v/>
      </c>
      <c r="E286" s="3" t="str">
        <f t="shared" si="50"/>
        <v/>
      </c>
      <c r="F286" s="3" t="str">
        <f t="shared" si="50"/>
        <v/>
      </c>
      <c r="G286" s="3" t="str">
        <f t="shared" si="50"/>
        <v/>
      </c>
      <c r="H286" s="3" t="str">
        <f t="shared" si="50"/>
        <v/>
      </c>
      <c r="I286" s="3" t="str">
        <f t="shared" si="50"/>
        <v/>
      </c>
      <c r="J286" s="3" t="str">
        <f t="shared" si="50"/>
        <v/>
      </c>
      <c r="K286" s="3" t="str">
        <f t="shared" si="50"/>
        <v/>
      </c>
      <c r="L286" s="3" t="str">
        <f t="shared" si="50"/>
        <v/>
      </c>
      <c r="M286" s="19" t="str">
        <f>VLOOKUP($A279,NotaIndividualPorAlunoFIS,RIGHT(L285,2)+2,0)</f>
        <v/>
      </c>
      <c r="N286" s="10"/>
      <c r="O286" s="10"/>
    </row>
    <row r="287" spans="1:15" ht="15.6" x14ac:dyDescent="0.3">
      <c r="A287" s="72"/>
      <c r="B287" s="12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0"/>
      <c r="O287" s="10"/>
    </row>
    <row r="288" spans="1:15" ht="15.6" x14ac:dyDescent="0.3">
      <c r="A288" s="72"/>
      <c r="B288" s="73" t="s">
        <v>16</v>
      </c>
      <c r="C288" s="23" t="s">
        <v>41</v>
      </c>
      <c r="D288" s="58" t="s">
        <v>42</v>
      </c>
      <c r="E288" s="23" t="s">
        <v>43</v>
      </c>
      <c r="F288" s="58" t="s">
        <v>44</v>
      </c>
      <c r="G288" s="23" t="s">
        <v>63</v>
      </c>
      <c r="H288" s="58" t="s">
        <v>32</v>
      </c>
      <c r="I288" s="14"/>
      <c r="J288" s="14"/>
      <c r="K288" s="14"/>
      <c r="L288" s="14"/>
      <c r="M288" s="15" t="s">
        <v>18</v>
      </c>
      <c r="N288" s="10"/>
      <c r="O288" s="10"/>
    </row>
    <row r="289" spans="1:15" ht="15.75" customHeight="1" x14ac:dyDescent="0.3">
      <c r="A289" s="72"/>
      <c r="B289" s="73"/>
      <c r="C289" s="26" t="str">
        <f>VLOOKUP($A279,NotaIndividualPorAlunoRED,2,0)</f>
        <v/>
      </c>
      <c r="D289" s="26" t="str">
        <f>VLOOKUP($A279,NotaIndividualPorAlunoRED,3,0)</f>
        <v/>
      </c>
      <c r="E289" s="26" t="str">
        <f>VLOOKUP($A279,NotaIndividualPorAlunoRED,4,0)</f>
        <v/>
      </c>
      <c r="F289" s="26" t="str">
        <f>VLOOKUP($A279,NotaIndividualPorAlunoRED,5,0)</f>
        <v/>
      </c>
      <c r="G289" s="26" t="str">
        <f>VLOOKUP($A279,NotaIndividualPorAlunoRED,6,0)</f>
        <v/>
      </c>
      <c r="H289" s="21" t="str">
        <f>VLOOKUP($A279,NotaIndividualPorAlunoRED,7,0)</f>
        <v/>
      </c>
      <c r="I289" s="14"/>
      <c r="J289" s="14"/>
      <c r="K289" s="14"/>
      <c r="L289" s="14"/>
      <c r="M289" s="20" t="str">
        <f>VLOOKUP(A279,NOTAS!C:I,7,0)</f>
        <v/>
      </c>
      <c r="N289" s="10"/>
      <c r="O289" s="10"/>
    </row>
    <row r="290" spans="1:15" x14ac:dyDescent="0.3">
      <c r="A290" s="72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0"/>
      <c r="O290" s="10"/>
    </row>
    <row r="291" spans="1:15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1:15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1:15" x14ac:dyDescent="0.3">
      <c r="A293" s="58" t="s">
        <v>38</v>
      </c>
      <c r="B293" s="57" t="s">
        <v>35</v>
      </c>
      <c r="C293" s="57" t="s">
        <v>56</v>
      </c>
      <c r="D293" s="57" t="s">
        <v>57</v>
      </c>
      <c r="E293" s="57" t="s">
        <v>58</v>
      </c>
      <c r="F293" s="57" t="s">
        <v>59</v>
      </c>
      <c r="G293" s="57" t="s">
        <v>60</v>
      </c>
      <c r="H293" s="57" t="s">
        <v>36</v>
      </c>
      <c r="I293" s="57" t="s">
        <v>61</v>
      </c>
      <c r="J293" s="57" t="s">
        <v>34</v>
      </c>
      <c r="K293" s="57" t="s">
        <v>62</v>
      </c>
      <c r="L293" s="16" t="s">
        <v>33</v>
      </c>
      <c r="M293" s="57" t="s">
        <v>37</v>
      </c>
      <c r="N293" s="10"/>
      <c r="O293" s="10"/>
    </row>
    <row r="294" spans="1:15" ht="15.6" x14ac:dyDescent="0.3">
      <c r="A294" s="58" t="str" cm="1">
        <f t="array" ref="A294">IF(ISERROR(INDEX(ListaDeAlunos,(((ROW()-2)/17)+1),(COLUMN()+1))),"",INDEX(ListaDeAlunos,(((ROW()-2)/17)+1),(COLUMN()+1)))</f>
        <v/>
      </c>
      <c r="B294" s="17" t="str">
        <f>VLOOKUP($A294,NotaIndividualPorAlunoPROVAO,2,0)</f>
        <v/>
      </c>
      <c r="C294" s="18" t="str">
        <f>VLOOKUP($A294,NotaIndividualPorAlunoPROVAO,3,0)</f>
        <v/>
      </c>
      <c r="D294" s="17" t="str">
        <f>VLOOKUP($A294,NotaIndividualPorAlunoPROVAO,4,0)</f>
        <v/>
      </c>
      <c r="E294" s="18" t="str">
        <f>VLOOKUP($A294,NotaIndividualPorAlunoPROVAO,5,0)</f>
        <v/>
      </c>
      <c r="F294" s="17" t="str">
        <f>VLOOKUP($A294,NotaIndividualPorAlunoPROVAO,6,0)</f>
        <v/>
      </c>
      <c r="G294" s="18" t="str">
        <f>VLOOKUP($A294,NotaIndividualPorAlunoPROVAO,7,0)</f>
        <v/>
      </c>
      <c r="H294" s="17" t="str">
        <f>VLOOKUP($A294,NotaIndividualPorAlunoPROVAO,8,0)</f>
        <v/>
      </c>
      <c r="I294" s="18" t="str">
        <f>VLOOKUP($A294,NotaIndividualPorAlunoPROVAO,9,0)</f>
        <v/>
      </c>
      <c r="J294" s="17" t="str">
        <f>VLOOKUP($A294,NotaIndividualPorAlunoPROVAO,10,0)</f>
        <v/>
      </c>
      <c r="K294" s="18" t="str">
        <f>VLOOKUP($A294,NotaIndividualPorAlunoPROVAO,11,0)</f>
        <v/>
      </c>
      <c r="L294" s="15" t="str">
        <f>VLOOKUP($A294,NotaIndividualPorAlunoPROVAO,12,0)</f>
        <v/>
      </c>
      <c r="M294" s="25" t="str">
        <f>VLOOKUP($A294,NotaIndividualPorAlunoPROVAO,13,0)</f>
        <v/>
      </c>
      <c r="N294" s="10"/>
      <c r="O294" s="10"/>
    </row>
    <row r="295" spans="1:15" x14ac:dyDescent="0.3">
      <c r="N295" s="10"/>
      <c r="O295" s="10"/>
    </row>
    <row r="296" spans="1:15" x14ac:dyDescent="0.3">
      <c r="A296" s="72" t="str">
        <f>A294</f>
        <v/>
      </c>
      <c r="B296" s="73" t="s">
        <v>15</v>
      </c>
      <c r="C296" s="57" t="s">
        <v>2</v>
      </c>
      <c r="D296" s="57" t="s">
        <v>3</v>
      </c>
      <c r="E296" s="57" t="s">
        <v>4</v>
      </c>
      <c r="F296" s="57" t="s">
        <v>5</v>
      </c>
      <c r="G296" s="57" t="s">
        <v>6</v>
      </c>
      <c r="H296" s="57" t="s">
        <v>7</v>
      </c>
      <c r="I296" s="57" t="s">
        <v>8</v>
      </c>
      <c r="J296" s="57" t="s">
        <v>9</v>
      </c>
      <c r="K296" s="57" t="s">
        <v>10</v>
      </c>
      <c r="L296" s="57" t="s">
        <v>11</v>
      </c>
      <c r="M296" s="57" t="s">
        <v>13</v>
      </c>
      <c r="N296" s="10"/>
      <c r="O296" s="10"/>
    </row>
    <row r="297" spans="1:15" ht="15.75" customHeight="1" x14ac:dyDescent="0.3">
      <c r="A297" s="72"/>
      <c r="B297" s="73"/>
      <c r="C297" s="5" t="str">
        <f t="shared" ref="C297:L297" si="51">VLOOKUP($A296,NotaIndividualPorAlunoMAT,RIGHT(C296,2)+1,0)</f>
        <v/>
      </c>
      <c r="D297" s="5" t="str">
        <f t="shared" si="51"/>
        <v/>
      </c>
      <c r="E297" s="5" t="str">
        <f t="shared" si="51"/>
        <v/>
      </c>
      <c r="F297" s="5" t="str">
        <f t="shared" si="51"/>
        <v/>
      </c>
      <c r="G297" s="5" t="str">
        <f t="shared" si="51"/>
        <v/>
      </c>
      <c r="H297" s="5" t="str">
        <f t="shared" si="51"/>
        <v/>
      </c>
      <c r="I297" s="5" t="str">
        <f t="shared" si="51"/>
        <v/>
      </c>
      <c r="J297" s="5" t="str">
        <f t="shared" si="51"/>
        <v/>
      </c>
      <c r="K297" s="5" t="str">
        <f t="shared" si="51"/>
        <v/>
      </c>
      <c r="L297" s="5" t="str">
        <f t="shared" si="51"/>
        <v/>
      </c>
      <c r="M297" s="19" t="str">
        <f>VLOOKUP($A296,NotaIndividualPorAlunoMAT,RIGHT(L296,2)+2,0)</f>
        <v/>
      </c>
      <c r="N297" s="10"/>
      <c r="O297" s="10"/>
    </row>
    <row r="298" spans="1:15" x14ac:dyDescent="0.3">
      <c r="A298" s="72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0"/>
      <c r="O298" s="10"/>
    </row>
    <row r="299" spans="1:15" x14ac:dyDescent="0.3">
      <c r="A299" s="72"/>
      <c r="B299" s="73" t="s">
        <v>14</v>
      </c>
      <c r="C299" s="57" t="s">
        <v>46</v>
      </c>
      <c r="D299" s="57" t="s">
        <v>47</v>
      </c>
      <c r="E299" s="57" t="s">
        <v>48</v>
      </c>
      <c r="F299" s="57" t="s">
        <v>49</v>
      </c>
      <c r="G299" s="57" t="s">
        <v>50</v>
      </c>
      <c r="H299" s="57" t="s">
        <v>51</v>
      </c>
      <c r="I299" s="57" t="s">
        <v>52</v>
      </c>
      <c r="J299" s="57" t="s">
        <v>53</v>
      </c>
      <c r="K299" s="57" t="s">
        <v>54</v>
      </c>
      <c r="L299" s="57" t="s">
        <v>55</v>
      </c>
      <c r="M299" s="57" t="s">
        <v>13</v>
      </c>
      <c r="N299" s="10"/>
      <c r="O299" s="10"/>
    </row>
    <row r="300" spans="1:15" ht="15" customHeight="1" x14ac:dyDescent="0.3">
      <c r="A300" s="72"/>
      <c r="B300" s="73"/>
      <c r="C300" s="3" t="str">
        <f t="shared" ref="C300:L300" si="52">VLOOKUP($A296,NotaIndividualPorAlunoQUI,RIGHT(C299,2)-9,0)</f>
        <v/>
      </c>
      <c r="D300" s="3" t="str">
        <f t="shared" si="52"/>
        <v/>
      </c>
      <c r="E300" s="3" t="str">
        <f t="shared" si="52"/>
        <v/>
      </c>
      <c r="F300" s="3" t="str">
        <f t="shared" si="52"/>
        <v/>
      </c>
      <c r="G300" s="3" t="str">
        <f t="shared" si="52"/>
        <v/>
      </c>
      <c r="H300" s="3" t="str">
        <f t="shared" si="52"/>
        <v/>
      </c>
      <c r="I300" s="3" t="str">
        <f t="shared" si="52"/>
        <v/>
      </c>
      <c r="J300" s="3" t="str">
        <f t="shared" si="52"/>
        <v/>
      </c>
      <c r="K300" s="3" t="str">
        <f t="shared" si="52"/>
        <v/>
      </c>
      <c r="L300" s="3" t="str">
        <f t="shared" si="52"/>
        <v/>
      </c>
      <c r="M300" s="19" t="str">
        <f>VLOOKUP($A296,NotaIndividualPorAlunoQUI,RIGHT(L299,2)-8,0)</f>
        <v/>
      </c>
      <c r="N300" s="10"/>
      <c r="O300" s="10"/>
    </row>
    <row r="301" spans="1:15" x14ac:dyDescent="0.3">
      <c r="A301" s="72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0"/>
      <c r="O301" s="10"/>
    </row>
    <row r="302" spans="1:15" x14ac:dyDescent="0.3">
      <c r="A302" s="72"/>
      <c r="B302" s="73" t="s">
        <v>12</v>
      </c>
      <c r="C302" s="57" t="s">
        <v>2</v>
      </c>
      <c r="D302" s="57" t="s">
        <v>3</v>
      </c>
      <c r="E302" s="57" t="s">
        <v>4</v>
      </c>
      <c r="F302" s="57" t="s">
        <v>5</v>
      </c>
      <c r="G302" s="57" t="s">
        <v>6</v>
      </c>
      <c r="H302" s="57" t="s">
        <v>7</v>
      </c>
      <c r="I302" s="57" t="s">
        <v>8</v>
      </c>
      <c r="J302" s="57" t="s">
        <v>9</v>
      </c>
      <c r="K302" s="57" t="s">
        <v>10</v>
      </c>
      <c r="L302" s="57" t="s">
        <v>11</v>
      </c>
      <c r="M302" s="57" t="s">
        <v>13</v>
      </c>
      <c r="N302" s="10"/>
      <c r="O302" s="10"/>
    </row>
    <row r="303" spans="1:15" ht="15.75" customHeight="1" x14ac:dyDescent="0.3">
      <c r="A303" s="72"/>
      <c r="B303" s="73"/>
      <c r="C303" s="3" t="str">
        <f t="shared" ref="C303:L303" si="53">VLOOKUP($A296,NotaIndividualPorAlunoFIS,RIGHT(C302,2)+1,0)</f>
        <v/>
      </c>
      <c r="D303" s="3" t="str">
        <f t="shared" si="53"/>
        <v/>
      </c>
      <c r="E303" s="3" t="str">
        <f t="shared" si="53"/>
        <v/>
      </c>
      <c r="F303" s="3" t="str">
        <f t="shared" si="53"/>
        <v/>
      </c>
      <c r="G303" s="3" t="str">
        <f t="shared" si="53"/>
        <v/>
      </c>
      <c r="H303" s="3" t="str">
        <f t="shared" si="53"/>
        <v/>
      </c>
      <c r="I303" s="3" t="str">
        <f t="shared" si="53"/>
        <v/>
      </c>
      <c r="J303" s="3" t="str">
        <f t="shared" si="53"/>
        <v/>
      </c>
      <c r="K303" s="3" t="str">
        <f t="shared" si="53"/>
        <v/>
      </c>
      <c r="L303" s="3" t="str">
        <f t="shared" si="53"/>
        <v/>
      </c>
      <c r="M303" s="19" t="str">
        <f>VLOOKUP($A296,NotaIndividualPorAlunoFIS,RIGHT(L302,2)+2,0)</f>
        <v/>
      </c>
      <c r="N303" s="10"/>
      <c r="O303" s="10"/>
    </row>
    <row r="304" spans="1:15" ht="15.6" x14ac:dyDescent="0.3">
      <c r="A304" s="72"/>
      <c r="B304" s="12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0"/>
      <c r="O304" s="10"/>
    </row>
    <row r="305" spans="1:15" ht="15.6" x14ac:dyDescent="0.3">
      <c r="A305" s="72"/>
      <c r="B305" s="73" t="s">
        <v>16</v>
      </c>
      <c r="C305" s="23" t="s">
        <v>41</v>
      </c>
      <c r="D305" s="58" t="s">
        <v>42</v>
      </c>
      <c r="E305" s="23" t="s">
        <v>43</v>
      </c>
      <c r="F305" s="58" t="s">
        <v>44</v>
      </c>
      <c r="G305" s="23" t="s">
        <v>63</v>
      </c>
      <c r="H305" s="58" t="s">
        <v>32</v>
      </c>
      <c r="I305" s="14"/>
      <c r="J305" s="14"/>
      <c r="K305" s="14"/>
      <c r="L305" s="14"/>
      <c r="M305" s="15" t="s">
        <v>18</v>
      </c>
      <c r="N305" s="10"/>
      <c r="O305" s="10"/>
    </row>
    <row r="306" spans="1:15" ht="15.75" customHeight="1" x14ac:dyDescent="0.3">
      <c r="A306" s="72"/>
      <c r="B306" s="73"/>
      <c r="C306" s="26" t="str">
        <f>VLOOKUP($A296,NotaIndividualPorAlunoRED,2,0)</f>
        <v/>
      </c>
      <c r="D306" s="26" t="str">
        <f>VLOOKUP($A296,NotaIndividualPorAlunoRED,3,0)</f>
        <v/>
      </c>
      <c r="E306" s="26" t="str">
        <f>VLOOKUP($A296,NotaIndividualPorAlunoRED,4,0)</f>
        <v/>
      </c>
      <c r="F306" s="26" t="str">
        <f>VLOOKUP($A296,NotaIndividualPorAlunoRED,5,0)</f>
        <v/>
      </c>
      <c r="G306" s="26" t="str">
        <f>VLOOKUP($A296,NotaIndividualPorAlunoRED,6,0)</f>
        <v/>
      </c>
      <c r="H306" s="21" t="str">
        <f>VLOOKUP($A296,NotaIndividualPorAlunoRED,7,0)</f>
        <v/>
      </c>
      <c r="I306" s="14"/>
      <c r="J306" s="14"/>
      <c r="K306" s="14"/>
      <c r="L306" s="14"/>
      <c r="M306" s="20" t="str">
        <f>VLOOKUP(A296,NOTAS!C:I,7,0)</f>
        <v/>
      </c>
      <c r="N306" s="10"/>
      <c r="O306" s="10"/>
    </row>
    <row r="307" spans="1:15" x14ac:dyDescent="0.3">
      <c r="A307" s="72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0"/>
      <c r="O307" s="10"/>
    </row>
    <row r="308" spans="1:15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1:15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1:15" x14ac:dyDescent="0.3">
      <c r="A310" s="58" t="s">
        <v>38</v>
      </c>
      <c r="B310" s="57" t="s">
        <v>35</v>
      </c>
      <c r="C310" s="57" t="s">
        <v>56</v>
      </c>
      <c r="D310" s="57" t="s">
        <v>57</v>
      </c>
      <c r="E310" s="57" t="s">
        <v>58</v>
      </c>
      <c r="F310" s="57" t="s">
        <v>59</v>
      </c>
      <c r="G310" s="57" t="s">
        <v>60</v>
      </c>
      <c r="H310" s="57" t="s">
        <v>36</v>
      </c>
      <c r="I310" s="57" t="s">
        <v>61</v>
      </c>
      <c r="J310" s="57" t="s">
        <v>34</v>
      </c>
      <c r="K310" s="57" t="s">
        <v>62</v>
      </c>
      <c r="L310" s="16" t="s">
        <v>33</v>
      </c>
      <c r="M310" s="57" t="s">
        <v>37</v>
      </c>
      <c r="N310" s="10"/>
      <c r="O310" s="10"/>
    </row>
    <row r="311" spans="1:15" ht="15.6" x14ac:dyDescent="0.3">
      <c r="A311" s="58" t="str" cm="1">
        <f t="array" ref="A311">IF(ISERROR(INDEX(ListaDeAlunos,(((ROW()-2)/17)+1),(COLUMN()+1))),"",INDEX(ListaDeAlunos,(((ROW()-2)/17)+1),(COLUMN()+1)))</f>
        <v/>
      </c>
      <c r="B311" s="17" t="str">
        <f>VLOOKUP($A311,NotaIndividualPorAlunoPROVAO,2,0)</f>
        <v/>
      </c>
      <c r="C311" s="18" t="str">
        <f>VLOOKUP($A311,NotaIndividualPorAlunoPROVAO,3,0)</f>
        <v/>
      </c>
      <c r="D311" s="17" t="str">
        <f>VLOOKUP($A311,NotaIndividualPorAlunoPROVAO,4,0)</f>
        <v/>
      </c>
      <c r="E311" s="18" t="str">
        <f>VLOOKUP($A311,NotaIndividualPorAlunoPROVAO,5,0)</f>
        <v/>
      </c>
      <c r="F311" s="17" t="str">
        <f>VLOOKUP($A311,NotaIndividualPorAlunoPROVAO,6,0)</f>
        <v/>
      </c>
      <c r="G311" s="18" t="str">
        <f>VLOOKUP($A311,NotaIndividualPorAlunoPROVAO,7,0)</f>
        <v/>
      </c>
      <c r="H311" s="17" t="str">
        <f>VLOOKUP($A311,NotaIndividualPorAlunoPROVAO,8,0)</f>
        <v/>
      </c>
      <c r="I311" s="18" t="str">
        <f>VLOOKUP($A311,NotaIndividualPorAlunoPROVAO,9,0)</f>
        <v/>
      </c>
      <c r="J311" s="17" t="str">
        <f>VLOOKUP($A311,NotaIndividualPorAlunoPROVAO,10,0)</f>
        <v/>
      </c>
      <c r="K311" s="18" t="str">
        <f>VLOOKUP($A311,NotaIndividualPorAlunoPROVAO,11,0)</f>
        <v/>
      </c>
      <c r="L311" s="15" t="str">
        <f>VLOOKUP($A311,NotaIndividualPorAlunoPROVAO,12,0)</f>
        <v/>
      </c>
      <c r="M311" s="25" t="str">
        <f>VLOOKUP($A311,NotaIndividualPorAlunoPROVAO,13,0)</f>
        <v/>
      </c>
      <c r="N311" s="10"/>
      <c r="O311" s="10"/>
    </row>
    <row r="312" spans="1:15" x14ac:dyDescent="0.3">
      <c r="N312" s="10"/>
      <c r="O312" s="10"/>
    </row>
    <row r="313" spans="1:15" x14ac:dyDescent="0.3">
      <c r="A313" s="72" t="str">
        <f>A311</f>
        <v/>
      </c>
      <c r="B313" s="73" t="s">
        <v>15</v>
      </c>
      <c r="C313" s="57" t="s">
        <v>2</v>
      </c>
      <c r="D313" s="57" t="s">
        <v>3</v>
      </c>
      <c r="E313" s="57" t="s">
        <v>4</v>
      </c>
      <c r="F313" s="57" t="s">
        <v>5</v>
      </c>
      <c r="G313" s="57" t="s">
        <v>6</v>
      </c>
      <c r="H313" s="57" t="s">
        <v>7</v>
      </c>
      <c r="I313" s="57" t="s">
        <v>8</v>
      </c>
      <c r="J313" s="57" t="s">
        <v>9</v>
      </c>
      <c r="K313" s="57" t="s">
        <v>10</v>
      </c>
      <c r="L313" s="57" t="s">
        <v>11</v>
      </c>
      <c r="M313" s="57" t="s">
        <v>13</v>
      </c>
      <c r="N313" s="10"/>
      <c r="O313" s="10"/>
    </row>
    <row r="314" spans="1:15" ht="15.75" customHeight="1" x14ac:dyDescent="0.3">
      <c r="A314" s="72"/>
      <c r="B314" s="73"/>
      <c r="C314" s="5" t="str">
        <f t="shared" ref="C314:L314" si="54">VLOOKUP($A313,NotaIndividualPorAlunoMAT,RIGHT(C313,2)+1,0)</f>
        <v/>
      </c>
      <c r="D314" s="5" t="str">
        <f t="shared" si="54"/>
        <v/>
      </c>
      <c r="E314" s="5" t="str">
        <f t="shared" si="54"/>
        <v/>
      </c>
      <c r="F314" s="5" t="str">
        <f t="shared" si="54"/>
        <v/>
      </c>
      <c r="G314" s="5" t="str">
        <f t="shared" si="54"/>
        <v/>
      </c>
      <c r="H314" s="5" t="str">
        <f t="shared" si="54"/>
        <v/>
      </c>
      <c r="I314" s="5" t="str">
        <f t="shared" si="54"/>
        <v/>
      </c>
      <c r="J314" s="5" t="str">
        <f t="shared" si="54"/>
        <v/>
      </c>
      <c r="K314" s="5" t="str">
        <f t="shared" si="54"/>
        <v/>
      </c>
      <c r="L314" s="5" t="str">
        <f t="shared" si="54"/>
        <v/>
      </c>
      <c r="M314" s="19" t="str">
        <f>VLOOKUP($A313,NotaIndividualPorAlunoMAT,RIGHT(L313,2)+2,0)</f>
        <v/>
      </c>
      <c r="N314" s="10"/>
      <c r="O314" s="10"/>
    </row>
    <row r="315" spans="1:15" x14ac:dyDescent="0.3">
      <c r="A315" s="72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0"/>
      <c r="O315" s="10"/>
    </row>
    <row r="316" spans="1:15" x14ac:dyDescent="0.3">
      <c r="A316" s="72"/>
      <c r="B316" s="73" t="s">
        <v>14</v>
      </c>
      <c r="C316" s="57" t="s">
        <v>46</v>
      </c>
      <c r="D316" s="57" t="s">
        <v>47</v>
      </c>
      <c r="E316" s="57" t="s">
        <v>48</v>
      </c>
      <c r="F316" s="57" t="s">
        <v>49</v>
      </c>
      <c r="G316" s="57" t="s">
        <v>50</v>
      </c>
      <c r="H316" s="57" t="s">
        <v>51</v>
      </c>
      <c r="I316" s="57" t="s">
        <v>52</v>
      </c>
      <c r="J316" s="57" t="s">
        <v>53</v>
      </c>
      <c r="K316" s="57" t="s">
        <v>54</v>
      </c>
      <c r="L316" s="57" t="s">
        <v>55</v>
      </c>
      <c r="M316" s="57" t="s">
        <v>13</v>
      </c>
      <c r="N316" s="10"/>
      <c r="O316" s="10"/>
    </row>
    <row r="317" spans="1:15" ht="15.75" customHeight="1" x14ac:dyDescent="0.3">
      <c r="A317" s="72"/>
      <c r="B317" s="73"/>
      <c r="C317" s="3" t="str">
        <f t="shared" ref="C317:L317" si="55">VLOOKUP($A313,NotaIndividualPorAlunoQUI,RIGHT(C316,2)-9,0)</f>
        <v/>
      </c>
      <c r="D317" s="3" t="str">
        <f t="shared" si="55"/>
        <v/>
      </c>
      <c r="E317" s="3" t="str">
        <f t="shared" si="55"/>
        <v/>
      </c>
      <c r="F317" s="3" t="str">
        <f t="shared" si="55"/>
        <v/>
      </c>
      <c r="G317" s="3" t="str">
        <f t="shared" si="55"/>
        <v/>
      </c>
      <c r="H317" s="3" t="str">
        <f t="shared" si="55"/>
        <v/>
      </c>
      <c r="I317" s="3" t="str">
        <f t="shared" si="55"/>
        <v/>
      </c>
      <c r="J317" s="3" t="str">
        <f t="shared" si="55"/>
        <v/>
      </c>
      <c r="K317" s="3" t="str">
        <f t="shared" si="55"/>
        <v/>
      </c>
      <c r="L317" s="3" t="str">
        <f t="shared" si="55"/>
        <v/>
      </c>
      <c r="M317" s="19" t="str">
        <f>VLOOKUP($A313,NotaIndividualPorAlunoQUI,RIGHT(L316,2)-8,0)</f>
        <v/>
      </c>
      <c r="N317" s="10"/>
      <c r="O317" s="10"/>
    </row>
    <row r="318" spans="1:15" x14ac:dyDescent="0.3">
      <c r="A318" s="72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0"/>
      <c r="O318" s="10"/>
    </row>
    <row r="319" spans="1:15" x14ac:dyDescent="0.3">
      <c r="A319" s="72"/>
      <c r="B319" s="73" t="s">
        <v>12</v>
      </c>
      <c r="C319" s="57" t="s">
        <v>2</v>
      </c>
      <c r="D319" s="57" t="s">
        <v>3</v>
      </c>
      <c r="E319" s="57" t="s">
        <v>4</v>
      </c>
      <c r="F319" s="57" t="s">
        <v>5</v>
      </c>
      <c r="G319" s="57" t="s">
        <v>6</v>
      </c>
      <c r="H319" s="57" t="s">
        <v>7</v>
      </c>
      <c r="I319" s="57" t="s">
        <v>8</v>
      </c>
      <c r="J319" s="57" t="s">
        <v>9</v>
      </c>
      <c r="K319" s="57" t="s">
        <v>10</v>
      </c>
      <c r="L319" s="57" t="s">
        <v>11</v>
      </c>
      <c r="M319" s="57" t="s">
        <v>13</v>
      </c>
      <c r="N319" s="10"/>
      <c r="O319" s="10"/>
    </row>
    <row r="320" spans="1:15" ht="15.75" customHeight="1" x14ac:dyDescent="0.3">
      <c r="A320" s="72"/>
      <c r="B320" s="73"/>
      <c r="C320" s="3" t="str">
        <f t="shared" ref="C320:L320" si="56">VLOOKUP($A313,NotaIndividualPorAlunoFIS,RIGHT(C319,2)+1,0)</f>
        <v/>
      </c>
      <c r="D320" s="3" t="str">
        <f t="shared" si="56"/>
        <v/>
      </c>
      <c r="E320" s="3" t="str">
        <f t="shared" si="56"/>
        <v/>
      </c>
      <c r="F320" s="3" t="str">
        <f t="shared" si="56"/>
        <v/>
      </c>
      <c r="G320" s="3" t="str">
        <f t="shared" si="56"/>
        <v/>
      </c>
      <c r="H320" s="3" t="str">
        <f t="shared" si="56"/>
        <v/>
      </c>
      <c r="I320" s="3" t="str">
        <f t="shared" si="56"/>
        <v/>
      </c>
      <c r="J320" s="3" t="str">
        <f t="shared" si="56"/>
        <v/>
      </c>
      <c r="K320" s="3" t="str">
        <f t="shared" si="56"/>
        <v/>
      </c>
      <c r="L320" s="3" t="str">
        <f t="shared" si="56"/>
        <v/>
      </c>
      <c r="M320" s="19" t="str">
        <f>VLOOKUP($A313,NotaIndividualPorAlunoFIS,RIGHT(L319,2)+2,0)</f>
        <v/>
      </c>
      <c r="N320" s="10"/>
      <c r="O320" s="10"/>
    </row>
    <row r="321" spans="1:15" ht="15.6" x14ac:dyDescent="0.3">
      <c r="A321" s="72"/>
      <c r="B321" s="12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0"/>
      <c r="O321" s="10"/>
    </row>
    <row r="322" spans="1:15" ht="15.6" x14ac:dyDescent="0.3">
      <c r="A322" s="72"/>
      <c r="B322" s="73" t="s">
        <v>16</v>
      </c>
      <c r="C322" s="23" t="s">
        <v>41</v>
      </c>
      <c r="D322" s="58" t="s">
        <v>42</v>
      </c>
      <c r="E322" s="23" t="s">
        <v>43</v>
      </c>
      <c r="F322" s="58" t="s">
        <v>44</v>
      </c>
      <c r="G322" s="23" t="s">
        <v>63</v>
      </c>
      <c r="H322" s="58" t="s">
        <v>32</v>
      </c>
      <c r="I322" s="14"/>
      <c r="J322" s="14"/>
      <c r="K322" s="14"/>
      <c r="L322" s="14"/>
      <c r="M322" s="15" t="s">
        <v>18</v>
      </c>
      <c r="N322" s="10"/>
      <c r="O322" s="10"/>
    </row>
    <row r="323" spans="1:15" ht="15.75" customHeight="1" x14ac:dyDescent="0.3">
      <c r="A323" s="72"/>
      <c r="B323" s="73"/>
      <c r="C323" s="26" t="str">
        <f>VLOOKUP($A313,NotaIndividualPorAlunoRED,2,0)</f>
        <v/>
      </c>
      <c r="D323" s="26" t="str">
        <f>VLOOKUP($A313,NotaIndividualPorAlunoRED,3,0)</f>
        <v/>
      </c>
      <c r="E323" s="26" t="str">
        <f>VLOOKUP($A313,NotaIndividualPorAlunoRED,4,0)</f>
        <v/>
      </c>
      <c r="F323" s="26" t="str">
        <f>VLOOKUP($A313,NotaIndividualPorAlunoRED,5,0)</f>
        <v/>
      </c>
      <c r="G323" s="26" t="str">
        <f>VLOOKUP($A313,NotaIndividualPorAlunoRED,6,0)</f>
        <v/>
      </c>
      <c r="H323" s="21" t="str">
        <f>VLOOKUP($A313,NotaIndividualPorAlunoRED,7,0)</f>
        <v/>
      </c>
      <c r="I323" s="14"/>
      <c r="J323" s="14"/>
      <c r="K323" s="14"/>
      <c r="L323" s="14"/>
      <c r="M323" s="20" t="str">
        <f>VLOOKUP(A313,NOTAS!C:I,7,0)</f>
        <v/>
      </c>
      <c r="N323" s="10"/>
      <c r="O323" s="10"/>
    </row>
    <row r="324" spans="1:15" x14ac:dyDescent="0.3">
      <c r="A324" s="72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0"/>
      <c r="O324" s="10"/>
    </row>
    <row r="325" spans="1:15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1:15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1:15" x14ac:dyDescent="0.3">
      <c r="A327" s="58" t="s">
        <v>38</v>
      </c>
      <c r="B327" s="57" t="s">
        <v>35</v>
      </c>
      <c r="C327" s="57" t="s">
        <v>56</v>
      </c>
      <c r="D327" s="57" t="s">
        <v>57</v>
      </c>
      <c r="E327" s="57" t="s">
        <v>58</v>
      </c>
      <c r="F327" s="57" t="s">
        <v>59</v>
      </c>
      <c r="G327" s="57" t="s">
        <v>60</v>
      </c>
      <c r="H327" s="57" t="s">
        <v>36</v>
      </c>
      <c r="I327" s="57" t="s">
        <v>61</v>
      </c>
      <c r="J327" s="57" t="s">
        <v>34</v>
      </c>
      <c r="K327" s="57" t="s">
        <v>62</v>
      </c>
      <c r="L327" s="16" t="s">
        <v>33</v>
      </c>
      <c r="M327" s="57" t="s">
        <v>37</v>
      </c>
      <c r="N327" s="10"/>
      <c r="O327" s="10"/>
    </row>
    <row r="328" spans="1:15" ht="15.6" x14ac:dyDescent="0.3">
      <c r="A328" s="58" t="str" cm="1">
        <f t="array" ref="A328">IF(ISERROR(INDEX(ListaDeAlunos,(((ROW()-2)/17)+1),(COLUMN()+1))),"",INDEX(ListaDeAlunos,(((ROW()-2)/17)+1),(COLUMN()+1)))</f>
        <v/>
      </c>
      <c r="B328" s="17" t="str">
        <f>VLOOKUP($A328,NotaIndividualPorAlunoPROVAO,2,0)</f>
        <v/>
      </c>
      <c r="C328" s="18" t="str">
        <f>VLOOKUP($A328,NotaIndividualPorAlunoPROVAO,3,0)</f>
        <v/>
      </c>
      <c r="D328" s="17" t="str">
        <f>VLOOKUP($A328,NotaIndividualPorAlunoPROVAO,4,0)</f>
        <v/>
      </c>
      <c r="E328" s="18" t="str">
        <f>VLOOKUP($A328,NotaIndividualPorAlunoPROVAO,5,0)</f>
        <v/>
      </c>
      <c r="F328" s="17" t="str">
        <f>VLOOKUP($A328,NotaIndividualPorAlunoPROVAO,6,0)</f>
        <v/>
      </c>
      <c r="G328" s="18" t="str">
        <f>VLOOKUP($A328,NotaIndividualPorAlunoPROVAO,7,0)</f>
        <v/>
      </c>
      <c r="H328" s="17" t="str">
        <f>VLOOKUP($A328,NotaIndividualPorAlunoPROVAO,8,0)</f>
        <v/>
      </c>
      <c r="I328" s="18" t="str">
        <f>VLOOKUP($A328,NotaIndividualPorAlunoPROVAO,9,0)</f>
        <v/>
      </c>
      <c r="J328" s="17" t="str">
        <f>VLOOKUP($A328,NotaIndividualPorAlunoPROVAO,10,0)</f>
        <v/>
      </c>
      <c r="K328" s="18" t="str">
        <f>VLOOKUP($A328,NotaIndividualPorAlunoPROVAO,11,0)</f>
        <v/>
      </c>
      <c r="L328" s="15" t="str">
        <f>VLOOKUP($A328,NotaIndividualPorAlunoPROVAO,12,0)</f>
        <v/>
      </c>
      <c r="M328" s="25" t="str">
        <f>VLOOKUP($A328,NotaIndividualPorAlunoPROVAO,13,0)</f>
        <v/>
      </c>
      <c r="N328" s="10"/>
      <c r="O328" s="10"/>
    </row>
    <row r="329" spans="1:15" x14ac:dyDescent="0.3">
      <c r="N329" s="10"/>
      <c r="O329" s="10"/>
    </row>
    <row r="330" spans="1:15" x14ac:dyDescent="0.3">
      <c r="A330" s="72" t="str">
        <f>A328</f>
        <v/>
      </c>
      <c r="B330" s="73" t="s">
        <v>15</v>
      </c>
      <c r="C330" s="57" t="s">
        <v>2</v>
      </c>
      <c r="D330" s="57" t="s">
        <v>3</v>
      </c>
      <c r="E330" s="57" t="s">
        <v>4</v>
      </c>
      <c r="F330" s="57" t="s">
        <v>5</v>
      </c>
      <c r="G330" s="57" t="s">
        <v>6</v>
      </c>
      <c r="H330" s="57" t="s">
        <v>7</v>
      </c>
      <c r="I330" s="57" t="s">
        <v>8</v>
      </c>
      <c r="J330" s="57" t="s">
        <v>9</v>
      </c>
      <c r="K330" s="57" t="s">
        <v>10</v>
      </c>
      <c r="L330" s="57" t="s">
        <v>11</v>
      </c>
      <c r="M330" s="57" t="s">
        <v>13</v>
      </c>
      <c r="N330" s="10"/>
      <c r="O330" s="10"/>
    </row>
    <row r="331" spans="1:15" ht="15.75" customHeight="1" x14ac:dyDescent="0.3">
      <c r="A331" s="72"/>
      <c r="B331" s="73"/>
      <c r="C331" s="5" t="str">
        <f t="shared" ref="C331:L331" si="57">VLOOKUP($A330,NotaIndividualPorAlunoMAT,RIGHT(C330,2)+1,0)</f>
        <v/>
      </c>
      <c r="D331" s="5" t="str">
        <f t="shared" si="57"/>
        <v/>
      </c>
      <c r="E331" s="5" t="str">
        <f t="shared" si="57"/>
        <v/>
      </c>
      <c r="F331" s="5" t="str">
        <f t="shared" si="57"/>
        <v/>
      </c>
      <c r="G331" s="5" t="str">
        <f t="shared" si="57"/>
        <v/>
      </c>
      <c r="H331" s="5" t="str">
        <f t="shared" si="57"/>
        <v/>
      </c>
      <c r="I331" s="5" t="str">
        <f t="shared" si="57"/>
        <v/>
      </c>
      <c r="J331" s="5" t="str">
        <f t="shared" si="57"/>
        <v/>
      </c>
      <c r="K331" s="5" t="str">
        <f t="shared" si="57"/>
        <v/>
      </c>
      <c r="L331" s="5" t="str">
        <f t="shared" si="57"/>
        <v/>
      </c>
      <c r="M331" s="19" t="str">
        <f>VLOOKUP($A330,NotaIndividualPorAlunoMAT,RIGHT(L330,2)+2,0)</f>
        <v/>
      </c>
      <c r="N331" s="10"/>
      <c r="O331" s="10"/>
    </row>
    <row r="332" spans="1:15" x14ac:dyDescent="0.3">
      <c r="A332" s="72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0"/>
      <c r="O332" s="10"/>
    </row>
    <row r="333" spans="1:15" ht="15" customHeight="1" x14ac:dyDescent="0.3">
      <c r="A333" s="72"/>
      <c r="B333" s="73" t="s">
        <v>14</v>
      </c>
      <c r="C333" s="57" t="s">
        <v>46</v>
      </c>
      <c r="D333" s="57" t="s">
        <v>47</v>
      </c>
      <c r="E333" s="57" t="s">
        <v>48</v>
      </c>
      <c r="F333" s="57" t="s">
        <v>49</v>
      </c>
      <c r="G333" s="57" t="s">
        <v>50</v>
      </c>
      <c r="H333" s="57" t="s">
        <v>51</v>
      </c>
      <c r="I333" s="57" t="s">
        <v>52</v>
      </c>
      <c r="J333" s="57" t="s">
        <v>53</v>
      </c>
      <c r="K333" s="57" t="s">
        <v>54</v>
      </c>
      <c r="L333" s="57" t="s">
        <v>55</v>
      </c>
      <c r="M333" s="57" t="s">
        <v>13</v>
      </c>
      <c r="N333" s="10"/>
      <c r="O333" s="10"/>
    </row>
    <row r="334" spans="1:15" ht="15.75" customHeight="1" x14ac:dyDescent="0.3">
      <c r="A334" s="72"/>
      <c r="B334" s="73"/>
      <c r="C334" s="3" t="str">
        <f t="shared" ref="C334:L334" si="58">VLOOKUP($A330,NotaIndividualPorAlunoQUI,RIGHT(C333,2)-9,0)</f>
        <v/>
      </c>
      <c r="D334" s="3" t="str">
        <f t="shared" si="58"/>
        <v/>
      </c>
      <c r="E334" s="3" t="str">
        <f t="shared" si="58"/>
        <v/>
      </c>
      <c r="F334" s="3" t="str">
        <f t="shared" si="58"/>
        <v/>
      </c>
      <c r="G334" s="3" t="str">
        <f t="shared" si="58"/>
        <v/>
      </c>
      <c r="H334" s="3" t="str">
        <f t="shared" si="58"/>
        <v/>
      </c>
      <c r="I334" s="3" t="str">
        <f t="shared" si="58"/>
        <v/>
      </c>
      <c r="J334" s="3" t="str">
        <f t="shared" si="58"/>
        <v/>
      </c>
      <c r="K334" s="3" t="str">
        <f t="shared" si="58"/>
        <v/>
      </c>
      <c r="L334" s="3" t="str">
        <f t="shared" si="58"/>
        <v/>
      </c>
      <c r="M334" s="19" t="str">
        <f>VLOOKUP($A330,NotaIndividualPorAlunoQUI,RIGHT(L333,2)-8,0)</f>
        <v/>
      </c>
      <c r="N334" s="10"/>
      <c r="O334" s="10"/>
    </row>
    <row r="335" spans="1:15" x14ac:dyDescent="0.3">
      <c r="A335" s="72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0"/>
      <c r="O335" s="10"/>
    </row>
    <row r="336" spans="1:15" x14ac:dyDescent="0.3">
      <c r="A336" s="72"/>
      <c r="B336" s="73" t="s">
        <v>12</v>
      </c>
      <c r="C336" s="57" t="s">
        <v>2</v>
      </c>
      <c r="D336" s="57" t="s">
        <v>3</v>
      </c>
      <c r="E336" s="57" t="s">
        <v>4</v>
      </c>
      <c r="F336" s="57" t="s">
        <v>5</v>
      </c>
      <c r="G336" s="57" t="s">
        <v>6</v>
      </c>
      <c r="H336" s="57" t="s">
        <v>7</v>
      </c>
      <c r="I336" s="57" t="s">
        <v>8</v>
      </c>
      <c r="J336" s="57" t="s">
        <v>9</v>
      </c>
      <c r="K336" s="57" t="s">
        <v>10</v>
      </c>
      <c r="L336" s="57" t="s">
        <v>11</v>
      </c>
      <c r="M336" s="57" t="s">
        <v>13</v>
      </c>
      <c r="N336" s="10"/>
      <c r="O336" s="10"/>
    </row>
    <row r="337" spans="1:15" ht="15.75" customHeight="1" x14ac:dyDescent="0.3">
      <c r="A337" s="72"/>
      <c r="B337" s="73"/>
      <c r="C337" s="3" t="str">
        <f t="shared" ref="C337:L337" si="59">VLOOKUP($A330,NotaIndividualPorAlunoFIS,RIGHT(C336,2)+1,0)</f>
        <v/>
      </c>
      <c r="D337" s="3" t="str">
        <f t="shared" si="59"/>
        <v/>
      </c>
      <c r="E337" s="3" t="str">
        <f t="shared" si="59"/>
        <v/>
      </c>
      <c r="F337" s="3" t="str">
        <f t="shared" si="59"/>
        <v/>
      </c>
      <c r="G337" s="3" t="str">
        <f t="shared" si="59"/>
        <v/>
      </c>
      <c r="H337" s="3" t="str">
        <f t="shared" si="59"/>
        <v/>
      </c>
      <c r="I337" s="3" t="str">
        <f t="shared" si="59"/>
        <v/>
      </c>
      <c r="J337" s="3" t="str">
        <f t="shared" si="59"/>
        <v/>
      </c>
      <c r="K337" s="3" t="str">
        <f t="shared" si="59"/>
        <v/>
      </c>
      <c r="L337" s="3" t="str">
        <f t="shared" si="59"/>
        <v/>
      </c>
      <c r="M337" s="19" t="str">
        <f>VLOOKUP($A330,NotaIndividualPorAlunoFIS,RIGHT(L336,2)+2,0)</f>
        <v/>
      </c>
      <c r="N337" s="10"/>
      <c r="O337" s="10"/>
    </row>
    <row r="338" spans="1:15" ht="15.6" x14ac:dyDescent="0.3">
      <c r="A338" s="72"/>
      <c r="B338" s="12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0"/>
      <c r="O338" s="10"/>
    </row>
    <row r="339" spans="1:15" ht="15.6" x14ac:dyDescent="0.3">
      <c r="A339" s="72"/>
      <c r="B339" s="73" t="s">
        <v>16</v>
      </c>
      <c r="C339" s="23" t="s">
        <v>41</v>
      </c>
      <c r="D339" s="58" t="s">
        <v>42</v>
      </c>
      <c r="E339" s="23" t="s">
        <v>43</v>
      </c>
      <c r="F339" s="58" t="s">
        <v>44</v>
      </c>
      <c r="G339" s="23" t="s">
        <v>63</v>
      </c>
      <c r="H339" s="58" t="s">
        <v>32</v>
      </c>
      <c r="I339" s="14"/>
      <c r="J339" s="14"/>
      <c r="K339" s="14"/>
      <c r="L339" s="14"/>
      <c r="M339" s="15" t="s">
        <v>18</v>
      </c>
      <c r="N339" s="10"/>
      <c r="O339" s="10"/>
    </row>
    <row r="340" spans="1:15" ht="15.75" customHeight="1" x14ac:dyDescent="0.3">
      <c r="A340" s="72"/>
      <c r="B340" s="73"/>
      <c r="C340" s="26" t="str">
        <f>VLOOKUP($A330,NotaIndividualPorAlunoRED,2,0)</f>
        <v/>
      </c>
      <c r="D340" s="26" t="str">
        <f>VLOOKUP($A330,NotaIndividualPorAlunoRED,3,0)</f>
        <v/>
      </c>
      <c r="E340" s="26" t="str">
        <f>VLOOKUP($A330,NotaIndividualPorAlunoRED,4,0)</f>
        <v/>
      </c>
      <c r="F340" s="26" t="str">
        <f>VLOOKUP($A330,NotaIndividualPorAlunoRED,5,0)</f>
        <v/>
      </c>
      <c r="G340" s="26" t="str">
        <f>VLOOKUP($A330,NotaIndividualPorAlunoRED,6,0)</f>
        <v/>
      </c>
      <c r="H340" s="21" t="str">
        <f>VLOOKUP($A330,NotaIndividualPorAlunoRED,7,0)</f>
        <v/>
      </c>
      <c r="I340" s="14"/>
      <c r="J340" s="14"/>
      <c r="K340" s="14"/>
      <c r="L340" s="14"/>
      <c r="M340" s="20" t="str">
        <f>VLOOKUP(A330,NOTAS!C:I,7,0)</f>
        <v/>
      </c>
      <c r="N340" s="10"/>
      <c r="O340" s="10"/>
    </row>
    <row r="341" spans="1:15" x14ac:dyDescent="0.3">
      <c r="A341" s="72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0"/>
      <c r="O341" s="10"/>
    </row>
    <row r="342" spans="1:15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1:15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1:15" x14ac:dyDescent="0.3">
      <c r="A344" s="58" t="s">
        <v>38</v>
      </c>
      <c r="B344" s="57" t="s">
        <v>35</v>
      </c>
      <c r="C344" s="57" t="s">
        <v>56</v>
      </c>
      <c r="D344" s="57" t="s">
        <v>57</v>
      </c>
      <c r="E344" s="57" t="s">
        <v>58</v>
      </c>
      <c r="F344" s="57" t="s">
        <v>59</v>
      </c>
      <c r="G344" s="57" t="s">
        <v>60</v>
      </c>
      <c r="H344" s="57" t="s">
        <v>36</v>
      </c>
      <c r="I344" s="57" t="s">
        <v>61</v>
      </c>
      <c r="J344" s="57" t="s">
        <v>34</v>
      </c>
      <c r="K344" s="57" t="s">
        <v>62</v>
      </c>
      <c r="L344" s="16" t="s">
        <v>33</v>
      </c>
      <c r="M344" s="57" t="s">
        <v>37</v>
      </c>
      <c r="N344" s="10"/>
      <c r="O344" s="10"/>
    </row>
    <row r="345" spans="1:15" ht="15.6" x14ac:dyDescent="0.3">
      <c r="A345" s="58" t="str" cm="1">
        <f t="array" ref="A345">IF(ISERROR(INDEX(ListaDeAlunos,(((ROW()-2)/17)+1),(COLUMN()+1))),"",INDEX(ListaDeAlunos,(((ROW()-2)/17)+1),(COLUMN()+1)))</f>
        <v/>
      </c>
      <c r="B345" s="17" t="str">
        <f>VLOOKUP($A345,NotaIndividualPorAlunoPROVAO,2,0)</f>
        <v/>
      </c>
      <c r="C345" s="18" t="str">
        <f>VLOOKUP($A345,NotaIndividualPorAlunoPROVAO,3,0)</f>
        <v/>
      </c>
      <c r="D345" s="17" t="str">
        <f>VLOOKUP($A345,NotaIndividualPorAlunoPROVAO,4,0)</f>
        <v/>
      </c>
      <c r="E345" s="18" t="str">
        <f>VLOOKUP($A345,NotaIndividualPorAlunoPROVAO,5,0)</f>
        <v/>
      </c>
      <c r="F345" s="17" t="str">
        <f>VLOOKUP($A345,NotaIndividualPorAlunoPROVAO,6,0)</f>
        <v/>
      </c>
      <c r="G345" s="18" t="str">
        <f>VLOOKUP($A345,NotaIndividualPorAlunoPROVAO,7,0)</f>
        <v/>
      </c>
      <c r="H345" s="17" t="str">
        <f>VLOOKUP($A345,NotaIndividualPorAlunoPROVAO,8,0)</f>
        <v/>
      </c>
      <c r="I345" s="18" t="str">
        <f>VLOOKUP($A345,NotaIndividualPorAlunoPROVAO,9,0)</f>
        <v/>
      </c>
      <c r="J345" s="17" t="str">
        <f>VLOOKUP($A345,NotaIndividualPorAlunoPROVAO,10,0)</f>
        <v/>
      </c>
      <c r="K345" s="18" t="str">
        <f>VLOOKUP($A345,NotaIndividualPorAlunoPROVAO,11,0)</f>
        <v/>
      </c>
      <c r="L345" s="15" t="str">
        <f>VLOOKUP($A345,NotaIndividualPorAlunoPROVAO,12,0)</f>
        <v/>
      </c>
      <c r="M345" s="25" t="str">
        <f>VLOOKUP($A345,NotaIndividualPorAlunoPROVAO,13,0)</f>
        <v/>
      </c>
      <c r="N345" s="10"/>
      <c r="O345" s="10"/>
    </row>
    <row r="346" spans="1:15" x14ac:dyDescent="0.3">
      <c r="N346" s="10"/>
      <c r="O346" s="10"/>
    </row>
    <row r="347" spans="1:15" x14ac:dyDescent="0.3">
      <c r="A347" s="72" t="str">
        <f>A345</f>
        <v/>
      </c>
      <c r="B347" s="73" t="s">
        <v>15</v>
      </c>
      <c r="C347" s="57" t="s">
        <v>2</v>
      </c>
      <c r="D347" s="57" t="s">
        <v>3</v>
      </c>
      <c r="E347" s="57" t="s">
        <v>4</v>
      </c>
      <c r="F347" s="57" t="s">
        <v>5</v>
      </c>
      <c r="G347" s="57" t="s">
        <v>6</v>
      </c>
      <c r="H347" s="57" t="s">
        <v>7</v>
      </c>
      <c r="I347" s="57" t="s">
        <v>8</v>
      </c>
      <c r="J347" s="57" t="s">
        <v>9</v>
      </c>
      <c r="K347" s="57" t="s">
        <v>10</v>
      </c>
      <c r="L347" s="57" t="s">
        <v>11</v>
      </c>
      <c r="M347" s="57" t="s">
        <v>13</v>
      </c>
      <c r="N347" s="10"/>
      <c r="O347" s="10"/>
    </row>
    <row r="348" spans="1:15" ht="15.75" customHeight="1" x14ac:dyDescent="0.3">
      <c r="A348" s="72"/>
      <c r="B348" s="73"/>
      <c r="C348" s="5" t="str">
        <f t="shared" ref="C348:L348" si="60">VLOOKUP($A347,NotaIndividualPorAlunoMAT,RIGHT(C347,2)+1,0)</f>
        <v/>
      </c>
      <c r="D348" s="5" t="str">
        <f t="shared" si="60"/>
        <v/>
      </c>
      <c r="E348" s="5" t="str">
        <f t="shared" si="60"/>
        <v/>
      </c>
      <c r="F348" s="5" t="str">
        <f t="shared" si="60"/>
        <v/>
      </c>
      <c r="G348" s="5" t="str">
        <f t="shared" si="60"/>
        <v/>
      </c>
      <c r="H348" s="5" t="str">
        <f t="shared" si="60"/>
        <v/>
      </c>
      <c r="I348" s="5" t="str">
        <f t="shared" si="60"/>
        <v/>
      </c>
      <c r="J348" s="5" t="str">
        <f t="shared" si="60"/>
        <v/>
      </c>
      <c r="K348" s="5" t="str">
        <f t="shared" si="60"/>
        <v/>
      </c>
      <c r="L348" s="5" t="str">
        <f t="shared" si="60"/>
        <v/>
      </c>
      <c r="M348" s="19" t="str">
        <f>VLOOKUP($A347,NotaIndividualPorAlunoMAT,RIGHT(L347,2)+2,0)</f>
        <v/>
      </c>
      <c r="N348" s="10"/>
      <c r="O348" s="10"/>
    </row>
    <row r="349" spans="1:15" x14ac:dyDescent="0.3">
      <c r="A349" s="72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0"/>
      <c r="O349" s="10"/>
    </row>
    <row r="350" spans="1:15" x14ac:dyDescent="0.3">
      <c r="A350" s="72"/>
      <c r="B350" s="73" t="s">
        <v>14</v>
      </c>
      <c r="C350" s="57" t="s">
        <v>46</v>
      </c>
      <c r="D350" s="57" t="s">
        <v>47</v>
      </c>
      <c r="E350" s="57" t="s">
        <v>48</v>
      </c>
      <c r="F350" s="57" t="s">
        <v>49</v>
      </c>
      <c r="G350" s="57" t="s">
        <v>50</v>
      </c>
      <c r="H350" s="57" t="s">
        <v>51</v>
      </c>
      <c r="I350" s="57" t="s">
        <v>52</v>
      </c>
      <c r="J350" s="57" t="s">
        <v>53</v>
      </c>
      <c r="K350" s="57" t="s">
        <v>54</v>
      </c>
      <c r="L350" s="57" t="s">
        <v>55</v>
      </c>
      <c r="M350" s="57" t="s">
        <v>13</v>
      </c>
      <c r="N350" s="10"/>
      <c r="O350" s="10"/>
    </row>
    <row r="351" spans="1:15" ht="15" customHeight="1" x14ac:dyDescent="0.3">
      <c r="A351" s="72"/>
      <c r="B351" s="73"/>
      <c r="C351" s="3" t="str">
        <f t="shared" ref="C351:L351" si="61">VLOOKUP($A347,NotaIndividualPorAlunoQUI,RIGHT(C350,2)-9,0)</f>
        <v/>
      </c>
      <c r="D351" s="3" t="str">
        <f t="shared" si="61"/>
        <v/>
      </c>
      <c r="E351" s="3" t="str">
        <f t="shared" si="61"/>
        <v/>
      </c>
      <c r="F351" s="3" t="str">
        <f t="shared" si="61"/>
        <v/>
      </c>
      <c r="G351" s="3" t="str">
        <f t="shared" si="61"/>
        <v/>
      </c>
      <c r="H351" s="3" t="str">
        <f t="shared" si="61"/>
        <v/>
      </c>
      <c r="I351" s="3" t="str">
        <f t="shared" si="61"/>
        <v/>
      </c>
      <c r="J351" s="3" t="str">
        <f t="shared" si="61"/>
        <v/>
      </c>
      <c r="K351" s="3" t="str">
        <f t="shared" si="61"/>
        <v/>
      </c>
      <c r="L351" s="3" t="str">
        <f t="shared" si="61"/>
        <v/>
      </c>
      <c r="M351" s="19" t="str">
        <f>VLOOKUP($A347,NotaIndividualPorAlunoQUI,RIGHT(L350,2)-8,0)</f>
        <v/>
      </c>
      <c r="N351" s="10"/>
      <c r="O351" s="10"/>
    </row>
    <row r="352" spans="1:15" x14ac:dyDescent="0.3">
      <c r="A352" s="72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0"/>
      <c r="O352" s="10"/>
    </row>
    <row r="353" spans="1:15" x14ac:dyDescent="0.3">
      <c r="A353" s="72"/>
      <c r="B353" s="73" t="s">
        <v>12</v>
      </c>
      <c r="C353" s="57" t="s">
        <v>2</v>
      </c>
      <c r="D353" s="57" t="s">
        <v>3</v>
      </c>
      <c r="E353" s="57" t="s">
        <v>4</v>
      </c>
      <c r="F353" s="57" t="s">
        <v>5</v>
      </c>
      <c r="G353" s="57" t="s">
        <v>6</v>
      </c>
      <c r="H353" s="57" t="s">
        <v>7</v>
      </c>
      <c r="I353" s="57" t="s">
        <v>8</v>
      </c>
      <c r="J353" s="57" t="s">
        <v>9</v>
      </c>
      <c r="K353" s="57" t="s">
        <v>10</v>
      </c>
      <c r="L353" s="57" t="s">
        <v>11</v>
      </c>
      <c r="M353" s="57" t="s">
        <v>13</v>
      </c>
      <c r="N353" s="10"/>
      <c r="O353" s="10"/>
    </row>
    <row r="354" spans="1:15" ht="15.75" customHeight="1" x14ac:dyDescent="0.3">
      <c r="A354" s="72"/>
      <c r="B354" s="73"/>
      <c r="C354" s="3" t="str">
        <f t="shared" ref="C354:L354" si="62">VLOOKUP($A347,NotaIndividualPorAlunoFIS,RIGHT(C353,2)+1,0)</f>
        <v/>
      </c>
      <c r="D354" s="3" t="str">
        <f t="shared" si="62"/>
        <v/>
      </c>
      <c r="E354" s="3" t="str">
        <f t="shared" si="62"/>
        <v/>
      </c>
      <c r="F354" s="3" t="str">
        <f t="shared" si="62"/>
        <v/>
      </c>
      <c r="G354" s="3" t="str">
        <f t="shared" si="62"/>
        <v/>
      </c>
      <c r="H354" s="3" t="str">
        <f t="shared" si="62"/>
        <v/>
      </c>
      <c r="I354" s="3" t="str">
        <f t="shared" si="62"/>
        <v/>
      </c>
      <c r="J354" s="3" t="str">
        <f t="shared" si="62"/>
        <v/>
      </c>
      <c r="K354" s="3" t="str">
        <f t="shared" si="62"/>
        <v/>
      </c>
      <c r="L354" s="3" t="str">
        <f t="shared" si="62"/>
        <v/>
      </c>
      <c r="M354" s="19" t="str">
        <f>VLOOKUP($A347,NotaIndividualPorAlunoFIS,RIGHT(L353,2)+2,0)</f>
        <v/>
      </c>
      <c r="N354" s="10"/>
      <c r="O354" s="10"/>
    </row>
    <row r="355" spans="1:15" ht="15.6" x14ac:dyDescent="0.3">
      <c r="A355" s="72"/>
      <c r="B355" s="12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0"/>
      <c r="O355" s="10"/>
    </row>
    <row r="356" spans="1:15" ht="15.6" x14ac:dyDescent="0.3">
      <c r="A356" s="72"/>
      <c r="B356" s="73" t="s">
        <v>16</v>
      </c>
      <c r="C356" s="23" t="s">
        <v>41</v>
      </c>
      <c r="D356" s="58" t="s">
        <v>42</v>
      </c>
      <c r="E356" s="23" t="s">
        <v>43</v>
      </c>
      <c r="F356" s="58" t="s">
        <v>44</v>
      </c>
      <c r="G356" s="23" t="s">
        <v>63</v>
      </c>
      <c r="H356" s="58" t="s">
        <v>32</v>
      </c>
      <c r="I356" s="14"/>
      <c r="J356" s="14"/>
      <c r="K356" s="14"/>
      <c r="L356" s="14"/>
      <c r="M356" s="15" t="s">
        <v>18</v>
      </c>
      <c r="N356" s="10"/>
      <c r="O356" s="10"/>
    </row>
    <row r="357" spans="1:15" ht="15.75" customHeight="1" x14ac:dyDescent="0.3">
      <c r="A357" s="72"/>
      <c r="B357" s="73"/>
      <c r="C357" s="26" t="str">
        <f>VLOOKUP($A347,NotaIndividualPorAlunoRED,2,0)</f>
        <v/>
      </c>
      <c r="D357" s="26" t="str">
        <f>VLOOKUP($A347,NotaIndividualPorAlunoRED,3,0)</f>
        <v/>
      </c>
      <c r="E357" s="26" t="str">
        <f>VLOOKUP($A347,NotaIndividualPorAlunoRED,4,0)</f>
        <v/>
      </c>
      <c r="F357" s="26" t="str">
        <f>VLOOKUP($A347,NotaIndividualPorAlunoRED,5,0)</f>
        <v/>
      </c>
      <c r="G357" s="26" t="str">
        <f>VLOOKUP($A347,NotaIndividualPorAlunoRED,6,0)</f>
        <v/>
      </c>
      <c r="H357" s="21" t="str">
        <f>VLOOKUP($A347,NotaIndividualPorAlunoRED,7,0)</f>
        <v/>
      </c>
      <c r="I357" s="14"/>
      <c r="J357" s="14"/>
      <c r="K357" s="14"/>
      <c r="L357" s="14"/>
      <c r="M357" s="20" t="str">
        <f>VLOOKUP(A347,NOTAS!C:I,7,0)</f>
        <v/>
      </c>
      <c r="N357" s="10"/>
      <c r="O357" s="10"/>
    </row>
    <row r="358" spans="1:15" x14ac:dyDescent="0.3">
      <c r="A358" s="72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0"/>
      <c r="O358" s="10"/>
    </row>
    <row r="359" spans="1:15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1:15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1:15" x14ac:dyDescent="0.3">
      <c r="A361" s="58" t="s">
        <v>38</v>
      </c>
      <c r="B361" s="57" t="s">
        <v>35</v>
      </c>
      <c r="C361" s="57" t="s">
        <v>56</v>
      </c>
      <c r="D361" s="57" t="s">
        <v>57</v>
      </c>
      <c r="E361" s="57" t="s">
        <v>58</v>
      </c>
      <c r="F361" s="57" t="s">
        <v>59</v>
      </c>
      <c r="G361" s="57" t="s">
        <v>60</v>
      </c>
      <c r="H361" s="57" t="s">
        <v>36</v>
      </c>
      <c r="I361" s="57" t="s">
        <v>61</v>
      </c>
      <c r="J361" s="57" t="s">
        <v>34</v>
      </c>
      <c r="K361" s="57" t="s">
        <v>62</v>
      </c>
      <c r="L361" s="16" t="s">
        <v>33</v>
      </c>
      <c r="M361" s="57" t="s">
        <v>37</v>
      </c>
      <c r="N361" s="10"/>
      <c r="O361" s="10"/>
    </row>
    <row r="362" spans="1:15" ht="15.6" x14ac:dyDescent="0.3">
      <c r="A362" s="58" t="str" cm="1">
        <f t="array" ref="A362">IF(ISERROR(INDEX(ListaDeAlunos,(((ROW()-2)/17)+1),(COLUMN()+1))),"",INDEX(ListaDeAlunos,(((ROW()-2)/17)+1),(COLUMN()+1)))</f>
        <v/>
      </c>
      <c r="B362" s="17" t="str">
        <f>VLOOKUP($A362,NotaIndividualPorAlunoPROVAO,2,0)</f>
        <v/>
      </c>
      <c r="C362" s="18" t="str">
        <f>VLOOKUP($A362,NotaIndividualPorAlunoPROVAO,3,0)</f>
        <v/>
      </c>
      <c r="D362" s="17" t="str">
        <f>VLOOKUP($A362,NotaIndividualPorAlunoPROVAO,4,0)</f>
        <v/>
      </c>
      <c r="E362" s="18" t="str">
        <f>VLOOKUP($A362,NotaIndividualPorAlunoPROVAO,5,0)</f>
        <v/>
      </c>
      <c r="F362" s="17" t="str">
        <f>VLOOKUP($A362,NotaIndividualPorAlunoPROVAO,6,0)</f>
        <v/>
      </c>
      <c r="G362" s="18" t="str">
        <f>VLOOKUP($A362,NotaIndividualPorAlunoPROVAO,7,0)</f>
        <v/>
      </c>
      <c r="H362" s="17" t="str">
        <f>VLOOKUP($A362,NotaIndividualPorAlunoPROVAO,8,0)</f>
        <v/>
      </c>
      <c r="I362" s="18" t="str">
        <f>VLOOKUP($A362,NotaIndividualPorAlunoPROVAO,9,0)</f>
        <v/>
      </c>
      <c r="J362" s="17" t="str">
        <f>VLOOKUP($A362,NotaIndividualPorAlunoPROVAO,10,0)</f>
        <v/>
      </c>
      <c r="K362" s="18" t="str">
        <f>VLOOKUP($A362,NotaIndividualPorAlunoPROVAO,11,0)</f>
        <v/>
      </c>
      <c r="L362" s="15" t="str">
        <f>VLOOKUP($A362,NotaIndividualPorAlunoPROVAO,12,0)</f>
        <v/>
      </c>
      <c r="M362" s="25" t="str">
        <f>VLOOKUP($A362,NotaIndividualPorAlunoPROVAO,13,0)</f>
        <v/>
      </c>
      <c r="N362" s="10"/>
      <c r="O362" s="10"/>
    </row>
    <row r="363" spans="1:15" x14ac:dyDescent="0.3">
      <c r="N363" s="10"/>
      <c r="O363" s="10"/>
    </row>
    <row r="364" spans="1:15" x14ac:dyDescent="0.3">
      <c r="A364" s="72" t="str">
        <f>A362</f>
        <v/>
      </c>
      <c r="B364" s="73" t="s">
        <v>15</v>
      </c>
      <c r="C364" s="57" t="s">
        <v>2</v>
      </c>
      <c r="D364" s="57" t="s">
        <v>3</v>
      </c>
      <c r="E364" s="57" t="s">
        <v>4</v>
      </c>
      <c r="F364" s="57" t="s">
        <v>5</v>
      </c>
      <c r="G364" s="57" t="s">
        <v>6</v>
      </c>
      <c r="H364" s="57" t="s">
        <v>7</v>
      </c>
      <c r="I364" s="57" t="s">
        <v>8</v>
      </c>
      <c r="J364" s="57" t="s">
        <v>9</v>
      </c>
      <c r="K364" s="57" t="s">
        <v>10</v>
      </c>
      <c r="L364" s="57" t="s">
        <v>11</v>
      </c>
      <c r="M364" s="57" t="s">
        <v>13</v>
      </c>
      <c r="N364" s="10"/>
      <c r="O364" s="10"/>
    </row>
    <row r="365" spans="1:15" ht="15.75" customHeight="1" x14ac:dyDescent="0.3">
      <c r="A365" s="72"/>
      <c r="B365" s="73"/>
      <c r="C365" s="5" t="str">
        <f t="shared" ref="C365:L365" si="63">VLOOKUP($A364,NotaIndividualPorAlunoMAT,RIGHT(C364,2)+1,0)</f>
        <v/>
      </c>
      <c r="D365" s="5" t="str">
        <f t="shared" si="63"/>
        <v/>
      </c>
      <c r="E365" s="5" t="str">
        <f t="shared" si="63"/>
        <v/>
      </c>
      <c r="F365" s="5" t="str">
        <f t="shared" si="63"/>
        <v/>
      </c>
      <c r="G365" s="5" t="str">
        <f t="shared" si="63"/>
        <v/>
      </c>
      <c r="H365" s="5" t="str">
        <f t="shared" si="63"/>
        <v/>
      </c>
      <c r="I365" s="5" t="str">
        <f t="shared" si="63"/>
        <v/>
      </c>
      <c r="J365" s="5" t="str">
        <f t="shared" si="63"/>
        <v/>
      </c>
      <c r="K365" s="5" t="str">
        <f t="shared" si="63"/>
        <v/>
      </c>
      <c r="L365" s="5" t="str">
        <f t="shared" si="63"/>
        <v/>
      </c>
      <c r="M365" s="19" t="str">
        <f>VLOOKUP($A364,NotaIndividualPorAlunoMAT,RIGHT(L364,2)+2,0)</f>
        <v/>
      </c>
      <c r="N365" s="10"/>
      <c r="O365" s="10"/>
    </row>
    <row r="366" spans="1:15" ht="15" customHeight="1" x14ac:dyDescent="0.3">
      <c r="A366" s="72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0"/>
      <c r="O366" s="10"/>
    </row>
    <row r="367" spans="1:15" x14ac:dyDescent="0.3">
      <c r="A367" s="72"/>
      <c r="B367" s="73" t="s">
        <v>14</v>
      </c>
      <c r="C367" s="57" t="s">
        <v>46</v>
      </c>
      <c r="D367" s="57" t="s">
        <v>47</v>
      </c>
      <c r="E367" s="57" t="s">
        <v>48</v>
      </c>
      <c r="F367" s="57" t="s">
        <v>49</v>
      </c>
      <c r="G367" s="57" t="s">
        <v>50</v>
      </c>
      <c r="H367" s="57" t="s">
        <v>51</v>
      </c>
      <c r="I367" s="57" t="s">
        <v>52</v>
      </c>
      <c r="J367" s="57" t="s">
        <v>53</v>
      </c>
      <c r="K367" s="57" t="s">
        <v>54</v>
      </c>
      <c r="L367" s="57" t="s">
        <v>55</v>
      </c>
      <c r="M367" s="57" t="s">
        <v>13</v>
      </c>
      <c r="N367" s="10"/>
      <c r="O367" s="10"/>
    </row>
    <row r="368" spans="1:15" ht="15.75" customHeight="1" x14ac:dyDescent="0.3">
      <c r="A368" s="72"/>
      <c r="B368" s="73"/>
      <c r="C368" s="3" t="str">
        <f t="shared" ref="C368:L368" si="64">VLOOKUP($A364,NotaIndividualPorAlunoQUI,RIGHT(C367,2)-9,0)</f>
        <v/>
      </c>
      <c r="D368" s="3" t="str">
        <f t="shared" si="64"/>
        <v/>
      </c>
      <c r="E368" s="3" t="str">
        <f t="shared" si="64"/>
        <v/>
      </c>
      <c r="F368" s="3" t="str">
        <f t="shared" si="64"/>
        <v/>
      </c>
      <c r="G368" s="3" t="str">
        <f t="shared" si="64"/>
        <v/>
      </c>
      <c r="H368" s="3" t="str">
        <f t="shared" si="64"/>
        <v/>
      </c>
      <c r="I368" s="3" t="str">
        <f t="shared" si="64"/>
        <v/>
      </c>
      <c r="J368" s="3" t="str">
        <f t="shared" si="64"/>
        <v/>
      </c>
      <c r="K368" s="3" t="str">
        <f t="shared" si="64"/>
        <v/>
      </c>
      <c r="L368" s="3" t="str">
        <f t="shared" si="64"/>
        <v/>
      </c>
      <c r="M368" s="19" t="str">
        <f>VLOOKUP($A364,NotaIndividualPorAlunoQUI,RIGHT(L367,2)-8,0)</f>
        <v/>
      </c>
      <c r="N368" s="10"/>
      <c r="O368" s="10"/>
    </row>
    <row r="369" spans="1:15" ht="15" customHeight="1" x14ac:dyDescent="0.3">
      <c r="A369" s="72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0"/>
      <c r="O369" s="10"/>
    </row>
    <row r="370" spans="1:15" x14ac:dyDescent="0.3">
      <c r="A370" s="72"/>
      <c r="B370" s="73" t="s">
        <v>12</v>
      </c>
      <c r="C370" s="57" t="s">
        <v>2</v>
      </c>
      <c r="D370" s="57" t="s">
        <v>3</v>
      </c>
      <c r="E370" s="57" t="s">
        <v>4</v>
      </c>
      <c r="F370" s="57" t="s">
        <v>5</v>
      </c>
      <c r="G370" s="57" t="s">
        <v>6</v>
      </c>
      <c r="H370" s="57" t="s">
        <v>7</v>
      </c>
      <c r="I370" s="57" t="s">
        <v>8</v>
      </c>
      <c r="J370" s="57" t="s">
        <v>9</v>
      </c>
      <c r="K370" s="57" t="s">
        <v>10</v>
      </c>
      <c r="L370" s="57" t="s">
        <v>11</v>
      </c>
      <c r="M370" s="57" t="s">
        <v>13</v>
      </c>
      <c r="N370" s="10"/>
      <c r="O370" s="10"/>
    </row>
    <row r="371" spans="1:15" ht="15.75" customHeight="1" x14ac:dyDescent="0.3">
      <c r="A371" s="72"/>
      <c r="B371" s="73"/>
      <c r="C371" s="3" t="str">
        <f t="shared" ref="C371:L371" si="65">VLOOKUP($A364,NotaIndividualPorAlunoFIS,RIGHT(C370,2)+1,0)</f>
        <v/>
      </c>
      <c r="D371" s="3" t="str">
        <f t="shared" si="65"/>
        <v/>
      </c>
      <c r="E371" s="3" t="str">
        <f t="shared" si="65"/>
        <v/>
      </c>
      <c r="F371" s="3" t="str">
        <f t="shared" si="65"/>
        <v/>
      </c>
      <c r="G371" s="3" t="str">
        <f t="shared" si="65"/>
        <v/>
      </c>
      <c r="H371" s="3" t="str">
        <f t="shared" si="65"/>
        <v/>
      </c>
      <c r="I371" s="3" t="str">
        <f t="shared" si="65"/>
        <v/>
      </c>
      <c r="J371" s="3" t="str">
        <f t="shared" si="65"/>
        <v/>
      </c>
      <c r="K371" s="3" t="str">
        <f t="shared" si="65"/>
        <v/>
      </c>
      <c r="L371" s="3" t="str">
        <f t="shared" si="65"/>
        <v/>
      </c>
      <c r="M371" s="19" t="str">
        <f>VLOOKUP($A364,NotaIndividualPorAlunoFIS,RIGHT(L370,2)+2,0)</f>
        <v/>
      </c>
      <c r="N371" s="10"/>
      <c r="O371" s="10"/>
    </row>
    <row r="372" spans="1:15" ht="15.6" x14ac:dyDescent="0.3">
      <c r="A372" s="72"/>
      <c r="B372" s="12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0"/>
      <c r="O372" s="10"/>
    </row>
    <row r="373" spans="1:15" ht="15.6" x14ac:dyDescent="0.3">
      <c r="A373" s="72"/>
      <c r="B373" s="73" t="s">
        <v>16</v>
      </c>
      <c r="C373" s="23" t="s">
        <v>41</v>
      </c>
      <c r="D373" s="58" t="s">
        <v>42</v>
      </c>
      <c r="E373" s="23" t="s">
        <v>43</v>
      </c>
      <c r="F373" s="58" t="s">
        <v>44</v>
      </c>
      <c r="G373" s="23" t="s">
        <v>63</v>
      </c>
      <c r="H373" s="58" t="s">
        <v>32</v>
      </c>
      <c r="I373" s="14"/>
      <c r="J373" s="14"/>
      <c r="K373" s="14"/>
      <c r="L373" s="14"/>
      <c r="M373" s="15" t="s">
        <v>18</v>
      </c>
      <c r="N373" s="10"/>
      <c r="O373" s="10"/>
    </row>
    <row r="374" spans="1:15" ht="15.75" customHeight="1" x14ac:dyDescent="0.3">
      <c r="A374" s="72"/>
      <c r="B374" s="73"/>
      <c r="C374" s="26" t="str">
        <f>VLOOKUP($A364,NotaIndividualPorAlunoRED,2,0)</f>
        <v/>
      </c>
      <c r="D374" s="26" t="str">
        <f>VLOOKUP($A364,NotaIndividualPorAlunoRED,3,0)</f>
        <v/>
      </c>
      <c r="E374" s="26" t="str">
        <f>VLOOKUP($A364,NotaIndividualPorAlunoRED,4,0)</f>
        <v/>
      </c>
      <c r="F374" s="26" t="str">
        <f>VLOOKUP($A364,NotaIndividualPorAlunoRED,5,0)</f>
        <v/>
      </c>
      <c r="G374" s="26" t="str">
        <f>VLOOKUP($A364,NotaIndividualPorAlunoRED,6,0)</f>
        <v/>
      </c>
      <c r="H374" s="21" t="str">
        <f>VLOOKUP($A364,NotaIndividualPorAlunoRED,7,0)</f>
        <v/>
      </c>
      <c r="I374" s="14"/>
      <c r="J374" s="14"/>
      <c r="K374" s="14"/>
      <c r="L374" s="14"/>
      <c r="M374" s="20" t="str">
        <f>VLOOKUP(A364,NOTAS!C:I,7,0)</f>
        <v/>
      </c>
      <c r="N374" s="10"/>
      <c r="O374" s="10"/>
    </row>
    <row r="375" spans="1:15" ht="15.75" customHeight="1" x14ac:dyDescent="0.3">
      <c r="A375" s="72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0"/>
      <c r="O375" s="10"/>
    </row>
    <row r="376" spans="1:15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1:15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1:15" x14ac:dyDescent="0.3">
      <c r="A378" s="58" t="s">
        <v>38</v>
      </c>
      <c r="B378" s="57" t="s">
        <v>35</v>
      </c>
      <c r="C378" s="57" t="s">
        <v>56</v>
      </c>
      <c r="D378" s="57" t="s">
        <v>57</v>
      </c>
      <c r="E378" s="57" t="s">
        <v>58</v>
      </c>
      <c r="F378" s="57" t="s">
        <v>59</v>
      </c>
      <c r="G378" s="57" t="s">
        <v>60</v>
      </c>
      <c r="H378" s="57" t="s">
        <v>36</v>
      </c>
      <c r="I378" s="57" t="s">
        <v>61</v>
      </c>
      <c r="J378" s="57" t="s">
        <v>34</v>
      </c>
      <c r="K378" s="57" t="s">
        <v>62</v>
      </c>
      <c r="L378" s="16" t="s">
        <v>33</v>
      </c>
      <c r="M378" s="57" t="s">
        <v>37</v>
      </c>
      <c r="N378" s="10"/>
      <c r="O378" s="10"/>
    </row>
    <row r="379" spans="1:15" ht="15.6" x14ac:dyDescent="0.3">
      <c r="A379" s="58" t="str" cm="1">
        <f t="array" ref="A379">IF(ISERROR(INDEX(ListaDeAlunos,(((ROW()-2)/17)+1),(COLUMN()+1))),"",INDEX(ListaDeAlunos,(((ROW()-2)/17)+1),(COLUMN()+1)))</f>
        <v/>
      </c>
      <c r="B379" s="17" t="str">
        <f>VLOOKUP($A379,NotaIndividualPorAlunoPROVAO,2,0)</f>
        <v/>
      </c>
      <c r="C379" s="18" t="str">
        <f>VLOOKUP($A379,NotaIndividualPorAlunoPROVAO,3,0)</f>
        <v/>
      </c>
      <c r="D379" s="17" t="str">
        <f>VLOOKUP($A379,NotaIndividualPorAlunoPROVAO,4,0)</f>
        <v/>
      </c>
      <c r="E379" s="18" t="str">
        <f>VLOOKUP($A379,NotaIndividualPorAlunoPROVAO,5,0)</f>
        <v/>
      </c>
      <c r="F379" s="17" t="str">
        <f>VLOOKUP($A379,NotaIndividualPorAlunoPROVAO,6,0)</f>
        <v/>
      </c>
      <c r="G379" s="18" t="str">
        <f>VLOOKUP($A379,NotaIndividualPorAlunoPROVAO,7,0)</f>
        <v/>
      </c>
      <c r="H379" s="17" t="str">
        <f>VLOOKUP($A379,NotaIndividualPorAlunoPROVAO,8,0)</f>
        <v/>
      </c>
      <c r="I379" s="18" t="str">
        <f>VLOOKUP($A379,NotaIndividualPorAlunoPROVAO,9,0)</f>
        <v/>
      </c>
      <c r="J379" s="17" t="str">
        <f>VLOOKUP($A379,NotaIndividualPorAlunoPROVAO,10,0)</f>
        <v/>
      </c>
      <c r="K379" s="18" t="str">
        <f>VLOOKUP($A379,NotaIndividualPorAlunoPROVAO,11,0)</f>
        <v/>
      </c>
      <c r="L379" s="15" t="str">
        <f>VLOOKUP($A379,NotaIndividualPorAlunoPROVAO,12,0)</f>
        <v/>
      </c>
      <c r="M379" s="25" t="str">
        <f>VLOOKUP($A379,NotaIndividualPorAlunoPROVAO,13,0)</f>
        <v/>
      </c>
      <c r="N379" s="10"/>
      <c r="O379" s="10"/>
    </row>
    <row r="380" spans="1:15" x14ac:dyDescent="0.3">
      <c r="N380" s="10"/>
      <c r="O380" s="10"/>
    </row>
    <row r="381" spans="1:15" x14ac:dyDescent="0.3">
      <c r="A381" s="72" t="str">
        <f>A379</f>
        <v/>
      </c>
      <c r="B381" s="73" t="s">
        <v>15</v>
      </c>
      <c r="C381" s="57" t="s">
        <v>2</v>
      </c>
      <c r="D381" s="57" t="s">
        <v>3</v>
      </c>
      <c r="E381" s="57" t="s">
        <v>4</v>
      </c>
      <c r="F381" s="57" t="s">
        <v>5</v>
      </c>
      <c r="G381" s="57" t="s">
        <v>6</v>
      </c>
      <c r="H381" s="57" t="s">
        <v>7</v>
      </c>
      <c r="I381" s="57" t="s">
        <v>8</v>
      </c>
      <c r="J381" s="57" t="s">
        <v>9</v>
      </c>
      <c r="K381" s="57" t="s">
        <v>10</v>
      </c>
      <c r="L381" s="57" t="s">
        <v>11</v>
      </c>
      <c r="M381" s="57" t="s">
        <v>13</v>
      </c>
      <c r="N381" s="10"/>
      <c r="O381" s="10"/>
    </row>
    <row r="382" spans="1:15" ht="15.75" customHeight="1" x14ac:dyDescent="0.3">
      <c r="A382" s="72"/>
      <c r="B382" s="73"/>
      <c r="C382" s="5" t="str">
        <f t="shared" ref="C382:L382" si="66">VLOOKUP($A381,NotaIndividualPorAlunoMAT,RIGHT(C381,2)+1,0)</f>
        <v/>
      </c>
      <c r="D382" s="5" t="str">
        <f t="shared" si="66"/>
        <v/>
      </c>
      <c r="E382" s="5" t="str">
        <f t="shared" si="66"/>
        <v/>
      </c>
      <c r="F382" s="5" t="str">
        <f t="shared" si="66"/>
        <v/>
      </c>
      <c r="G382" s="5" t="str">
        <f t="shared" si="66"/>
        <v/>
      </c>
      <c r="H382" s="5" t="str">
        <f t="shared" si="66"/>
        <v/>
      </c>
      <c r="I382" s="5" t="str">
        <f t="shared" si="66"/>
        <v/>
      </c>
      <c r="J382" s="5" t="str">
        <f t="shared" si="66"/>
        <v/>
      </c>
      <c r="K382" s="5" t="str">
        <f t="shared" si="66"/>
        <v/>
      </c>
      <c r="L382" s="5" t="str">
        <f t="shared" si="66"/>
        <v/>
      </c>
      <c r="M382" s="19" t="str">
        <f>VLOOKUP($A381,NotaIndividualPorAlunoMAT,RIGHT(L381,2)+2,0)</f>
        <v/>
      </c>
      <c r="N382" s="10"/>
      <c r="O382" s="10"/>
    </row>
    <row r="383" spans="1:15" x14ac:dyDescent="0.3">
      <c r="A383" s="72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0"/>
      <c r="O383" s="10"/>
    </row>
    <row r="384" spans="1:15" x14ac:dyDescent="0.3">
      <c r="A384" s="72"/>
      <c r="B384" s="73" t="s">
        <v>14</v>
      </c>
      <c r="C384" s="57" t="s">
        <v>46</v>
      </c>
      <c r="D384" s="57" t="s">
        <v>47</v>
      </c>
      <c r="E384" s="57" t="s">
        <v>48</v>
      </c>
      <c r="F384" s="57" t="s">
        <v>49</v>
      </c>
      <c r="G384" s="57" t="s">
        <v>50</v>
      </c>
      <c r="H384" s="57" t="s">
        <v>51</v>
      </c>
      <c r="I384" s="57" t="s">
        <v>52</v>
      </c>
      <c r="J384" s="57" t="s">
        <v>53</v>
      </c>
      <c r="K384" s="57" t="s">
        <v>54</v>
      </c>
      <c r="L384" s="57" t="s">
        <v>55</v>
      </c>
      <c r="M384" s="57" t="s">
        <v>13</v>
      </c>
      <c r="N384" s="10"/>
      <c r="O384" s="10"/>
    </row>
    <row r="385" spans="1:15" ht="15.75" customHeight="1" x14ac:dyDescent="0.3">
      <c r="A385" s="72"/>
      <c r="B385" s="73"/>
      <c r="C385" s="3" t="str">
        <f t="shared" ref="C385:L385" si="67">VLOOKUP($A381,NotaIndividualPorAlunoQUI,RIGHT(C384,2)-9,0)</f>
        <v/>
      </c>
      <c r="D385" s="3" t="str">
        <f t="shared" si="67"/>
        <v/>
      </c>
      <c r="E385" s="3" t="str">
        <f t="shared" si="67"/>
        <v/>
      </c>
      <c r="F385" s="3" t="str">
        <f t="shared" si="67"/>
        <v/>
      </c>
      <c r="G385" s="3" t="str">
        <f t="shared" si="67"/>
        <v/>
      </c>
      <c r="H385" s="3" t="str">
        <f t="shared" si="67"/>
        <v/>
      </c>
      <c r="I385" s="3" t="str">
        <f t="shared" si="67"/>
        <v/>
      </c>
      <c r="J385" s="3" t="str">
        <f t="shared" si="67"/>
        <v/>
      </c>
      <c r="K385" s="3" t="str">
        <f t="shared" si="67"/>
        <v/>
      </c>
      <c r="L385" s="3" t="str">
        <f t="shared" si="67"/>
        <v/>
      </c>
      <c r="M385" s="19" t="str">
        <f>VLOOKUP($A381,NotaIndividualPorAlunoQUI,RIGHT(L384,2)-8,0)</f>
        <v/>
      </c>
      <c r="N385" s="10"/>
      <c r="O385" s="10"/>
    </row>
    <row r="386" spans="1:15" x14ac:dyDescent="0.3">
      <c r="A386" s="72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0"/>
      <c r="O386" s="10"/>
    </row>
    <row r="387" spans="1:15" x14ac:dyDescent="0.3">
      <c r="A387" s="72"/>
      <c r="B387" s="73" t="s">
        <v>12</v>
      </c>
      <c r="C387" s="57" t="s">
        <v>2</v>
      </c>
      <c r="D387" s="57" t="s">
        <v>3</v>
      </c>
      <c r="E387" s="57" t="s">
        <v>4</v>
      </c>
      <c r="F387" s="57" t="s">
        <v>5</v>
      </c>
      <c r="G387" s="57" t="s">
        <v>6</v>
      </c>
      <c r="H387" s="57" t="s">
        <v>7</v>
      </c>
      <c r="I387" s="57" t="s">
        <v>8</v>
      </c>
      <c r="J387" s="57" t="s">
        <v>9</v>
      </c>
      <c r="K387" s="57" t="s">
        <v>10</v>
      </c>
      <c r="L387" s="57" t="s">
        <v>11</v>
      </c>
      <c r="M387" s="57" t="s">
        <v>13</v>
      </c>
      <c r="N387" s="10"/>
      <c r="O387" s="10"/>
    </row>
    <row r="388" spans="1:15" ht="15.75" customHeight="1" x14ac:dyDescent="0.3">
      <c r="A388" s="72"/>
      <c r="B388" s="73"/>
      <c r="C388" s="3" t="str">
        <f t="shared" ref="C388:L388" si="68">VLOOKUP($A381,NotaIndividualPorAlunoFIS,RIGHT(C387,2)+1,0)</f>
        <v/>
      </c>
      <c r="D388" s="3" t="str">
        <f t="shared" si="68"/>
        <v/>
      </c>
      <c r="E388" s="3" t="str">
        <f t="shared" si="68"/>
        <v/>
      </c>
      <c r="F388" s="3" t="str">
        <f t="shared" si="68"/>
        <v/>
      </c>
      <c r="G388" s="3" t="str">
        <f t="shared" si="68"/>
        <v/>
      </c>
      <c r="H388" s="3" t="str">
        <f t="shared" si="68"/>
        <v/>
      </c>
      <c r="I388" s="3" t="str">
        <f t="shared" si="68"/>
        <v/>
      </c>
      <c r="J388" s="3" t="str">
        <f t="shared" si="68"/>
        <v/>
      </c>
      <c r="K388" s="3" t="str">
        <f t="shared" si="68"/>
        <v/>
      </c>
      <c r="L388" s="3" t="str">
        <f t="shared" si="68"/>
        <v/>
      </c>
      <c r="M388" s="19" t="str">
        <f>VLOOKUP($A381,NotaIndividualPorAlunoFIS,RIGHT(L387,2)+2,0)</f>
        <v/>
      </c>
      <c r="N388" s="10"/>
      <c r="O388" s="10"/>
    </row>
    <row r="389" spans="1:15" ht="15.6" x14ac:dyDescent="0.3">
      <c r="A389" s="72"/>
      <c r="B389" s="12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0"/>
      <c r="O389" s="10"/>
    </row>
    <row r="390" spans="1:15" ht="15.6" x14ac:dyDescent="0.3">
      <c r="A390" s="72"/>
      <c r="B390" s="73" t="s">
        <v>16</v>
      </c>
      <c r="C390" s="23" t="s">
        <v>41</v>
      </c>
      <c r="D390" s="58" t="s">
        <v>42</v>
      </c>
      <c r="E390" s="23" t="s">
        <v>43</v>
      </c>
      <c r="F390" s="58" t="s">
        <v>44</v>
      </c>
      <c r="G390" s="23" t="s">
        <v>63</v>
      </c>
      <c r="H390" s="58" t="s">
        <v>32</v>
      </c>
      <c r="I390" s="14"/>
      <c r="J390" s="14"/>
      <c r="K390" s="14"/>
      <c r="L390" s="14"/>
      <c r="M390" s="15" t="s">
        <v>18</v>
      </c>
      <c r="N390" s="10"/>
      <c r="O390" s="10"/>
    </row>
    <row r="391" spans="1:15" ht="15.75" customHeight="1" x14ac:dyDescent="0.3">
      <c r="A391" s="72"/>
      <c r="B391" s="73"/>
      <c r="C391" s="26" t="str">
        <f>VLOOKUP($A381,NotaIndividualPorAlunoRED,2,0)</f>
        <v/>
      </c>
      <c r="D391" s="26" t="str">
        <f>VLOOKUP($A381,NotaIndividualPorAlunoRED,3,0)</f>
        <v/>
      </c>
      <c r="E391" s="26" t="str">
        <f>VLOOKUP($A381,NotaIndividualPorAlunoRED,4,0)</f>
        <v/>
      </c>
      <c r="F391" s="26" t="str">
        <f>VLOOKUP($A381,NotaIndividualPorAlunoRED,5,0)</f>
        <v/>
      </c>
      <c r="G391" s="26" t="str">
        <f>VLOOKUP($A381,NotaIndividualPorAlunoRED,6,0)</f>
        <v/>
      </c>
      <c r="H391" s="21" t="str">
        <f>VLOOKUP($A381,NotaIndividualPorAlunoRED,7,0)</f>
        <v/>
      </c>
      <c r="I391" s="14"/>
      <c r="J391" s="14"/>
      <c r="K391" s="14"/>
      <c r="L391" s="14"/>
      <c r="M391" s="20" t="str">
        <f>VLOOKUP(A381,NOTAS!C:I,7,0)</f>
        <v/>
      </c>
      <c r="N391" s="10"/>
      <c r="O391" s="10"/>
    </row>
    <row r="392" spans="1:15" x14ac:dyDescent="0.3">
      <c r="A392" s="72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0"/>
      <c r="O392" s="10"/>
    </row>
    <row r="393" spans="1:15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1:15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1:15" x14ac:dyDescent="0.3">
      <c r="A395" s="58" t="s">
        <v>38</v>
      </c>
      <c r="B395" s="57" t="s">
        <v>35</v>
      </c>
      <c r="C395" s="57" t="s">
        <v>56</v>
      </c>
      <c r="D395" s="57" t="s">
        <v>57</v>
      </c>
      <c r="E395" s="57" t="s">
        <v>58</v>
      </c>
      <c r="F395" s="57" t="s">
        <v>59</v>
      </c>
      <c r="G395" s="57" t="s">
        <v>60</v>
      </c>
      <c r="H395" s="57" t="s">
        <v>36</v>
      </c>
      <c r="I395" s="57" t="s">
        <v>61</v>
      </c>
      <c r="J395" s="57" t="s">
        <v>34</v>
      </c>
      <c r="K395" s="57" t="s">
        <v>62</v>
      </c>
      <c r="L395" s="16" t="s">
        <v>33</v>
      </c>
      <c r="M395" s="57" t="s">
        <v>37</v>
      </c>
      <c r="N395" s="10"/>
      <c r="O395" s="10"/>
    </row>
    <row r="396" spans="1:15" ht="15.6" x14ac:dyDescent="0.3">
      <c r="A396" s="58" t="str" cm="1">
        <f t="array" ref="A396">IF(ISERROR(INDEX(ListaDeAlunos,(((ROW()-2)/17)+1),(COLUMN()+1))),"",INDEX(ListaDeAlunos,(((ROW()-2)/17)+1),(COLUMN()+1)))</f>
        <v/>
      </c>
      <c r="B396" s="17" t="str">
        <f>VLOOKUP($A396,NotaIndividualPorAlunoPROVAO,2,0)</f>
        <v/>
      </c>
      <c r="C396" s="18" t="str">
        <f>VLOOKUP($A396,NotaIndividualPorAlunoPROVAO,3,0)</f>
        <v/>
      </c>
      <c r="D396" s="17" t="str">
        <f>VLOOKUP($A396,NotaIndividualPorAlunoPROVAO,4,0)</f>
        <v/>
      </c>
      <c r="E396" s="18" t="str">
        <f>VLOOKUP($A396,NotaIndividualPorAlunoPROVAO,5,0)</f>
        <v/>
      </c>
      <c r="F396" s="17" t="str">
        <f>VLOOKUP($A396,NotaIndividualPorAlunoPROVAO,6,0)</f>
        <v/>
      </c>
      <c r="G396" s="18" t="str">
        <f>VLOOKUP($A396,NotaIndividualPorAlunoPROVAO,7,0)</f>
        <v/>
      </c>
      <c r="H396" s="17" t="str">
        <f>VLOOKUP($A396,NotaIndividualPorAlunoPROVAO,8,0)</f>
        <v/>
      </c>
      <c r="I396" s="18" t="str">
        <f>VLOOKUP($A396,NotaIndividualPorAlunoPROVAO,9,0)</f>
        <v/>
      </c>
      <c r="J396" s="17" t="str">
        <f>VLOOKUP($A396,NotaIndividualPorAlunoPROVAO,10,0)</f>
        <v/>
      </c>
      <c r="K396" s="18" t="str">
        <f>VLOOKUP($A396,NotaIndividualPorAlunoPROVAO,11,0)</f>
        <v/>
      </c>
      <c r="L396" s="15" t="str">
        <f>VLOOKUP($A396,NotaIndividualPorAlunoPROVAO,12,0)</f>
        <v/>
      </c>
      <c r="M396" s="25" t="str">
        <f>VLOOKUP($A396,NotaIndividualPorAlunoPROVAO,13,0)</f>
        <v/>
      </c>
      <c r="N396" s="10"/>
      <c r="O396" s="10"/>
    </row>
    <row r="397" spans="1:15" x14ac:dyDescent="0.3">
      <c r="N397" s="10"/>
      <c r="O397" s="10"/>
    </row>
    <row r="398" spans="1:15" x14ac:dyDescent="0.3">
      <c r="A398" s="72" t="str">
        <f>A396</f>
        <v/>
      </c>
      <c r="B398" s="73" t="s">
        <v>15</v>
      </c>
      <c r="C398" s="57" t="s">
        <v>2</v>
      </c>
      <c r="D398" s="57" t="s">
        <v>3</v>
      </c>
      <c r="E398" s="57" t="s">
        <v>4</v>
      </c>
      <c r="F398" s="57" t="s">
        <v>5</v>
      </c>
      <c r="G398" s="57" t="s">
        <v>6</v>
      </c>
      <c r="H398" s="57" t="s">
        <v>7</v>
      </c>
      <c r="I398" s="57" t="s">
        <v>8</v>
      </c>
      <c r="J398" s="57" t="s">
        <v>9</v>
      </c>
      <c r="K398" s="57" t="s">
        <v>10</v>
      </c>
      <c r="L398" s="57" t="s">
        <v>11</v>
      </c>
      <c r="M398" s="57" t="s">
        <v>13</v>
      </c>
      <c r="N398" s="10"/>
      <c r="O398" s="10"/>
    </row>
    <row r="399" spans="1:15" ht="15" customHeight="1" x14ac:dyDescent="0.3">
      <c r="A399" s="72"/>
      <c r="B399" s="73"/>
      <c r="C399" s="5" t="str">
        <f t="shared" ref="C399:L399" si="69">VLOOKUP($A398,NotaIndividualPorAlunoMAT,RIGHT(C398,2)+1,0)</f>
        <v/>
      </c>
      <c r="D399" s="5" t="str">
        <f t="shared" si="69"/>
        <v/>
      </c>
      <c r="E399" s="5" t="str">
        <f t="shared" si="69"/>
        <v/>
      </c>
      <c r="F399" s="5" t="str">
        <f t="shared" si="69"/>
        <v/>
      </c>
      <c r="G399" s="5" t="str">
        <f t="shared" si="69"/>
        <v/>
      </c>
      <c r="H399" s="5" t="str">
        <f t="shared" si="69"/>
        <v/>
      </c>
      <c r="I399" s="5" t="str">
        <f t="shared" si="69"/>
        <v/>
      </c>
      <c r="J399" s="5" t="str">
        <f t="shared" si="69"/>
        <v/>
      </c>
      <c r="K399" s="5" t="str">
        <f t="shared" si="69"/>
        <v/>
      </c>
      <c r="L399" s="5" t="str">
        <f t="shared" si="69"/>
        <v/>
      </c>
      <c r="M399" s="19" t="str">
        <f>VLOOKUP($A398,NotaIndividualPorAlunoMAT,RIGHT(L398,2)+2,0)</f>
        <v/>
      </c>
      <c r="N399" s="10"/>
      <c r="O399" s="10"/>
    </row>
    <row r="400" spans="1:15" x14ac:dyDescent="0.3">
      <c r="A400" s="72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0"/>
      <c r="O400" s="10"/>
    </row>
    <row r="401" spans="1:15" x14ac:dyDescent="0.3">
      <c r="A401" s="72"/>
      <c r="B401" s="73" t="s">
        <v>14</v>
      </c>
      <c r="C401" s="57" t="s">
        <v>46</v>
      </c>
      <c r="D401" s="57" t="s">
        <v>47</v>
      </c>
      <c r="E401" s="57" t="s">
        <v>48</v>
      </c>
      <c r="F401" s="57" t="s">
        <v>49</v>
      </c>
      <c r="G401" s="57" t="s">
        <v>50</v>
      </c>
      <c r="H401" s="57" t="s">
        <v>51</v>
      </c>
      <c r="I401" s="57" t="s">
        <v>52</v>
      </c>
      <c r="J401" s="57" t="s">
        <v>53</v>
      </c>
      <c r="K401" s="57" t="s">
        <v>54</v>
      </c>
      <c r="L401" s="57" t="s">
        <v>55</v>
      </c>
      <c r="M401" s="57" t="s">
        <v>13</v>
      </c>
      <c r="N401" s="10"/>
      <c r="O401" s="10"/>
    </row>
    <row r="402" spans="1:15" ht="15.75" customHeight="1" x14ac:dyDescent="0.3">
      <c r="A402" s="72"/>
      <c r="B402" s="73"/>
      <c r="C402" s="3" t="str">
        <f t="shared" ref="C402:L402" si="70">VLOOKUP($A398,NotaIndividualPorAlunoQUI,RIGHT(C401,2)-9,0)</f>
        <v/>
      </c>
      <c r="D402" s="3" t="str">
        <f t="shared" si="70"/>
        <v/>
      </c>
      <c r="E402" s="3" t="str">
        <f t="shared" si="70"/>
        <v/>
      </c>
      <c r="F402" s="3" t="str">
        <f t="shared" si="70"/>
        <v/>
      </c>
      <c r="G402" s="3" t="str">
        <f t="shared" si="70"/>
        <v/>
      </c>
      <c r="H402" s="3" t="str">
        <f t="shared" si="70"/>
        <v/>
      </c>
      <c r="I402" s="3" t="str">
        <f t="shared" si="70"/>
        <v/>
      </c>
      <c r="J402" s="3" t="str">
        <f t="shared" si="70"/>
        <v/>
      </c>
      <c r="K402" s="3" t="str">
        <f t="shared" si="70"/>
        <v/>
      </c>
      <c r="L402" s="3" t="str">
        <f t="shared" si="70"/>
        <v/>
      </c>
      <c r="M402" s="19" t="str">
        <f>VLOOKUP($A398,NotaIndividualPorAlunoQUI,RIGHT(L401,2)-8,0)</f>
        <v/>
      </c>
      <c r="N402" s="10"/>
      <c r="O402" s="10"/>
    </row>
    <row r="403" spans="1:15" x14ac:dyDescent="0.3">
      <c r="A403" s="72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0"/>
      <c r="O403" s="10"/>
    </row>
    <row r="404" spans="1:15" x14ac:dyDescent="0.3">
      <c r="A404" s="72"/>
      <c r="B404" s="73" t="s">
        <v>12</v>
      </c>
      <c r="C404" s="57" t="s">
        <v>2</v>
      </c>
      <c r="D404" s="57" t="s">
        <v>3</v>
      </c>
      <c r="E404" s="57" t="s">
        <v>4</v>
      </c>
      <c r="F404" s="57" t="s">
        <v>5</v>
      </c>
      <c r="G404" s="57" t="s">
        <v>6</v>
      </c>
      <c r="H404" s="57" t="s">
        <v>7</v>
      </c>
      <c r="I404" s="57" t="s">
        <v>8</v>
      </c>
      <c r="J404" s="57" t="s">
        <v>9</v>
      </c>
      <c r="K404" s="57" t="s">
        <v>10</v>
      </c>
      <c r="L404" s="57" t="s">
        <v>11</v>
      </c>
      <c r="M404" s="57" t="s">
        <v>13</v>
      </c>
      <c r="N404" s="10"/>
      <c r="O404" s="10"/>
    </row>
    <row r="405" spans="1:15" ht="15.75" customHeight="1" x14ac:dyDescent="0.3">
      <c r="A405" s="72"/>
      <c r="B405" s="73"/>
      <c r="C405" s="3" t="str">
        <f t="shared" ref="C405:L405" si="71">VLOOKUP($A398,NotaIndividualPorAlunoFIS,RIGHT(C404,2)+1,0)</f>
        <v/>
      </c>
      <c r="D405" s="3" t="str">
        <f t="shared" si="71"/>
        <v/>
      </c>
      <c r="E405" s="3" t="str">
        <f t="shared" si="71"/>
        <v/>
      </c>
      <c r="F405" s="3" t="str">
        <f t="shared" si="71"/>
        <v/>
      </c>
      <c r="G405" s="3" t="str">
        <f t="shared" si="71"/>
        <v/>
      </c>
      <c r="H405" s="3" t="str">
        <f t="shared" si="71"/>
        <v/>
      </c>
      <c r="I405" s="3" t="str">
        <f t="shared" si="71"/>
        <v/>
      </c>
      <c r="J405" s="3" t="str">
        <f t="shared" si="71"/>
        <v/>
      </c>
      <c r="K405" s="3" t="str">
        <f t="shared" si="71"/>
        <v/>
      </c>
      <c r="L405" s="3" t="str">
        <f t="shared" si="71"/>
        <v/>
      </c>
      <c r="M405" s="19" t="str">
        <f>VLOOKUP($A398,NotaIndividualPorAlunoFIS,RIGHT(L404,2)+2,0)</f>
        <v/>
      </c>
      <c r="N405" s="10"/>
      <c r="O405" s="10"/>
    </row>
    <row r="406" spans="1:15" ht="15.6" x14ac:dyDescent="0.3">
      <c r="A406" s="72"/>
      <c r="B406" s="12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0"/>
      <c r="O406" s="10"/>
    </row>
    <row r="407" spans="1:15" ht="15.6" x14ac:dyDescent="0.3">
      <c r="A407" s="72"/>
      <c r="B407" s="73" t="s">
        <v>16</v>
      </c>
      <c r="C407" s="23" t="s">
        <v>41</v>
      </c>
      <c r="D407" s="58" t="s">
        <v>42</v>
      </c>
      <c r="E407" s="23" t="s">
        <v>43</v>
      </c>
      <c r="F407" s="58" t="s">
        <v>44</v>
      </c>
      <c r="G407" s="23" t="s">
        <v>63</v>
      </c>
      <c r="H407" s="58" t="s">
        <v>32</v>
      </c>
      <c r="I407" s="14"/>
      <c r="J407" s="14"/>
      <c r="K407" s="14"/>
      <c r="L407" s="14"/>
      <c r="M407" s="15" t="s">
        <v>18</v>
      </c>
      <c r="N407" s="10"/>
      <c r="O407" s="10"/>
    </row>
    <row r="408" spans="1:15" ht="15.75" customHeight="1" x14ac:dyDescent="0.3">
      <c r="A408" s="72"/>
      <c r="B408" s="73"/>
      <c r="C408" s="26" t="str">
        <f>VLOOKUP($A398,NotaIndividualPorAlunoRED,2,0)</f>
        <v/>
      </c>
      <c r="D408" s="26" t="str">
        <f>VLOOKUP($A398,NotaIndividualPorAlunoRED,3,0)</f>
        <v/>
      </c>
      <c r="E408" s="26" t="str">
        <f>VLOOKUP($A398,NotaIndividualPorAlunoRED,4,0)</f>
        <v/>
      </c>
      <c r="F408" s="26" t="str">
        <f>VLOOKUP($A398,NotaIndividualPorAlunoRED,5,0)</f>
        <v/>
      </c>
      <c r="G408" s="26" t="str">
        <f>VLOOKUP($A398,NotaIndividualPorAlunoRED,6,0)</f>
        <v/>
      </c>
      <c r="H408" s="21" t="str">
        <f>VLOOKUP($A398,NotaIndividualPorAlunoRED,7,0)</f>
        <v/>
      </c>
      <c r="I408" s="14"/>
      <c r="J408" s="14"/>
      <c r="K408" s="14"/>
      <c r="L408" s="14"/>
      <c r="M408" s="20" t="str">
        <f>VLOOKUP(A398,NOTAS!C:I,7,0)</f>
        <v/>
      </c>
      <c r="N408" s="10"/>
      <c r="O408" s="10"/>
    </row>
    <row r="409" spans="1:15" x14ac:dyDescent="0.3">
      <c r="A409" s="72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0"/>
      <c r="O409" s="10"/>
    </row>
    <row r="410" spans="1:15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1:15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1:15" x14ac:dyDescent="0.3">
      <c r="A412" s="58" t="s">
        <v>38</v>
      </c>
      <c r="B412" s="57" t="s">
        <v>35</v>
      </c>
      <c r="C412" s="57" t="s">
        <v>56</v>
      </c>
      <c r="D412" s="57" t="s">
        <v>57</v>
      </c>
      <c r="E412" s="57" t="s">
        <v>58</v>
      </c>
      <c r="F412" s="57" t="s">
        <v>59</v>
      </c>
      <c r="G412" s="57" t="s">
        <v>60</v>
      </c>
      <c r="H412" s="57" t="s">
        <v>36</v>
      </c>
      <c r="I412" s="57" t="s">
        <v>61</v>
      </c>
      <c r="J412" s="57" t="s">
        <v>34</v>
      </c>
      <c r="K412" s="57" t="s">
        <v>62</v>
      </c>
      <c r="L412" s="16" t="s">
        <v>33</v>
      </c>
      <c r="M412" s="57" t="s">
        <v>37</v>
      </c>
      <c r="N412" s="10"/>
      <c r="O412" s="10"/>
    </row>
    <row r="413" spans="1:15" ht="15.6" x14ac:dyDescent="0.3">
      <c r="A413" s="58" t="str" cm="1">
        <f t="array" ref="A413">IF(ISERROR(INDEX(ListaDeAlunos,(((ROW()-2)/17)+1),(COLUMN()+1))),"",INDEX(ListaDeAlunos,(((ROW()-2)/17)+1),(COLUMN()+1)))</f>
        <v/>
      </c>
      <c r="B413" s="17" t="str">
        <f>VLOOKUP($A413,NotaIndividualPorAlunoPROVAO,2,0)</f>
        <v/>
      </c>
      <c r="C413" s="18" t="str">
        <f>VLOOKUP($A413,NotaIndividualPorAlunoPROVAO,3,0)</f>
        <v/>
      </c>
      <c r="D413" s="17" t="str">
        <f>VLOOKUP($A413,NotaIndividualPorAlunoPROVAO,4,0)</f>
        <v/>
      </c>
      <c r="E413" s="18" t="str">
        <f>VLOOKUP($A413,NotaIndividualPorAlunoPROVAO,5,0)</f>
        <v/>
      </c>
      <c r="F413" s="17" t="str">
        <f>VLOOKUP($A413,NotaIndividualPorAlunoPROVAO,6,0)</f>
        <v/>
      </c>
      <c r="G413" s="18" t="str">
        <f>VLOOKUP($A413,NotaIndividualPorAlunoPROVAO,7,0)</f>
        <v/>
      </c>
      <c r="H413" s="17" t="str">
        <f>VLOOKUP($A413,NotaIndividualPorAlunoPROVAO,8,0)</f>
        <v/>
      </c>
      <c r="I413" s="18" t="str">
        <f>VLOOKUP($A413,NotaIndividualPorAlunoPROVAO,9,0)</f>
        <v/>
      </c>
      <c r="J413" s="17" t="str">
        <f>VLOOKUP($A413,NotaIndividualPorAlunoPROVAO,10,0)</f>
        <v/>
      </c>
      <c r="K413" s="18" t="str">
        <f>VLOOKUP($A413,NotaIndividualPorAlunoPROVAO,11,0)</f>
        <v/>
      </c>
      <c r="L413" s="15" t="str">
        <f>VLOOKUP($A413,NotaIndividualPorAlunoPROVAO,12,0)</f>
        <v/>
      </c>
      <c r="M413" s="25" t="str">
        <f>VLOOKUP($A413,NotaIndividualPorAlunoPROVAO,13,0)</f>
        <v/>
      </c>
      <c r="N413" s="10"/>
      <c r="O413" s="10"/>
    </row>
    <row r="414" spans="1:15" x14ac:dyDescent="0.3">
      <c r="N414" s="10"/>
      <c r="O414" s="10"/>
    </row>
    <row r="415" spans="1:15" x14ac:dyDescent="0.3">
      <c r="A415" s="72" t="str">
        <f>A413</f>
        <v/>
      </c>
      <c r="B415" s="73" t="s">
        <v>15</v>
      </c>
      <c r="C415" s="57" t="s">
        <v>2</v>
      </c>
      <c r="D415" s="57" t="s">
        <v>3</v>
      </c>
      <c r="E415" s="57" t="s">
        <v>4</v>
      </c>
      <c r="F415" s="57" t="s">
        <v>5</v>
      </c>
      <c r="G415" s="57" t="s">
        <v>6</v>
      </c>
      <c r="H415" s="57" t="s">
        <v>7</v>
      </c>
      <c r="I415" s="57" t="s">
        <v>8</v>
      </c>
      <c r="J415" s="57" t="s">
        <v>9</v>
      </c>
      <c r="K415" s="57" t="s">
        <v>10</v>
      </c>
      <c r="L415" s="57" t="s">
        <v>11</v>
      </c>
      <c r="M415" s="57" t="s">
        <v>13</v>
      </c>
      <c r="N415" s="10"/>
      <c r="O415" s="10"/>
    </row>
    <row r="416" spans="1:15" ht="15.6" x14ac:dyDescent="0.3">
      <c r="A416" s="72"/>
      <c r="B416" s="73"/>
      <c r="C416" s="5" t="str">
        <f t="shared" ref="C416:L416" si="72">VLOOKUP($A415,NotaIndividualPorAlunoMAT,RIGHT(C415,2)+1,0)</f>
        <v/>
      </c>
      <c r="D416" s="5" t="str">
        <f t="shared" si="72"/>
        <v/>
      </c>
      <c r="E416" s="5" t="str">
        <f t="shared" si="72"/>
        <v/>
      </c>
      <c r="F416" s="5" t="str">
        <f t="shared" si="72"/>
        <v/>
      </c>
      <c r="G416" s="5" t="str">
        <f t="shared" si="72"/>
        <v/>
      </c>
      <c r="H416" s="5" t="str">
        <f t="shared" si="72"/>
        <v/>
      </c>
      <c r="I416" s="5" t="str">
        <f t="shared" si="72"/>
        <v/>
      </c>
      <c r="J416" s="5" t="str">
        <f t="shared" si="72"/>
        <v/>
      </c>
      <c r="K416" s="5" t="str">
        <f t="shared" si="72"/>
        <v/>
      </c>
      <c r="L416" s="5" t="str">
        <f t="shared" si="72"/>
        <v/>
      </c>
      <c r="M416" s="19" t="str">
        <f>VLOOKUP($A415,NotaIndividualPorAlunoMAT,RIGHT(L415,2)+2,0)</f>
        <v/>
      </c>
      <c r="N416" s="10"/>
      <c r="O416" s="10"/>
    </row>
    <row r="417" spans="1:15" ht="15.75" customHeight="1" x14ac:dyDescent="0.3">
      <c r="A417" s="72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0"/>
      <c r="O417" s="10"/>
    </row>
    <row r="418" spans="1:15" x14ac:dyDescent="0.3">
      <c r="A418" s="72"/>
      <c r="B418" s="73" t="s">
        <v>14</v>
      </c>
      <c r="C418" s="57" t="s">
        <v>46</v>
      </c>
      <c r="D418" s="57" t="s">
        <v>47</v>
      </c>
      <c r="E418" s="57" t="s">
        <v>48</v>
      </c>
      <c r="F418" s="57" t="s">
        <v>49</v>
      </c>
      <c r="G418" s="57" t="s">
        <v>50</v>
      </c>
      <c r="H418" s="57" t="s">
        <v>51</v>
      </c>
      <c r="I418" s="57" t="s">
        <v>52</v>
      </c>
      <c r="J418" s="57" t="s">
        <v>53</v>
      </c>
      <c r="K418" s="57" t="s">
        <v>54</v>
      </c>
      <c r="L418" s="57" t="s">
        <v>55</v>
      </c>
      <c r="M418" s="57" t="s">
        <v>13</v>
      </c>
      <c r="N418" s="10"/>
      <c r="O418" s="10"/>
    </row>
    <row r="419" spans="1:15" ht="15.6" x14ac:dyDescent="0.3">
      <c r="A419" s="72"/>
      <c r="B419" s="73"/>
      <c r="C419" s="3" t="str">
        <f t="shared" ref="C419:L419" si="73">VLOOKUP($A415,NotaIndividualPorAlunoQUI,RIGHT(C418,2)-9,0)</f>
        <v/>
      </c>
      <c r="D419" s="3" t="str">
        <f t="shared" si="73"/>
        <v/>
      </c>
      <c r="E419" s="3" t="str">
        <f t="shared" si="73"/>
        <v/>
      </c>
      <c r="F419" s="3" t="str">
        <f t="shared" si="73"/>
        <v/>
      </c>
      <c r="G419" s="3" t="str">
        <f t="shared" si="73"/>
        <v/>
      </c>
      <c r="H419" s="3" t="str">
        <f t="shared" si="73"/>
        <v/>
      </c>
      <c r="I419" s="3" t="str">
        <f t="shared" si="73"/>
        <v/>
      </c>
      <c r="J419" s="3" t="str">
        <f t="shared" si="73"/>
        <v/>
      </c>
      <c r="K419" s="3" t="str">
        <f t="shared" si="73"/>
        <v/>
      </c>
      <c r="L419" s="3" t="str">
        <f t="shared" si="73"/>
        <v/>
      </c>
      <c r="M419" s="19" t="str">
        <f>VLOOKUP($A415,NotaIndividualPorAlunoQUI,RIGHT(L418,2)-8,0)</f>
        <v/>
      </c>
      <c r="N419" s="10"/>
      <c r="O419" s="10"/>
    </row>
    <row r="420" spans="1:15" ht="15.75" customHeight="1" x14ac:dyDescent="0.3">
      <c r="A420" s="72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0"/>
      <c r="O420" s="10"/>
    </row>
    <row r="421" spans="1:15" x14ac:dyDescent="0.3">
      <c r="A421" s="72"/>
      <c r="B421" s="73" t="s">
        <v>12</v>
      </c>
      <c r="C421" s="57" t="s">
        <v>2</v>
      </c>
      <c r="D421" s="57" t="s">
        <v>3</v>
      </c>
      <c r="E421" s="57" t="s">
        <v>4</v>
      </c>
      <c r="F421" s="57" t="s">
        <v>5</v>
      </c>
      <c r="G421" s="57" t="s">
        <v>6</v>
      </c>
      <c r="H421" s="57" t="s">
        <v>7</v>
      </c>
      <c r="I421" s="57" t="s">
        <v>8</v>
      </c>
      <c r="J421" s="57" t="s">
        <v>9</v>
      </c>
      <c r="K421" s="57" t="s">
        <v>10</v>
      </c>
      <c r="L421" s="57" t="s">
        <v>11</v>
      </c>
      <c r="M421" s="57" t="s">
        <v>13</v>
      </c>
      <c r="N421" s="10"/>
      <c r="O421" s="10"/>
    </row>
    <row r="422" spans="1:15" ht="15.6" x14ac:dyDescent="0.3">
      <c r="A422" s="72"/>
      <c r="B422" s="73"/>
      <c r="C422" s="3" t="str">
        <f t="shared" ref="C422:L422" si="74">VLOOKUP($A415,NotaIndividualPorAlunoFIS,RIGHT(C421,2)+1,0)</f>
        <v/>
      </c>
      <c r="D422" s="3" t="str">
        <f t="shared" si="74"/>
        <v/>
      </c>
      <c r="E422" s="3" t="str">
        <f t="shared" si="74"/>
        <v/>
      </c>
      <c r="F422" s="3" t="str">
        <f t="shared" si="74"/>
        <v/>
      </c>
      <c r="G422" s="3" t="str">
        <f t="shared" si="74"/>
        <v/>
      </c>
      <c r="H422" s="3" t="str">
        <f t="shared" si="74"/>
        <v/>
      </c>
      <c r="I422" s="3" t="str">
        <f t="shared" si="74"/>
        <v/>
      </c>
      <c r="J422" s="3" t="str">
        <f t="shared" si="74"/>
        <v/>
      </c>
      <c r="K422" s="3" t="str">
        <f t="shared" si="74"/>
        <v/>
      </c>
      <c r="L422" s="3" t="str">
        <f t="shared" si="74"/>
        <v/>
      </c>
      <c r="M422" s="19" t="str">
        <f>VLOOKUP($A415,NotaIndividualPorAlunoFIS,RIGHT(L421,2)+2,0)</f>
        <v/>
      </c>
      <c r="N422" s="10"/>
      <c r="O422" s="10"/>
    </row>
    <row r="423" spans="1:15" ht="15.75" customHeight="1" x14ac:dyDescent="0.3">
      <c r="A423" s="72"/>
      <c r="B423" s="12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0"/>
      <c r="O423" s="10"/>
    </row>
    <row r="424" spans="1:15" ht="15.6" x14ac:dyDescent="0.3">
      <c r="A424" s="72"/>
      <c r="B424" s="73" t="s">
        <v>16</v>
      </c>
      <c r="C424" s="23" t="s">
        <v>41</v>
      </c>
      <c r="D424" s="58" t="s">
        <v>42</v>
      </c>
      <c r="E424" s="23" t="s">
        <v>43</v>
      </c>
      <c r="F424" s="58" t="s">
        <v>44</v>
      </c>
      <c r="G424" s="23" t="s">
        <v>63</v>
      </c>
      <c r="H424" s="58" t="s">
        <v>32</v>
      </c>
      <c r="I424" s="14"/>
      <c r="J424" s="14"/>
      <c r="K424" s="14"/>
      <c r="L424" s="14"/>
      <c r="M424" s="15" t="s">
        <v>18</v>
      </c>
      <c r="N424" s="10"/>
      <c r="O424" s="10"/>
    </row>
    <row r="425" spans="1:15" ht="15.6" x14ac:dyDescent="0.3">
      <c r="A425" s="72"/>
      <c r="B425" s="73"/>
      <c r="C425" s="26" t="str">
        <f>VLOOKUP($A415,NotaIndividualPorAlunoRED,2,0)</f>
        <v/>
      </c>
      <c r="D425" s="26" t="str">
        <f>VLOOKUP($A415,NotaIndividualPorAlunoRED,3,0)</f>
        <v/>
      </c>
      <c r="E425" s="26" t="str">
        <f>VLOOKUP($A415,NotaIndividualPorAlunoRED,4,0)</f>
        <v/>
      </c>
      <c r="F425" s="26" t="str">
        <f>VLOOKUP($A415,NotaIndividualPorAlunoRED,5,0)</f>
        <v/>
      </c>
      <c r="G425" s="26" t="str">
        <f>VLOOKUP($A415,NotaIndividualPorAlunoRED,6,0)</f>
        <v/>
      </c>
      <c r="H425" s="21" t="str">
        <f>VLOOKUP($A415,NotaIndividualPorAlunoRED,7,0)</f>
        <v/>
      </c>
      <c r="I425" s="14"/>
      <c r="J425" s="14"/>
      <c r="K425" s="14"/>
      <c r="L425" s="14"/>
      <c r="M425" s="20" t="str">
        <f>VLOOKUP(A415,NOTAS!C:I,7,0)</f>
        <v/>
      </c>
      <c r="N425" s="10"/>
      <c r="O425" s="10"/>
    </row>
    <row r="426" spans="1:15" ht="15.75" customHeight="1" x14ac:dyDescent="0.3">
      <c r="A426" s="72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0"/>
      <c r="O426" s="10"/>
    </row>
    <row r="427" spans="1:15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</row>
    <row r="428" spans="1:15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</row>
    <row r="429" spans="1:15" x14ac:dyDescent="0.3">
      <c r="A429" s="58" t="s">
        <v>38</v>
      </c>
      <c r="B429" s="57" t="s">
        <v>35</v>
      </c>
      <c r="C429" s="57" t="s">
        <v>56</v>
      </c>
      <c r="D429" s="57" t="s">
        <v>57</v>
      </c>
      <c r="E429" s="57" t="s">
        <v>58</v>
      </c>
      <c r="F429" s="57" t="s">
        <v>59</v>
      </c>
      <c r="G429" s="57" t="s">
        <v>60</v>
      </c>
      <c r="H429" s="57" t="s">
        <v>36</v>
      </c>
      <c r="I429" s="57" t="s">
        <v>61</v>
      </c>
      <c r="J429" s="57" t="s">
        <v>34</v>
      </c>
      <c r="K429" s="57" t="s">
        <v>62</v>
      </c>
      <c r="L429" s="16" t="s">
        <v>33</v>
      </c>
      <c r="M429" s="57" t="s">
        <v>37</v>
      </c>
      <c r="N429" s="10"/>
      <c r="O429" s="10"/>
    </row>
    <row r="430" spans="1:15" ht="15.6" x14ac:dyDescent="0.3">
      <c r="A430" s="58" t="str" cm="1">
        <f t="array" ref="A430">IF(ISERROR(INDEX(ListaDeAlunos,(((ROW()-2)/17)+1),(COLUMN()+1))),"",INDEX(ListaDeAlunos,(((ROW()-2)/17)+1),(COLUMN()+1)))</f>
        <v/>
      </c>
      <c r="B430" s="17" t="str">
        <f>VLOOKUP($A430,NotaIndividualPorAlunoPROVAO,2,0)</f>
        <v/>
      </c>
      <c r="C430" s="18" t="str">
        <f>VLOOKUP($A430,NotaIndividualPorAlunoPROVAO,3,0)</f>
        <v/>
      </c>
      <c r="D430" s="17" t="str">
        <f>VLOOKUP($A430,NotaIndividualPorAlunoPROVAO,4,0)</f>
        <v/>
      </c>
      <c r="E430" s="18" t="str">
        <f>VLOOKUP($A430,NotaIndividualPorAlunoPROVAO,5,0)</f>
        <v/>
      </c>
      <c r="F430" s="17" t="str">
        <f>VLOOKUP($A430,NotaIndividualPorAlunoPROVAO,6,0)</f>
        <v/>
      </c>
      <c r="G430" s="18" t="str">
        <f>VLOOKUP($A430,NotaIndividualPorAlunoPROVAO,7,0)</f>
        <v/>
      </c>
      <c r="H430" s="17" t="str">
        <f>VLOOKUP($A430,NotaIndividualPorAlunoPROVAO,8,0)</f>
        <v/>
      </c>
      <c r="I430" s="18" t="str">
        <f>VLOOKUP($A430,NotaIndividualPorAlunoPROVAO,9,0)</f>
        <v/>
      </c>
      <c r="J430" s="17" t="str">
        <f>VLOOKUP($A430,NotaIndividualPorAlunoPROVAO,10,0)</f>
        <v/>
      </c>
      <c r="K430" s="18" t="str">
        <f>VLOOKUP($A430,NotaIndividualPorAlunoPROVAO,11,0)</f>
        <v/>
      </c>
      <c r="L430" s="15" t="str">
        <f>VLOOKUP($A430,NotaIndividualPorAlunoPROVAO,12,0)</f>
        <v/>
      </c>
      <c r="M430" s="25" t="str">
        <f>VLOOKUP($A430,NotaIndividualPorAlunoPROVAO,13,0)</f>
        <v/>
      </c>
      <c r="N430" s="10"/>
      <c r="O430" s="10"/>
    </row>
    <row r="431" spans="1:15" x14ac:dyDescent="0.3">
      <c r="N431" s="10"/>
      <c r="O431" s="10"/>
    </row>
    <row r="432" spans="1:15" x14ac:dyDescent="0.3">
      <c r="A432" s="72" t="str">
        <f>A430</f>
        <v/>
      </c>
      <c r="B432" s="73" t="s">
        <v>15</v>
      </c>
      <c r="C432" s="57" t="s">
        <v>2</v>
      </c>
      <c r="D432" s="57" t="s">
        <v>3</v>
      </c>
      <c r="E432" s="57" t="s">
        <v>4</v>
      </c>
      <c r="F432" s="57" t="s">
        <v>5</v>
      </c>
      <c r="G432" s="57" t="s">
        <v>6</v>
      </c>
      <c r="H432" s="57" t="s">
        <v>7</v>
      </c>
      <c r="I432" s="57" t="s">
        <v>8</v>
      </c>
      <c r="J432" s="57" t="s">
        <v>9</v>
      </c>
      <c r="K432" s="57" t="s">
        <v>10</v>
      </c>
      <c r="L432" s="57" t="s">
        <v>11</v>
      </c>
      <c r="M432" s="57" t="s">
        <v>13</v>
      </c>
      <c r="N432" s="10"/>
      <c r="O432" s="10"/>
    </row>
    <row r="433" spans="1:15" ht="15" customHeight="1" x14ac:dyDescent="0.3">
      <c r="A433" s="72"/>
      <c r="B433" s="73"/>
      <c r="C433" s="5" t="str">
        <f t="shared" ref="C433:L433" si="75">VLOOKUP($A432,NotaIndividualPorAlunoMAT,RIGHT(C432,2)+1,0)</f>
        <v/>
      </c>
      <c r="D433" s="5" t="str">
        <f t="shared" si="75"/>
        <v/>
      </c>
      <c r="E433" s="5" t="str">
        <f t="shared" si="75"/>
        <v/>
      </c>
      <c r="F433" s="5" t="str">
        <f t="shared" si="75"/>
        <v/>
      </c>
      <c r="G433" s="5" t="str">
        <f t="shared" si="75"/>
        <v/>
      </c>
      <c r="H433" s="5" t="str">
        <f t="shared" si="75"/>
        <v/>
      </c>
      <c r="I433" s="5" t="str">
        <f t="shared" si="75"/>
        <v/>
      </c>
      <c r="J433" s="5" t="str">
        <f t="shared" si="75"/>
        <v/>
      </c>
      <c r="K433" s="5" t="str">
        <f t="shared" si="75"/>
        <v/>
      </c>
      <c r="L433" s="5" t="str">
        <f t="shared" si="75"/>
        <v/>
      </c>
      <c r="M433" s="19" t="str">
        <f>VLOOKUP($A432,NotaIndividualPorAlunoMAT,RIGHT(L432,2)+2,0)</f>
        <v/>
      </c>
      <c r="N433" s="10"/>
      <c r="O433" s="10"/>
    </row>
    <row r="434" spans="1:15" ht="15.75" customHeight="1" x14ac:dyDescent="0.3">
      <c r="A434" s="72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0"/>
      <c r="O434" s="10"/>
    </row>
    <row r="435" spans="1:15" x14ac:dyDescent="0.3">
      <c r="A435" s="72"/>
      <c r="B435" s="73" t="s">
        <v>14</v>
      </c>
      <c r="C435" s="57" t="s">
        <v>46</v>
      </c>
      <c r="D435" s="57" t="s">
        <v>47</v>
      </c>
      <c r="E435" s="57" t="s">
        <v>48</v>
      </c>
      <c r="F435" s="57" t="s">
        <v>49</v>
      </c>
      <c r="G435" s="57" t="s">
        <v>50</v>
      </c>
      <c r="H435" s="57" t="s">
        <v>51</v>
      </c>
      <c r="I435" s="57" t="s">
        <v>52</v>
      </c>
      <c r="J435" s="57" t="s">
        <v>53</v>
      </c>
      <c r="K435" s="57" t="s">
        <v>54</v>
      </c>
      <c r="L435" s="57" t="s">
        <v>55</v>
      </c>
      <c r="M435" s="57" t="s">
        <v>13</v>
      </c>
      <c r="N435" s="10"/>
      <c r="O435" s="10"/>
    </row>
    <row r="436" spans="1:15" ht="15.6" x14ac:dyDescent="0.3">
      <c r="A436" s="72"/>
      <c r="B436" s="73"/>
      <c r="C436" s="3" t="str">
        <f t="shared" ref="C436:L436" si="76">VLOOKUP($A432,NotaIndividualPorAlunoQUI,RIGHT(C435,2)-9,0)</f>
        <v/>
      </c>
      <c r="D436" s="3" t="str">
        <f t="shared" si="76"/>
        <v/>
      </c>
      <c r="E436" s="3" t="str">
        <f t="shared" si="76"/>
        <v/>
      </c>
      <c r="F436" s="3" t="str">
        <f t="shared" si="76"/>
        <v/>
      </c>
      <c r="G436" s="3" t="str">
        <f t="shared" si="76"/>
        <v/>
      </c>
      <c r="H436" s="3" t="str">
        <f t="shared" si="76"/>
        <v/>
      </c>
      <c r="I436" s="3" t="str">
        <f t="shared" si="76"/>
        <v/>
      </c>
      <c r="J436" s="3" t="str">
        <f t="shared" si="76"/>
        <v/>
      </c>
      <c r="K436" s="3" t="str">
        <f t="shared" si="76"/>
        <v/>
      </c>
      <c r="L436" s="3" t="str">
        <f t="shared" si="76"/>
        <v/>
      </c>
      <c r="M436" s="19" t="str">
        <f>VLOOKUP($A432,NotaIndividualPorAlunoQUI,RIGHT(L435,2)-8,0)</f>
        <v/>
      </c>
      <c r="N436" s="10"/>
      <c r="O436" s="10"/>
    </row>
    <row r="437" spans="1:15" ht="15.75" customHeight="1" x14ac:dyDescent="0.3">
      <c r="A437" s="72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0"/>
      <c r="O437" s="10"/>
    </row>
    <row r="438" spans="1:15" x14ac:dyDescent="0.3">
      <c r="A438" s="72"/>
      <c r="B438" s="73" t="s">
        <v>12</v>
      </c>
      <c r="C438" s="57" t="s">
        <v>2</v>
      </c>
      <c r="D438" s="57" t="s">
        <v>3</v>
      </c>
      <c r="E438" s="57" t="s">
        <v>4</v>
      </c>
      <c r="F438" s="57" t="s">
        <v>5</v>
      </c>
      <c r="G438" s="57" t="s">
        <v>6</v>
      </c>
      <c r="H438" s="57" t="s">
        <v>7</v>
      </c>
      <c r="I438" s="57" t="s">
        <v>8</v>
      </c>
      <c r="J438" s="57" t="s">
        <v>9</v>
      </c>
      <c r="K438" s="57" t="s">
        <v>10</v>
      </c>
      <c r="L438" s="57" t="s">
        <v>11</v>
      </c>
      <c r="M438" s="57" t="s">
        <v>13</v>
      </c>
      <c r="N438" s="10"/>
      <c r="O438" s="10"/>
    </row>
    <row r="439" spans="1:15" ht="15.6" x14ac:dyDescent="0.3">
      <c r="A439" s="72"/>
      <c r="B439" s="73"/>
      <c r="C439" s="3" t="str">
        <f t="shared" ref="C439:L439" si="77">VLOOKUP($A432,NotaIndividualPorAlunoFIS,RIGHT(C438,2)+1,0)</f>
        <v/>
      </c>
      <c r="D439" s="3" t="str">
        <f t="shared" si="77"/>
        <v/>
      </c>
      <c r="E439" s="3" t="str">
        <f t="shared" si="77"/>
        <v/>
      </c>
      <c r="F439" s="3" t="str">
        <f t="shared" si="77"/>
        <v/>
      </c>
      <c r="G439" s="3" t="str">
        <f t="shared" si="77"/>
        <v/>
      </c>
      <c r="H439" s="3" t="str">
        <f t="shared" si="77"/>
        <v/>
      </c>
      <c r="I439" s="3" t="str">
        <f t="shared" si="77"/>
        <v/>
      </c>
      <c r="J439" s="3" t="str">
        <f t="shared" si="77"/>
        <v/>
      </c>
      <c r="K439" s="3" t="str">
        <f t="shared" si="77"/>
        <v/>
      </c>
      <c r="L439" s="3" t="str">
        <f t="shared" si="77"/>
        <v/>
      </c>
      <c r="M439" s="19" t="str">
        <f>VLOOKUP($A432,NotaIndividualPorAlunoFIS,RIGHT(L438,2)+2,0)</f>
        <v/>
      </c>
      <c r="N439" s="10"/>
      <c r="O439" s="10"/>
    </row>
    <row r="440" spans="1:15" ht="15.75" customHeight="1" x14ac:dyDescent="0.3">
      <c r="A440" s="72"/>
      <c r="B440" s="12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0"/>
      <c r="O440" s="10"/>
    </row>
    <row r="441" spans="1:15" ht="15.6" x14ac:dyDescent="0.3">
      <c r="A441" s="72"/>
      <c r="B441" s="73" t="s">
        <v>16</v>
      </c>
      <c r="C441" s="23" t="s">
        <v>41</v>
      </c>
      <c r="D441" s="58" t="s">
        <v>42</v>
      </c>
      <c r="E441" s="23" t="s">
        <v>43</v>
      </c>
      <c r="F441" s="58" t="s">
        <v>44</v>
      </c>
      <c r="G441" s="23" t="s">
        <v>63</v>
      </c>
      <c r="H441" s="58" t="s">
        <v>32</v>
      </c>
      <c r="I441" s="14"/>
      <c r="J441" s="14"/>
      <c r="K441" s="14"/>
      <c r="L441" s="14"/>
      <c r="M441" s="15" t="s">
        <v>18</v>
      </c>
      <c r="N441" s="10"/>
      <c r="O441" s="10"/>
    </row>
    <row r="442" spans="1:15" ht="15.6" x14ac:dyDescent="0.3">
      <c r="A442" s="72"/>
      <c r="B442" s="73"/>
      <c r="C442" s="26" t="str">
        <f>VLOOKUP($A432,NotaIndividualPorAlunoRED,2,0)</f>
        <v/>
      </c>
      <c r="D442" s="26" t="str">
        <f>VLOOKUP($A432,NotaIndividualPorAlunoRED,3,0)</f>
        <v/>
      </c>
      <c r="E442" s="26" t="str">
        <f>VLOOKUP($A432,NotaIndividualPorAlunoRED,4,0)</f>
        <v/>
      </c>
      <c r="F442" s="26" t="str">
        <f>VLOOKUP($A432,NotaIndividualPorAlunoRED,5,0)</f>
        <v/>
      </c>
      <c r="G442" s="26" t="str">
        <f>VLOOKUP($A432,NotaIndividualPorAlunoRED,6,0)</f>
        <v/>
      </c>
      <c r="H442" s="21" t="str">
        <f>VLOOKUP($A432,NotaIndividualPorAlunoRED,7,0)</f>
        <v/>
      </c>
      <c r="I442" s="14"/>
      <c r="J442" s="14"/>
      <c r="K442" s="14"/>
      <c r="L442" s="14"/>
      <c r="M442" s="20" t="str">
        <f>VLOOKUP(A432,NOTAS!C:I,7,0)</f>
        <v/>
      </c>
      <c r="N442" s="10"/>
      <c r="O442" s="10"/>
    </row>
    <row r="443" spans="1:15" ht="15.75" customHeight="1" x14ac:dyDescent="0.3">
      <c r="A443" s="72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0"/>
      <c r="O443" s="10"/>
    </row>
    <row r="444" spans="1:15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</row>
    <row r="445" spans="1:15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</row>
    <row r="446" spans="1:15" x14ac:dyDescent="0.3">
      <c r="A446" s="58" t="s">
        <v>38</v>
      </c>
      <c r="B446" s="57" t="s">
        <v>35</v>
      </c>
      <c r="C446" s="57" t="s">
        <v>56</v>
      </c>
      <c r="D446" s="57" t="s">
        <v>57</v>
      </c>
      <c r="E446" s="57" t="s">
        <v>58</v>
      </c>
      <c r="F446" s="57" t="s">
        <v>59</v>
      </c>
      <c r="G446" s="57" t="s">
        <v>60</v>
      </c>
      <c r="H446" s="57" t="s">
        <v>36</v>
      </c>
      <c r="I446" s="57" t="s">
        <v>61</v>
      </c>
      <c r="J446" s="57" t="s">
        <v>34</v>
      </c>
      <c r="K446" s="57" t="s">
        <v>62</v>
      </c>
      <c r="L446" s="16" t="s">
        <v>33</v>
      </c>
      <c r="M446" s="57" t="s">
        <v>37</v>
      </c>
      <c r="N446" s="10"/>
      <c r="O446" s="10"/>
    </row>
    <row r="447" spans="1:15" ht="15.6" x14ac:dyDescent="0.3">
      <c r="A447" s="58" t="str" cm="1">
        <f t="array" ref="A447">IF(ISERROR(INDEX(ListaDeAlunos,(((ROW()-2)/17)+1),(COLUMN()+1))),"",INDEX(ListaDeAlunos,(((ROW()-2)/17)+1),(COLUMN()+1)))</f>
        <v/>
      </c>
      <c r="B447" s="17" t="str">
        <f>VLOOKUP($A447,NotaIndividualPorAlunoPROVAO,2,0)</f>
        <v/>
      </c>
      <c r="C447" s="18" t="str">
        <f>VLOOKUP($A447,NotaIndividualPorAlunoPROVAO,3,0)</f>
        <v/>
      </c>
      <c r="D447" s="17" t="str">
        <f>VLOOKUP($A447,NotaIndividualPorAlunoPROVAO,4,0)</f>
        <v/>
      </c>
      <c r="E447" s="18" t="str">
        <f>VLOOKUP($A447,NotaIndividualPorAlunoPROVAO,5,0)</f>
        <v/>
      </c>
      <c r="F447" s="17" t="str">
        <f>VLOOKUP($A447,NotaIndividualPorAlunoPROVAO,6,0)</f>
        <v/>
      </c>
      <c r="G447" s="18" t="str">
        <f>VLOOKUP($A447,NotaIndividualPorAlunoPROVAO,7,0)</f>
        <v/>
      </c>
      <c r="H447" s="17" t="str">
        <f>VLOOKUP($A447,NotaIndividualPorAlunoPROVAO,8,0)</f>
        <v/>
      </c>
      <c r="I447" s="18" t="str">
        <f>VLOOKUP($A447,NotaIndividualPorAlunoPROVAO,9,0)</f>
        <v/>
      </c>
      <c r="J447" s="17" t="str">
        <f>VLOOKUP($A447,NotaIndividualPorAlunoPROVAO,10,0)</f>
        <v/>
      </c>
      <c r="K447" s="18" t="str">
        <f>VLOOKUP($A447,NotaIndividualPorAlunoPROVAO,11,0)</f>
        <v/>
      </c>
      <c r="L447" s="15" t="str">
        <f>VLOOKUP($A447,NotaIndividualPorAlunoPROVAO,12,0)</f>
        <v/>
      </c>
      <c r="M447" s="25" t="str">
        <f>VLOOKUP($A447,NotaIndividualPorAlunoPROVAO,13,0)</f>
        <v/>
      </c>
      <c r="N447" s="10"/>
      <c r="O447" s="10"/>
    </row>
    <row r="448" spans="1:15" x14ac:dyDescent="0.3">
      <c r="N448" s="10"/>
      <c r="O448" s="10"/>
    </row>
    <row r="449" spans="1:15" x14ac:dyDescent="0.3">
      <c r="A449" s="72" t="str">
        <f>A447</f>
        <v/>
      </c>
      <c r="B449" s="73" t="s">
        <v>15</v>
      </c>
      <c r="C449" s="57" t="s">
        <v>2</v>
      </c>
      <c r="D449" s="57" t="s">
        <v>3</v>
      </c>
      <c r="E449" s="57" t="s">
        <v>4</v>
      </c>
      <c r="F449" s="57" t="s">
        <v>5</v>
      </c>
      <c r="G449" s="57" t="s">
        <v>6</v>
      </c>
      <c r="H449" s="57" t="s">
        <v>7</v>
      </c>
      <c r="I449" s="57" t="s">
        <v>8</v>
      </c>
      <c r="J449" s="57" t="s">
        <v>9</v>
      </c>
      <c r="K449" s="57" t="s">
        <v>10</v>
      </c>
      <c r="L449" s="57" t="s">
        <v>11</v>
      </c>
      <c r="M449" s="57" t="s">
        <v>13</v>
      </c>
      <c r="N449" s="10"/>
      <c r="O449" s="10"/>
    </row>
    <row r="450" spans="1:15" ht="15.6" x14ac:dyDescent="0.3">
      <c r="A450" s="72"/>
      <c r="B450" s="73"/>
      <c r="C450" s="5" t="str">
        <f t="shared" ref="C450:L450" si="78">VLOOKUP($A449,NotaIndividualPorAlunoMAT,RIGHT(C449,2)+1,0)</f>
        <v/>
      </c>
      <c r="D450" s="5" t="str">
        <f t="shared" si="78"/>
        <v/>
      </c>
      <c r="E450" s="5" t="str">
        <f t="shared" si="78"/>
        <v/>
      </c>
      <c r="F450" s="5" t="str">
        <f t="shared" si="78"/>
        <v/>
      </c>
      <c r="G450" s="5" t="str">
        <f t="shared" si="78"/>
        <v/>
      </c>
      <c r="H450" s="5" t="str">
        <f t="shared" si="78"/>
        <v/>
      </c>
      <c r="I450" s="5" t="str">
        <f t="shared" si="78"/>
        <v/>
      </c>
      <c r="J450" s="5" t="str">
        <f t="shared" si="78"/>
        <v/>
      </c>
      <c r="K450" s="5" t="str">
        <f t="shared" si="78"/>
        <v/>
      </c>
      <c r="L450" s="5" t="str">
        <f t="shared" si="78"/>
        <v/>
      </c>
      <c r="M450" s="19" t="str">
        <f>VLOOKUP($A449,NotaIndividualPorAlunoMAT,RIGHT(L449,2)+2,0)</f>
        <v/>
      </c>
      <c r="N450" s="10"/>
      <c r="O450" s="10"/>
    </row>
    <row r="451" spans="1:15" ht="15.75" customHeight="1" x14ac:dyDescent="0.3">
      <c r="A451" s="72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0"/>
      <c r="O451" s="10"/>
    </row>
    <row r="452" spans="1:15" x14ac:dyDescent="0.3">
      <c r="A452" s="72"/>
      <c r="B452" s="73" t="s">
        <v>14</v>
      </c>
      <c r="C452" s="57" t="s">
        <v>46</v>
      </c>
      <c r="D452" s="57" t="s">
        <v>47</v>
      </c>
      <c r="E452" s="57" t="s">
        <v>48</v>
      </c>
      <c r="F452" s="57" t="s">
        <v>49</v>
      </c>
      <c r="G452" s="57" t="s">
        <v>50</v>
      </c>
      <c r="H452" s="57" t="s">
        <v>51</v>
      </c>
      <c r="I452" s="57" t="s">
        <v>52</v>
      </c>
      <c r="J452" s="57" t="s">
        <v>53</v>
      </c>
      <c r="K452" s="57" t="s">
        <v>54</v>
      </c>
      <c r="L452" s="57" t="s">
        <v>55</v>
      </c>
      <c r="M452" s="57" t="s">
        <v>13</v>
      </c>
      <c r="N452" s="10"/>
      <c r="O452" s="10"/>
    </row>
    <row r="453" spans="1:15" ht="15.6" x14ac:dyDescent="0.3">
      <c r="A453" s="72"/>
      <c r="B453" s="73"/>
      <c r="C453" s="3" t="str">
        <f t="shared" ref="C453:L453" si="79">VLOOKUP($A449,NotaIndividualPorAlunoQUI,RIGHT(C452,2)-9,0)</f>
        <v/>
      </c>
      <c r="D453" s="3" t="str">
        <f t="shared" si="79"/>
        <v/>
      </c>
      <c r="E453" s="3" t="str">
        <f t="shared" si="79"/>
        <v/>
      </c>
      <c r="F453" s="3" t="str">
        <f t="shared" si="79"/>
        <v/>
      </c>
      <c r="G453" s="3" t="str">
        <f t="shared" si="79"/>
        <v/>
      </c>
      <c r="H453" s="3" t="str">
        <f t="shared" si="79"/>
        <v/>
      </c>
      <c r="I453" s="3" t="str">
        <f t="shared" si="79"/>
        <v/>
      </c>
      <c r="J453" s="3" t="str">
        <f t="shared" si="79"/>
        <v/>
      </c>
      <c r="K453" s="3" t="str">
        <f t="shared" si="79"/>
        <v/>
      </c>
      <c r="L453" s="3" t="str">
        <f t="shared" si="79"/>
        <v/>
      </c>
      <c r="M453" s="19" t="str">
        <f>VLOOKUP($A449,NotaIndividualPorAlunoQUI,RIGHT(L452,2)-8,0)</f>
        <v/>
      </c>
      <c r="N453" s="10"/>
      <c r="O453" s="10"/>
    </row>
    <row r="454" spans="1:15" ht="15.75" customHeight="1" x14ac:dyDescent="0.3">
      <c r="A454" s="72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0"/>
      <c r="O454" s="10"/>
    </row>
    <row r="455" spans="1:15" x14ac:dyDescent="0.3">
      <c r="A455" s="72"/>
      <c r="B455" s="73" t="s">
        <v>12</v>
      </c>
      <c r="C455" s="57" t="s">
        <v>2</v>
      </c>
      <c r="D455" s="57" t="s">
        <v>3</v>
      </c>
      <c r="E455" s="57" t="s">
        <v>4</v>
      </c>
      <c r="F455" s="57" t="s">
        <v>5</v>
      </c>
      <c r="G455" s="57" t="s">
        <v>6</v>
      </c>
      <c r="H455" s="57" t="s">
        <v>7</v>
      </c>
      <c r="I455" s="57" t="s">
        <v>8</v>
      </c>
      <c r="J455" s="57" t="s">
        <v>9</v>
      </c>
      <c r="K455" s="57" t="s">
        <v>10</v>
      </c>
      <c r="L455" s="57" t="s">
        <v>11</v>
      </c>
      <c r="M455" s="57" t="s">
        <v>13</v>
      </c>
      <c r="N455" s="10"/>
      <c r="O455" s="10"/>
    </row>
    <row r="456" spans="1:15" ht="15.6" x14ac:dyDescent="0.3">
      <c r="A456" s="72"/>
      <c r="B456" s="73"/>
      <c r="C456" s="3" t="str">
        <f t="shared" ref="C456:L456" si="80">VLOOKUP($A449,NotaIndividualPorAlunoFIS,RIGHT(C455,2)+1,0)</f>
        <v/>
      </c>
      <c r="D456" s="3" t="str">
        <f t="shared" si="80"/>
        <v/>
      </c>
      <c r="E456" s="3" t="str">
        <f t="shared" si="80"/>
        <v/>
      </c>
      <c r="F456" s="3" t="str">
        <f t="shared" si="80"/>
        <v/>
      </c>
      <c r="G456" s="3" t="str">
        <f t="shared" si="80"/>
        <v/>
      </c>
      <c r="H456" s="3" t="str">
        <f t="shared" si="80"/>
        <v/>
      </c>
      <c r="I456" s="3" t="str">
        <f t="shared" si="80"/>
        <v/>
      </c>
      <c r="J456" s="3" t="str">
        <f t="shared" si="80"/>
        <v/>
      </c>
      <c r="K456" s="3" t="str">
        <f t="shared" si="80"/>
        <v/>
      </c>
      <c r="L456" s="3" t="str">
        <f t="shared" si="80"/>
        <v/>
      </c>
      <c r="M456" s="19" t="str">
        <f>VLOOKUP($A449,NotaIndividualPorAlunoFIS,RIGHT(L455,2)+2,0)</f>
        <v/>
      </c>
      <c r="N456" s="10"/>
      <c r="O456" s="10"/>
    </row>
    <row r="457" spans="1:15" ht="15" customHeight="1" x14ac:dyDescent="0.3">
      <c r="A457" s="72"/>
      <c r="B457" s="12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0"/>
      <c r="O457" s="10"/>
    </row>
    <row r="458" spans="1:15" ht="15.6" x14ac:dyDescent="0.3">
      <c r="A458" s="72"/>
      <c r="B458" s="73" t="s">
        <v>16</v>
      </c>
      <c r="C458" s="23" t="s">
        <v>41</v>
      </c>
      <c r="D458" s="58" t="s">
        <v>42</v>
      </c>
      <c r="E458" s="23" t="s">
        <v>43</v>
      </c>
      <c r="F458" s="58" t="s">
        <v>44</v>
      </c>
      <c r="G458" s="23" t="s">
        <v>63</v>
      </c>
      <c r="H458" s="58" t="s">
        <v>32</v>
      </c>
      <c r="I458" s="14"/>
      <c r="J458" s="14"/>
      <c r="K458" s="14"/>
      <c r="L458" s="14"/>
      <c r="M458" s="15" t="s">
        <v>18</v>
      </c>
      <c r="N458" s="10"/>
      <c r="O458" s="10"/>
    </row>
    <row r="459" spans="1:15" ht="15.6" x14ac:dyDescent="0.3">
      <c r="A459" s="72"/>
      <c r="B459" s="73"/>
      <c r="C459" s="26" t="str">
        <f>VLOOKUP($A449,NotaIndividualPorAlunoRED,2,0)</f>
        <v/>
      </c>
      <c r="D459" s="26" t="str">
        <f>VLOOKUP($A449,NotaIndividualPorAlunoRED,3,0)</f>
        <v/>
      </c>
      <c r="E459" s="26" t="str">
        <f>VLOOKUP($A449,NotaIndividualPorAlunoRED,4,0)</f>
        <v/>
      </c>
      <c r="F459" s="26" t="str">
        <f>VLOOKUP($A449,NotaIndividualPorAlunoRED,5,0)</f>
        <v/>
      </c>
      <c r="G459" s="26" t="str">
        <f>VLOOKUP($A449,NotaIndividualPorAlunoRED,6,0)</f>
        <v/>
      </c>
      <c r="H459" s="21" t="str">
        <f>VLOOKUP($A449,NotaIndividualPorAlunoRED,7,0)</f>
        <v/>
      </c>
      <c r="I459" s="14"/>
      <c r="J459" s="14"/>
      <c r="K459" s="14"/>
      <c r="L459" s="14"/>
      <c r="M459" s="20" t="str">
        <f>VLOOKUP(A449,NOTAS!C:I,7,0)</f>
        <v/>
      </c>
      <c r="N459" s="10"/>
      <c r="O459" s="10"/>
    </row>
    <row r="460" spans="1:15" ht="15.75" customHeight="1" x14ac:dyDescent="0.3">
      <c r="A460" s="72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0"/>
      <c r="O460" s="10"/>
    </row>
    <row r="461" spans="1:15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</row>
    <row r="462" spans="1:15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</row>
    <row r="463" spans="1:15" x14ac:dyDescent="0.3">
      <c r="A463" s="58" t="s">
        <v>38</v>
      </c>
      <c r="B463" s="57" t="s">
        <v>35</v>
      </c>
      <c r="C463" s="57" t="s">
        <v>56</v>
      </c>
      <c r="D463" s="57" t="s">
        <v>57</v>
      </c>
      <c r="E463" s="57" t="s">
        <v>58</v>
      </c>
      <c r="F463" s="57" t="s">
        <v>59</v>
      </c>
      <c r="G463" s="57" t="s">
        <v>60</v>
      </c>
      <c r="H463" s="57" t="s">
        <v>36</v>
      </c>
      <c r="I463" s="57" t="s">
        <v>61</v>
      </c>
      <c r="J463" s="57" t="s">
        <v>34</v>
      </c>
      <c r="K463" s="57" t="s">
        <v>62</v>
      </c>
      <c r="L463" s="16" t="s">
        <v>33</v>
      </c>
      <c r="M463" s="57" t="s">
        <v>37</v>
      </c>
      <c r="N463" s="10"/>
      <c r="O463" s="10"/>
    </row>
    <row r="464" spans="1:15" ht="15.6" x14ac:dyDescent="0.3">
      <c r="A464" s="58" t="str" cm="1">
        <f t="array" ref="A464">IF(ISERROR(INDEX(ListaDeAlunos,(((ROW()-2)/17)+1),(COLUMN()+1))),"",INDEX(ListaDeAlunos,(((ROW()-2)/17)+1),(COLUMN()+1)))</f>
        <v/>
      </c>
      <c r="B464" s="17" t="str">
        <f>VLOOKUP($A464,NotaIndividualPorAlunoPROVAO,2,0)</f>
        <v/>
      </c>
      <c r="C464" s="18" t="str">
        <f>VLOOKUP($A464,NotaIndividualPorAlunoPROVAO,3,0)</f>
        <v/>
      </c>
      <c r="D464" s="17" t="str">
        <f>VLOOKUP($A464,NotaIndividualPorAlunoPROVAO,4,0)</f>
        <v/>
      </c>
      <c r="E464" s="18" t="str">
        <f>VLOOKUP($A464,NotaIndividualPorAlunoPROVAO,5,0)</f>
        <v/>
      </c>
      <c r="F464" s="17" t="str">
        <f>VLOOKUP($A464,NotaIndividualPorAlunoPROVAO,6,0)</f>
        <v/>
      </c>
      <c r="G464" s="18" t="str">
        <f>VLOOKUP($A464,NotaIndividualPorAlunoPROVAO,7,0)</f>
        <v/>
      </c>
      <c r="H464" s="17" t="str">
        <f>VLOOKUP($A464,NotaIndividualPorAlunoPROVAO,8,0)</f>
        <v/>
      </c>
      <c r="I464" s="18" t="str">
        <f>VLOOKUP($A464,NotaIndividualPorAlunoPROVAO,9,0)</f>
        <v/>
      </c>
      <c r="J464" s="17" t="str">
        <f>VLOOKUP($A464,NotaIndividualPorAlunoPROVAO,10,0)</f>
        <v/>
      </c>
      <c r="K464" s="18" t="str">
        <f>VLOOKUP($A464,NotaIndividualPorAlunoPROVAO,11,0)</f>
        <v/>
      </c>
      <c r="L464" s="15" t="str">
        <f>VLOOKUP($A464,NotaIndividualPorAlunoPROVAO,12,0)</f>
        <v/>
      </c>
      <c r="M464" s="25" t="str">
        <f>VLOOKUP($A464,NotaIndividualPorAlunoPROVAO,13,0)</f>
        <v/>
      </c>
      <c r="N464" s="10"/>
      <c r="O464" s="10"/>
    </row>
    <row r="465" spans="1:15" x14ac:dyDescent="0.3">
      <c r="N465" s="10"/>
      <c r="O465" s="10"/>
    </row>
    <row r="466" spans="1:15" x14ac:dyDescent="0.3">
      <c r="A466" s="72" t="str">
        <f>A464</f>
        <v/>
      </c>
      <c r="B466" s="73" t="s">
        <v>15</v>
      </c>
      <c r="C466" s="57" t="s">
        <v>2</v>
      </c>
      <c r="D466" s="57" t="s">
        <v>3</v>
      </c>
      <c r="E466" s="57" t="s">
        <v>4</v>
      </c>
      <c r="F466" s="57" t="s">
        <v>5</v>
      </c>
      <c r="G466" s="57" t="s">
        <v>6</v>
      </c>
      <c r="H466" s="57" t="s">
        <v>7</v>
      </c>
      <c r="I466" s="57" t="s">
        <v>8</v>
      </c>
      <c r="J466" s="57" t="s">
        <v>9</v>
      </c>
      <c r="K466" s="57" t="s">
        <v>10</v>
      </c>
      <c r="L466" s="57" t="s">
        <v>11</v>
      </c>
      <c r="M466" s="57" t="s">
        <v>13</v>
      </c>
      <c r="N466" s="10"/>
      <c r="O466" s="10"/>
    </row>
    <row r="467" spans="1:15" ht="15.6" x14ac:dyDescent="0.3">
      <c r="A467" s="72"/>
      <c r="B467" s="73"/>
      <c r="C467" s="5" t="str">
        <f t="shared" ref="C467:L467" si="81">VLOOKUP($A466,NotaIndividualPorAlunoMAT,RIGHT(C466,2)+1,0)</f>
        <v/>
      </c>
      <c r="D467" s="5" t="str">
        <f t="shared" si="81"/>
        <v/>
      </c>
      <c r="E467" s="5" t="str">
        <f t="shared" si="81"/>
        <v/>
      </c>
      <c r="F467" s="5" t="str">
        <f t="shared" si="81"/>
        <v/>
      </c>
      <c r="G467" s="5" t="str">
        <f t="shared" si="81"/>
        <v/>
      </c>
      <c r="H467" s="5" t="str">
        <f t="shared" si="81"/>
        <v/>
      </c>
      <c r="I467" s="5" t="str">
        <f t="shared" si="81"/>
        <v/>
      </c>
      <c r="J467" s="5" t="str">
        <f t="shared" si="81"/>
        <v/>
      </c>
      <c r="K467" s="5" t="str">
        <f t="shared" si="81"/>
        <v/>
      </c>
      <c r="L467" s="5" t="str">
        <f t="shared" si="81"/>
        <v/>
      </c>
      <c r="M467" s="19" t="str">
        <f>VLOOKUP($A466,NotaIndividualPorAlunoMAT,RIGHT(L466,2)+2,0)</f>
        <v/>
      </c>
      <c r="N467" s="10"/>
      <c r="O467" s="10"/>
    </row>
    <row r="468" spans="1:15" ht="15.75" customHeight="1" x14ac:dyDescent="0.3">
      <c r="A468" s="72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0"/>
      <c r="O468" s="10"/>
    </row>
    <row r="469" spans="1:15" x14ac:dyDescent="0.3">
      <c r="A469" s="72"/>
      <c r="B469" s="73" t="s">
        <v>14</v>
      </c>
      <c r="C469" s="57" t="s">
        <v>46</v>
      </c>
      <c r="D469" s="57" t="s">
        <v>47</v>
      </c>
      <c r="E469" s="57" t="s">
        <v>48</v>
      </c>
      <c r="F469" s="57" t="s">
        <v>49</v>
      </c>
      <c r="G469" s="57" t="s">
        <v>50</v>
      </c>
      <c r="H469" s="57" t="s">
        <v>51</v>
      </c>
      <c r="I469" s="57" t="s">
        <v>52</v>
      </c>
      <c r="J469" s="57" t="s">
        <v>53</v>
      </c>
      <c r="K469" s="57" t="s">
        <v>54</v>
      </c>
      <c r="L469" s="57" t="s">
        <v>55</v>
      </c>
      <c r="M469" s="57" t="s">
        <v>13</v>
      </c>
      <c r="N469" s="10"/>
      <c r="O469" s="10"/>
    </row>
    <row r="470" spans="1:15" ht="15.6" x14ac:dyDescent="0.3">
      <c r="A470" s="72"/>
      <c r="B470" s="73"/>
      <c r="C470" s="3" t="str">
        <f t="shared" ref="C470:L470" si="82">VLOOKUP($A466,NotaIndividualPorAlunoQUI,RIGHT(C469,2)-9,0)</f>
        <v/>
      </c>
      <c r="D470" s="3" t="str">
        <f t="shared" si="82"/>
        <v/>
      </c>
      <c r="E470" s="3" t="str">
        <f t="shared" si="82"/>
        <v/>
      </c>
      <c r="F470" s="3" t="str">
        <f t="shared" si="82"/>
        <v/>
      </c>
      <c r="G470" s="3" t="str">
        <f t="shared" si="82"/>
        <v/>
      </c>
      <c r="H470" s="3" t="str">
        <f t="shared" si="82"/>
        <v/>
      </c>
      <c r="I470" s="3" t="str">
        <f t="shared" si="82"/>
        <v/>
      </c>
      <c r="J470" s="3" t="str">
        <f t="shared" si="82"/>
        <v/>
      </c>
      <c r="K470" s="3" t="str">
        <f t="shared" si="82"/>
        <v/>
      </c>
      <c r="L470" s="3" t="str">
        <f t="shared" si="82"/>
        <v/>
      </c>
      <c r="M470" s="19" t="str">
        <f>VLOOKUP($A466,NotaIndividualPorAlunoQUI,RIGHT(L469,2)-8,0)</f>
        <v/>
      </c>
      <c r="N470" s="10"/>
      <c r="O470" s="10"/>
    </row>
    <row r="471" spans="1:15" ht="15.75" customHeight="1" x14ac:dyDescent="0.3">
      <c r="A471" s="72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0"/>
      <c r="O471" s="10"/>
    </row>
    <row r="472" spans="1:15" x14ac:dyDescent="0.3">
      <c r="A472" s="72"/>
      <c r="B472" s="73" t="s">
        <v>12</v>
      </c>
      <c r="C472" s="57" t="s">
        <v>2</v>
      </c>
      <c r="D472" s="57" t="s">
        <v>3</v>
      </c>
      <c r="E472" s="57" t="s">
        <v>4</v>
      </c>
      <c r="F472" s="57" t="s">
        <v>5</v>
      </c>
      <c r="G472" s="57" t="s">
        <v>6</v>
      </c>
      <c r="H472" s="57" t="s">
        <v>7</v>
      </c>
      <c r="I472" s="57" t="s">
        <v>8</v>
      </c>
      <c r="J472" s="57" t="s">
        <v>9</v>
      </c>
      <c r="K472" s="57" t="s">
        <v>10</v>
      </c>
      <c r="L472" s="57" t="s">
        <v>11</v>
      </c>
      <c r="M472" s="57" t="s">
        <v>13</v>
      </c>
      <c r="N472" s="10"/>
      <c r="O472" s="10"/>
    </row>
    <row r="473" spans="1:15" ht="15.6" x14ac:dyDescent="0.3">
      <c r="A473" s="72"/>
      <c r="B473" s="73"/>
      <c r="C473" s="3" t="str">
        <f t="shared" ref="C473:L473" si="83">VLOOKUP($A466,NotaIndividualPorAlunoFIS,RIGHT(C472,2)+1,0)</f>
        <v/>
      </c>
      <c r="D473" s="3" t="str">
        <f t="shared" si="83"/>
        <v/>
      </c>
      <c r="E473" s="3" t="str">
        <f t="shared" si="83"/>
        <v/>
      </c>
      <c r="F473" s="3" t="str">
        <f t="shared" si="83"/>
        <v/>
      </c>
      <c r="G473" s="3" t="str">
        <f t="shared" si="83"/>
        <v/>
      </c>
      <c r="H473" s="3" t="str">
        <f t="shared" si="83"/>
        <v/>
      </c>
      <c r="I473" s="3" t="str">
        <f t="shared" si="83"/>
        <v/>
      </c>
      <c r="J473" s="3" t="str">
        <f t="shared" si="83"/>
        <v/>
      </c>
      <c r="K473" s="3" t="str">
        <f t="shared" si="83"/>
        <v/>
      </c>
      <c r="L473" s="3" t="str">
        <f t="shared" si="83"/>
        <v/>
      </c>
      <c r="M473" s="19" t="str">
        <f>VLOOKUP($A466,NotaIndividualPorAlunoFIS,RIGHT(L472,2)+2,0)</f>
        <v/>
      </c>
      <c r="N473" s="10"/>
      <c r="O473" s="10"/>
    </row>
    <row r="474" spans="1:15" ht="15.75" customHeight="1" x14ac:dyDescent="0.3">
      <c r="A474" s="72"/>
      <c r="B474" s="12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0"/>
      <c r="O474" s="10"/>
    </row>
    <row r="475" spans="1:15" ht="15.6" x14ac:dyDescent="0.3">
      <c r="A475" s="72"/>
      <c r="B475" s="73" t="s">
        <v>16</v>
      </c>
      <c r="C475" s="23" t="s">
        <v>41</v>
      </c>
      <c r="D475" s="58" t="s">
        <v>42</v>
      </c>
      <c r="E475" s="23" t="s">
        <v>43</v>
      </c>
      <c r="F475" s="58" t="s">
        <v>44</v>
      </c>
      <c r="G475" s="23" t="s">
        <v>63</v>
      </c>
      <c r="H475" s="58" t="s">
        <v>32</v>
      </c>
      <c r="I475" s="14"/>
      <c r="J475" s="14"/>
      <c r="K475" s="14"/>
      <c r="L475" s="14"/>
      <c r="M475" s="15" t="s">
        <v>18</v>
      </c>
      <c r="N475" s="10"/>
      <c r="O475" s="10"/>
    </row>
    <row r="476" spans="1:15" ht="15.6" x14ac:dyDescent="0.3">
      <c r="A476" s="72"/>
      <c r="B476" s="73"/>
      <c r="C476" s="26" t="str">
        <f>VLOOKUP($A466,NotaIndividualPorAlunoRED,2,0)</f>
        <v/>
      </c>
      <c r="D476" s="26" t="str">
        <f>VLOOKUP($A466,NotaIndividualPorAlunoRED,3,0)</f>
        <v/>
      </c>
      <c r="E476" s="26" t="str">
        <f>VLOOKUP($A466,NotaIndividualPorAlunoRED,4,0)</f>
        <v/>
      </c>
      <c r="F476" s="26" t="str">
        <f>VLOOKUP($A466,NotaIndividualPorAlunoRED,5,0)</f>
        <v/>
      </c>
      <c r="G476" s="26" t="str">
        <f>VLOOKUP($A466,NotaIndividualPorAlunoRED,6,0)</f>
        <v/>
      </c>
      <c r="H476" s="21" t="str">
        <f>VLOOKUP($A466,NotaIndividualPorAlunoRED,7,0)</f>
        <v/>
      </c>
      <c r="I476" s="14"/>
      <c r="J476" s="14"/>
      <c r="K476" s="14"/>
      <c r="L476" s="14"/>
      <c r="M476" s="20" t="str">
        <f>VLOOKUP(A466,NOTAS!C:I,7,0)</f>
        <v/>
      </c>
      <c r="N476" s="10"/>
      <c r="O476" s="10"/>
    </row>
    <row r="477" spans="1:15" ht="15.75" customHeight="1" x14ac:dyDescent="0.3">
      <c r="A477" s="72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0"/>
      <c r="O477" s="10"/>
    </row>
    <row r="478" spans="1:15" x14ac:dyDescent="0.3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</row>
    <row r="479" spans="1:15" x14ac:dyDescent="0.3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</row>
    <row r="480" spans="1:15" x14ac:dyDescent="0.3">
      <c r="A480" s="58" t="s">
        <v>38</v>
      </c>
      <c r="B480" s="57" t="s">
        <v>35</v>
      </c>
      <c r="C480" s="57" t="s">
        <v>56</v>
      </c>
      <c r="D480" s="57" t="s">
        <v>57</v>
      </c>
      <c r="E480" s="57" t="s">
        <v>58</v>
      </c>
      <c r="F480" s="57" t="s">
        <v>59</v>
      </c>
      <c r="G480" s="57" t="s">
        <v>60</v>
      </c>
      <c r="H480" s="57" t="s">
        <v>36</v>
      </c>
      <c r="I480" s="57" t="s">
        <v>61</v>
      </c>
      <c r="J480" s="57" t="s">
        <v>34</v>
      </c>
      <c r="K480" s="57" t="s">
        <v>62</v>
      </c>
      <c r="L480" s="16" t="s">
        <v>33</v>
      </c>
      <c r="M480" s="57" t="s">
        <v>37</v>
      </c>
      <c r="N480" s="10"/>
      <c r="O480" s="10"/>
    </row>
    <row r="481" spans="1:15" ht="15.6" x14ac:dyDescent="0.3">
      <c r="A481" s="58" t="str" cm="1">
        <f t="array" ref="A481">IF(ISERROR(INDEX(ListaDeAlunos,(((ROW()-2)/17)+1),(COLUMN()+1))),"",INDEX(ListaDeAlunos,(((ROW()-2)/17)+1),(COLUMN()+1)))</f>
        <v/>
      </c>
      <c r="B481" s="17" t="str">
        <f>VLOOKUP($A481,NotaIndividualPorAlunoPROVAO,2,0)</f>
        <v/>
      </c>
      <c r="C481" s="18" t="str">
        <f>VLOOKUP($A481,NotaIndividualPorAlunoPROVAO,3,0)</f>
        <v/>
      </c>
      <c r="D481" s="17" t="str">
        <f>VLOOKUP($A481,NotaIndividualPorAlunoPROVAO,4,0)</f>
        <v/>
      </c>
      <c r="E481" s="18" t="str">
        <f>VLOOKUP($A481,NotaIndividualPorAlunoPROVAO,5,0)</f>
        <v/>
      </c>
      <c r="F481" s="17" t="str">
        <f>VLOOKUP($A481,NotaIndividualPorAlunoPROVAO,6,0)</f>
        <v/>
      </c>
      <c r="G481" s="18" t="str">
        <f>VLOOKUP($A481,NotaIndividualPorAlunoPROVAO,7,0)</f>
        <v/>
      </c>
      <c r="H481" s="17" t="str">
        <f>VLOOKUP($A481,NotaIndividualPorAlunoPROVAO,8,0)</f>
        <v/>
      </c>
      <c r="I481" s="18" t="str">
        <f>VLOOKUP($A481,NotaIndividualPorAlunoPROVAO,9,0)</f>
        <v/>
      </c>
      <c r="J481" s="17" t="str">
        <f>VLOOKUP($A481,NotaIndividualPorAlunoPROVAO,10,0)</f>
        <v/>
      </c>
      <c r="K481" s="18" t="str">
        <f>VLOOKUP($A481,NotaIndividualPorAlunoPROVAO,11,0)</f>
        <v/>
      </c>
      <c r="L481" s="15" t="str">
        <f>VLOOKUP($A481,NotaIndividualPorAlunoPROVAO,12,0)</f>
        <v/>
      </c>
      <c r="M481" s="25" t="str">
        <f>VLOOKUP($A481,NotaIndividualPorAlunoPROVAO,13,0)</f>
        <v/>
      </c>
      <c r="N481" s="10"/>
      <c r="O481" s="10"/>
    </row>
    <row r="482" spans="1:15" x14ac:dyDescent="0.3">
      <c r="N482" s="10"/>
      <c r="O482" s="10"/>
    </row>
    <row r="483" spans="1:15" x14ac:dyDescent="0.3">
      <c r="A483" s="72" t="str">
        <f>A481</f>
        <v/>
      </c>
      <c r="B483" s="73" t="s">
        <v>15</v>
      </c>
      <c r="C483" s="57" t="s">
        <v>2</v>
      </c>
      <c r="D483" s="57" t="s">
        <v>3</v>
      </c>
      <c r="E483" s="57" t="s">
        <v>4</v>
      </c>
      <c r="F483" s="57" t="s">
        <v>5</v>
      </c>
      <c r="G483" s="57" t="s">
        <v>6</v>
      </c>
      <c r="H483" s="57" t="s">
        <v>7</v>
      </c>
      <c r="I483" s="57" t="s">
        <v>8</v>
      </c>
      <c r="J483" s="57" t="s">
        <v>9</v>
      </c>
      <c r="K483" s="57" t="s">
        <v>10</v>
      </c>
      <c r="L483" s="57" t="s">
        <v>11</v>
      </c>
      <c r="M483" s="57" t="s">
        <v>13</v>
      </c>
      <c r="N483" s="10"/>
      <c r="O483" s="10"/>
    </row>
    <row r="484" spans="1:15" ht="15.6" x14ac:dyDescent="0.3">
      <c r="A484" s="72"/>
      <c r="B484" s="73"/>
      <c r="C484" s="5" t="str">
        <f t="shared" ref="C484:L484" si="84">VLOOKUP($A483,NotaIndividualPorAlunoMAT,RIGHT(C483,2)+1,0)</f>
        <v/>
      </c>
      <c r="D484" s="5" t="str">
        <f t="shared" si="84"/>
        <v/>
      </c>
      <c r="E484" s="5" t="str">
        <f t="shared" si="84"/>
        <v/>
      </c>
      <c r="F484" s="5" t="str">
        <f t="shared" si="84"/>
        <v/>
      </c>
      <c r="G484" s="5" t="str">
        <f t="shared" si="84"/>
        <v/>
      </c>
      <c r="H484" s="5" t="str">
        <f t="shared" si="84"/>
        <v/>
      </c>
      <c r="I484" s="5" t="str">
        <f t="shared" si="84"/>
        <v/>
      </c>
      <c r="J484" s="5" t="str">
        <f t="shared" si="84"/>
        <v/>
      </c>
      <c r="K484" s="5" t="str">
        <f t="shared" si="84"/>
        <v/>
      </c>
      <c r="L484" s="5" t="str">
        <f t="shared" si="84"/>
        <v/>
      </c>
      <c r="M484" s="19" t="str">
        <f>VLOOKUP($A483,NotaIndividualPorAlunoMAT,RIGHT(L483,2)+2,0)</f>
        <v/>
      </c>
      <c r="N484" s="10"/>
      <c r="O484" s="10"/>
    </row>
    <row r="485" spans="1:15" x14ac:dyDescent="0.3">
      <c r="A485" s="72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0"/>
      <c r="O485" s="10"/>
    </row>
    <row r="486" spans="1:15" x14ac:dyDescent="0.3">
      <c r="A486" s="72"/>
      <c r="B486" s="73" t="s">
        <v>14</v>
      </c>
      <c r="C486" s="57" t="s">
        <v>46</v>
      </c>
      <c r="D486" s="57" t="s">
        <v>47</v>
      </c>
      <c r="E486" s="57" t="s">
        <v>48</v>
      </c>
      <c r="F486" s="57" t="s">
        <v>49</v>
      </c>
      <c r="G486" s="57" t="s">
        <v>50</v>
      </c>
      <c r="H486" s="57" t="s">
        <v>51</v>
      </c>
      <c r="I486" s="57" t="s">
        <v>52</v>
      </c>
      <c r="J486" s="57" t="s">
        <v>53</v>
      </c>
      <c r="K486" s="57" t="s">
        <v>54</v>
      </c>
      <c r="L486" s="57" t="s">
        <v>55</v>
      </c>
      <c r="M486" s="57" t="s">
        <v>13</v>
      </c>
      <c r="N486" s="10"/>
      <c r="O486" s="10"/>
    </row>
    <row r="487" spans="1:15" ht="15.6" x14ac:dyDescent="0.3">
      <c r="A487" s="72"/>
      <c r="B487" s="73"/>
      <c r="C487" s="3" t="str">
        <f t="shared" ref="C487:L487" si="85">VLOOKUP($A483,NotaIndividualPorAlunoQUI,RIGHT(C486,2)-9,0)</f>
        <v/>
      </c>
      <c r="D487" s="3" t="str">
        <f t="shared" si="85"/>
        <v/>
      </c>
      <c r="E487" s="3" t="str">
        <f t="shared" si="85"/>
        <v/>
      </c>
      <c r="F487" s="3" t="str">
        <f t="shared" si="85"/>
        <v/>
      </c>
      <c r="G487" s="3" t="str">
        <f t="shared" si="85"/>
        <v/>
      </c>
      <c r="H487" s="3" t="str">
        <f t="shared" si="85"/>
        <v/>
      </c>
      <c r="I487" s="3" t="str">
        <f t="shared" si="85"/>
        <v/>
      </c>
      <c r="J487" s="3" t="str">
        <f t="shared" si="85"/>
        <v/>
      </c>
      <c r="K487" s="3" t="str">
        <f t="shared" si="85"/>
        <v/>
      </c>
      <c r="L487" s="3" t="str">
        <f t="shared" si="85"/>
        <v/>
      </c>
      <c r="M487" s="19" t="str">
        <f>VLOOKUP($A483,NotaIndividualPorAlunoQUI,RIGHT(L486,2)-8,0)</f>
        <v/>
      </c>
      <c r="N487" s="10"/>
      <c r="O487" s="10"/>
    </row>
    <row r="488" spans="1:15" x14ac:dyDescent="0.3">
      <c r="A488" s="72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0"/>
      <c r="O488" s="10"/>
    </row>
    <row r="489" spans="1:15" x14ac:dyDescent="0.3">
      <c r="A489" s="72"/>
      <c r="B489" s="73" t="s">
        <v>12</v>
      </c>
      <c r="C489" s="57" t="s">
        <v>2</v>
      </c>
      <c r="D489" s="57" t="s">
        <v>3</v>
      </c>
      <c r="E489" s="57" t="s">
        <v>4</v>
      </c>
      <c r="F489" s="57" t="s">
        <v>5</v>
      </c>
      <c r="G489" s="57" t="s">
        <v>6</v>
      </c>
      <c r="H489" s="57" t="s">
        <v>7</v>
      </c>
      <c r="I489" s="57" t="s">
        <v>8</v>
      </c>
      <c r="J489" s="57" t="s">
        <v>9</v>
      </c>
      <c r="K489" s="57" t="s">
        <v>10</v>
      </c>
      <c r="L489" s="57" t="s">
        <v>11</v>
      </c>
      <c r="M489" s="57" t="s">
        <v>13</v>
      </c>
      <c r="N489" s="10"/>
      <c r="O489" s="10"/>
    </row>
    <row r="490" spans="1:15" ht="15.6" x14ac:dyDescent="0.3">
      <c r="A490" s="72"/>
      <c r="B490" s="73"/>
      <c r="C490" s="3" t="str">
        <f t="shared" ref="C490:L490" si="86">VLOOKUP($A483,NotaIndividualPorAlunoFIS,RIGHT(C489,2)+1,0)</f>
        <v/>
      </c>
      <c r="D490" s="3" t="str">
        <f t="shared" si="86"/>
        <v/>
      </c>
      <c r="E490" s="3" t="str">
        <f t="shared" si="86"/>
        <v/>
      </c>
      <c r="F490" s="3" t="str">
        <f t="shared" si="86"/>
        <v/>
      </c>
      <c r="G490" s="3" t="str">
        <f t="shared" si="86"/>
        <v/>
      </c>
      <c r="H490" s="3" t="str">
        <f t="shared" si="86"/>
        <v/>
      </c>
      <c r="I490" s="3" t="str">
        <f t="shared" si="86"/>
        <v/>
      </c>
      <c r="J490" s="3" t="str">
        <f t="shared" si="86"/>
        <v/>
      </c>
      <c r="K490" s="3" t="str">
        <f t="shared" si="86"/>
        <v/>
      </c>
      <c r="L490" s="3" t="str">
        <f t="shared" si="86"/>
        <v/>
      </c>
      <c r="M490" s="19" t="str">
        <f>VLOOKUP($A483,NotaIndividualPorAlunoFIS,RIGHT(L489,2)+2,0)</f>
        <v/>
      </c>
      <c r="N490" s="10"/>
      <c r="O490" s="10"/>
    </row>
    <row r="491" spans="1:15" ht="15.6" x14ac:dyDescent="0.3">
      <c r="A491" s="72"/>
      <c r="B491" s="12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0"/>
      <c r="O491" s="10"/>
    </row>
    <row r="492" spans="1:15" ht="15.6" x14ac:dyDescent="0.3">
      <c r="A492" s="72"/>
      <c r="B492" s="73" t="s">
        <v>16</v>
      </c>
      <c r="C492" s="23" t="s">
        <v>41</v>
      </c>
      <c r="D492" s="58" t="s">
        <v>42</v>
      </c>
      <c r="E492" s="23" t="s">
        <v>43</v>
      </c>
      <c r="F492" s="58" t="s">
        <v>44</v>
      </c>
      <c r="G492" s="23" t="s">
        <v>63</v>
      </c>
      <c r="H492" s="58" t="s">
        <v>32</v>
      </c>
      <c r="I492" s="14"/>
      <c r="J492" s="14"/>
      <c r="K492" s="14"/>
      <c r="L492" s="14"/>
      <c r="M492" s="15" t="s">
        <v>18</v>
      </c>
      <c r="N492" s="10"/>
      <c r="O492" s="10"/>
    </row>
    <row r="493" spans="1:15" ht="15.6" x14ac:dyDescent="0.3">
      <c r="A493" s="72"/>
      <c r="B493" s="73"/>
      <c r="C493" s="26" t="str">
        <f>VLOOKUP($A483,NotaIndividualPorAlunoRED,2,0)</f>
        <v/>
      </c>
      <c r="D493" s="26" t="str">
        <f>VLOOKUP($A483,NotaIndividualPorAlunoRED,3,0)</f>
        <v/>
      </c>
      <c r="E493" s="26" t="str">
        <f>VLOOKUP($A483,NotaIndividualPorAlunoRED,4,0)</f>
        <v/>
      </c>
      <c r="F493" s="26" t="str">
        <f>VLOOKUP($A483,NotaIndividualPorAlunoRED,5,0)</f>
        <v/>
      </c>
      <c r="G493" s="26" t="str">
        <f>VLOOKUP($A483,NotaIndividualPorAlunoRED,6,0)</f>
        <v/>
      </c>
      <c r="H493" s="21" t="str">
        <f>VLOOKUP($A483,NotaIndividualPorAlunoRED,7,0)</f>
        <v/>
      </c>
      <c r="I493" s="14"/>
      <c r="J493" s="14"/>
      <c r="K493" s="14"/>
      <c r="L493" s="14"/>
      <c r="M493" s="20" t="str">
        <f>VLOOKUP(A483,NOTAS!C:I,7,0)</f>
        <v/>
      </c>
      <c r="N493" s="10"/>
      <c r="O493" s="10"/>
    </row>
    <row r="494" spans="1:15" x14ac:dyDescent="0.3">
      <c r="A494" s="72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0"/>
      <c r="O494" s="10"/>
    </row>
    <row r="495" spans="1:15" x14ac:dyDescent="0.3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</row>
    <row r="496" spans="1:15" x14ac:dyDescent="0.3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</row>
    <row r="497" spans="1:15" x14ac:dyDescent="0.3">
      <c r="A497" s="58" t="s">
        <v>38</v>
      </c>
      <c r="B497" s="57" t="s">
        <v>35</v>
      </c>
      <c r="C497" s="57" t="s">
        <v>56</v>
      </c>
      <c r="D497" s="57" t="s">
        <v>57</v>
      </c>
      <c r="E497" s="57" t="s">
        <v>58</v>
      </c>
      <c r="F497" s="57" t="s">
        <v>59</v>
      </c>
      <c r="G497" s="57" t="s">
        <v>60</v>
      </c>
      <c r="H497" s="57" t="s">
        <v>36</v>
      </c>
      <c r="I497" s="57" t="s">
        <v>61</v>
      </c>
      <c r="J497" s="57" t="s">
        <v>34</v>
      </c>
      <c r="K497" s="57" t="s">
        <v>62</v>
      </c>
      <c r="L497" s="16" t="s">
        <v>33</v>
      </c>
      <c r="M497" s="57" t="s">
        <v>37</v>
      </c>
      <c r="N497" s="10"/>
      <c r="O497" s="10"/>
    </row>
    <row r="498" spans="1:15" ht="15.6" x14ac:dyDescent="0.3">
      <c r="A498" s="58" t="str" cm="1">
        <f t="array" ref="A498">IF(ISERROR(INDEX(ListaDeAlunos,(((ROW()-2)/17)+1),(COLUMN()+1))),"",INDEX(ListaDeAlunos,(((ROW()-2)/17)+1),(COLUMN()+1)))</f>
        <v/>
      </c>
      <c r="B498" s="17" t="str">
        <f>VLOOKUP($A498,NotaIndividualPorAlunoPROVAO,2,0)</f>
        <v/>
      </c>
      <c r="C498" s="18" t="str">
        <f>VLOOKUP($A498,NotaIndividualPorAlunoPROVAO,3,0)</f>
        <v/>
      </c>
      <c r="D498" s="17" t="str">
        <f>VLOOKUP($A498,NotaIndividualPorAlunoPROVAO,4,0)</f>
        <v/>
      </c>
      <c r="E498" s="18" t="str">
        <f>VLOOKUP($A498,NotaIndividualPorAlunoPROVAO,5,0)</f>
        <v/>
      </c>
      <c r="F498" s="17" t="str">
        <f>VLOOKUP($A498,NotaIndividualPorAlunoPROVAO,6,0)</f>
        <v/>
      </c>
      <c r="G498" s="18" t="str">
        <f>VLOOKUP($A498,NotaIndividualPorAlunoPROVAO,7,0)</f>
        <v/>
      </c>
      <c r="H498" s="17" t="str">
        <f>VLOOKUP($A498,NotaIndividualPorAlunoPROVAO,8,0)</f>
        <v/>
      </c>
      <c r="I498" s="18" t="str">
        <f>VLOOKUP($A498,NotaIndividualPorAlunoPROVAO,9,0)</f>
        <v/>
      </c>
      <c r="J498" s="17" t="str">
        <f>VLOOKUP($A498,NotaIndividualPorAlunoPROVAO,10,0)</f>
        <v/>
      </c>
      <c r="K498" s="18" t="str">
        <f>VLOOKUP($A498,NotaIndividualPorAlunoPROVAO,11,0)</f>
        <v/>
      </c>
      <c r="L498" s="15" t="str">
        <f>VLOOKUP($A498,NotaIndividualPorAlunoPROVAO,12,0)</f>
        <v/>
      </c>
      <c r="M498" s="25" t="str">
        <f>VLOOKUP($A498,NotaIndividualPorAlunoPROVAO,13,0)</f>
        <v/>
      </c>
      <c r="N498" s="10"/>
      <c r="O498" s="10"/>
    </row>
    <row r="499" spans="1:15" x14ac:dyDescent="0.3">
      <c r="N499" s="10"/>
      <c r="O499" s="10"/>
    </row>
    <row r="500" spans="1:15" x14ac:dyDescent="0.3">
      <c r="A500" s="72" t="str">
        <f>A498</f>
        <v/>
      </c>
      <c r="B500" s="73" t="s">
        <v>15</v>
      </c>
      <c r="C500" s="57" t="s">
        <v>2</v>
      </c>
      <c r="D500" s="57" t="s">
        <v>3</v>
      </c>
      <c r="E500" s="57" t="s">
        <v>4</v>
      </c>
      <c r="F500" s="57" t="s">
        <v>5</v>
      </c>
      <c r="G500" s="57" t="s">
        <v>6</v>
      </c>
      <c r="H500" s="57" t="s">
        <v>7</v>
      </c>
      <c r="I500" s="57" t="s">
        <v>8</v>
      </c>
      <c r="J500" s="57" t="s">
        <v>9</v>
      </c>
      <c r="K500" s="57" t="s">
        <v>10</v>
      </c>
      <c r="L500" s="57" t="s">
        <v>11</v>
      </c>
      <c r="M500" s="57" t="s">
        <v>13</v>
      </c>
      <c r="N500" s="10"/>
      <c r="O500" s="10"/>
    </row>
    <row r="501" spans="1:15" ht="15.6" x14ac:dyDescent="0.3">
      <c r="A501" s="72"/>
      <c r="B501" s="73"/>
      <c r="C501" s="5" t="str">
        <f t="shared" ref="C501:L501" si="87">VLOOKUP($A500,NotaIndividualPorAlunoMAT,RIGHT(C500,2)+1,0)</f>
        <v/>
      </c>
      <c r="D501" s="5" t="str">
        <f t="shared" si="87"/>
        <v/>
      </c>
      <c r="E501" s="5" t="str">
        <f t="shared" si="87"/>
        <v/>
      </c>
      <c r="F501" s="5" t="str">
        <f t="shared" si="87"/>
        <v/>
      </c>
      <c r="G501" s="5" t="str">
        <f t="shared" si="87"/>
        <v/>
      </c>
      <c r="H501" s="5" t="str">
        <f t="shared" si="87"/>
        <v/>
      </c>
      <c r="I501" s="5" t="str">
        <f t="shared" si="87"/>
        <v/>
      </c>
      <c r="J501" s="5" t="str">
        <f t="shared" si="87"/>
        <v/>
      </c>
      <c r="K501" s="5" t="str">
        <f t="shared" si="87"/>
        <v/>
      </c>
      <c r="L501" s="5" t="str">
        <f t="shared" si="87"/>
        <v/>
      </c>
      <c r="M501" s="19" t="str">
        <f>VLOOKUP($A500,NotaIndividualPorAlunoMAT,RIGHT(L500,2)+2,0)</f>
        <v/>
      </c>
      <c r="N501" s="10"/>
      <c r="O501" s="10"/>
    </row>
    <row r="502" spans="1:15" x14ac:dyDescent="0.3">
      <c r="A502" s="72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0"/>
      <c r="O502" s="10"/>
    </row>
    <row r="503" spans="1:15" x14ac:dyDescent="0.3">
      <c r="A503" s="72"/>
      <c r="B503" s="73" t="s">
        <v>14</v>
      </c>
      <c r="C503" s="57" t="s">
        <v>46</v>
      </c>
      <c r="D503" s="57" t="s">
        <v>47</v>
      </c>
      <c r="E503" s="57" t="s">
        <v>48</v>
      </c>
      <c r="F503" s="57" t="s">
        <v>49</v>
      </c>
      <c r="G503" s="57" t="s">
        <v>50</v>
      </c>
      <c r="H503" s="57" t="s">
        <v>51</v>
      </c>
      <c r="I503" s="57" t="s">
        <v>52</v>
      </c>
      <c r="J503" s="57" t="s">
        <v>53</v>
      </c>
      <c r="K503" s="57" t="s">
        <v>54</v>
      </c>
      <c r="L503" s="57" t="s">
        <v>55</v>
      </c>
      <c r="M503" s="57" t="s">
        <v>13</v>
      </c>
      <c r="N503" s="10"/>
      <c r="O503" s="10"/>
    </row>
    <row r="504" spans="1:15" ht="15.6" x14ac:dyDescent="0.3">
      <c r="A504" s="72"/>
      <c r="B504" s="73"/>
      <c r="C504" s="3" t="str">
        <f t="shared" ref="C504:L504" si="88">VLOOKUP($A500,NotaIndividualPorAlunoQUI,RIGHT(C503,2)-9,0)</f>
        <v/>
      </c>
      <c r="D504" s="3" t="str">
        <f t="shared" si="88"/>
        <v/>
      </c>
      <c r="E504" s="3" t="str">
        <f t="shared" si="88"/>
        <v/>
      </c>
      <c r="F504" s="3" t="str">
        <f t="shared" si="88"/>
        <v/>
      </c>
      <c r="G504" s="3" t="str">
        <f t="shared" si="88"/>
        <v/>
      </c>
      <c r="H504" s="3" t="str">
        <f t="shared" si="88"/>
        <v/>
      </c>
      <c r="I504" s="3" t="str">
        <f t="shared" si="88"/>
        <v/>
      </c>
      <c r="J504" s="3" t="str">
        <f t="shared" si="88"/>
        <v/>
      </c>
      <c r="K504" s="3" t="str">
        <f t="shared" si="88"/>
        <v/>
      </c>
      <c r="L504" s="3" t="str">
        <f t="shared" si="88"/>
        <v/>
      </c>
      <c r="M504" s="19" t="str">
        <f>VLOOKUP($A500,NotaIndividualPorAlunoQUI,RIGHT(L503,2)-8,0)</f>
        <v/>
      </c>
      <c r="N504" s="10"/>
      <c r="O504" s="10"/>
    </row>
    <row r="505" spans="1:15" x14ac:dyDescent="0.3">
      <c r="A505" s="72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0"/>
      <c r="O505" s="10"/>
    </row>
    <row r="506" spans="1:15" x14ac:dyDescent="0.3">
      <c r="A506" s="72"/>
      <c r="B506" s="73" t="s">
        <v>12</v>
      </c>
      <c r="C506" s="57" t="s">
        <v>2</v>
      </c>
      <c r="D506" s="57" t="s">
        <v>3</v>
      </c>
      <c r="E506" s="57" t="s">
        <v>4</v>
      </c>
      <c r="F506" s="57" t="s">
        <v>5</v>
      </c>
      <c r="G506" s="57" t="s">
        <v>6</v>
      </c>
      <c r="H506" s="57" t="s">
        <v>7</v>
      </c>
      <c r="I506" s="57" t="s">
        <v>8</v>
      </c>
      <c r="J506" s="57" t="s">
        <v>9</v>
      </c>
      <c r="K506" s="57" t="s">
        <v>10</v>
      </c>
      <c r="L506" s="57" t="s">
        <v>11</v>
      </c>
      <c r="M506" s="57" t="s">
        <v>13</v>
      </c>
      <c r="N506" s="10"/>
      <c r="O506" s="10"/>
    </row>
    <row r="507" spans="1:15" ht="15.6" x14ac:dyDescent="0.3">
      <c r="A507" s="72"/>
      <c r="B507" s="73"/>
      <c r="C507" s="3" t="str">
        <f t="shared" ref="C507:L507" si="89">VLOOKUP($A500,NotaIndividualPorAlunoFIS,RIGHT(C506,2)+1,0)</f>
        <v/>
      </c>
      <c r="D507" s="3" t="str">
        <f t="shared" si="89"/>
        <v/>
      </c>
      <c r="E507" s="3" t="str">
        <f t="shared" si="89"/>
        <v/>
      </c>
      <c r="F507" s="3" t="str">
        <f t="shared" si="89"/>
        <v/>
      </c>
      <c r="G507" s="3" t="str">
        <f t="shared" si="89"/>
        <v/>
      </c>
      <c r="H507" s="3" t="str">
        <f t="shared" si="89"/>
        <v/>
      </c>
      <c r="I507" s="3" t="str">
        <f t="shared" si="89"/>
        <v/>
      </c>
      <c r="J507" s="3" t="str">
        <f t="shared" si="89"/>
        <v/>
      </c>
      <c r="K507" s="3" t="str">
        <f t="shared" si="89"/>
        <v/>
      </c>
      <c r="L507" s="3" t="str">
        <f t="shared" si="89"/>
        <v/>
      </c>
      <c r="M507" s="19" t="str">
        <f>VLOOKUP($A500,NotaIndividualPorAlunoFIS,RIGHT(L506,2)+2,0)</f>
        <v/>
      </c>
      <c r="N507" s="10"/>
      <c r="O507" s="10"/>
    </row>
    <row r="508" spans="1:15" ht="15.6" x14ac:dyDescent="0.3">
      <c r="A508" s="72"/>
      <c r="B508" s="12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0"/>
      <c r="O508" s="10"/>
    </row>
    <row r="509" spans="1:15" ht="15.6" x14ac:dyDescent="0.3">
      <c r="A509" s="72"/>
      <c r="B509" s="73" t="s">
        <v>16</v>
      </c>
      <c r="C509" s="23" t="s">
        <v>41</v>
      </c>
      <c r="D509" s="58" t="s">
        <v>42</v>
      </c>
      <c r="E509" s="23" t="s">
        <v>43</v>
      </c>
      <c r="F509" s="58" t="s">
        <v>44</v>
      </c>
      <c r="G509" s="23" t="s">
        <v>63</v>
      </c>
      <c r="H509" s="58" t="s">
        <v>32</v>
      </c>
      <c r="I509" s="14"/>
      <c r="J509" s="14"/>
      <c r="K509" s="14"/>
      <c r="L509" s="14"/>
      <c r="M509" s="15" t="s">
        <v>18</v>
      </c>
      <c r="N509" s="10"/>
      <c r="O509" s="10"/>
    </row>
    <row r="510" spans="1:15" ht="15.6" x14ac:dyDescent="0.3">
      <c r="A510" s="72"/>
      <c r="B510" s="73"/>
      <c r="C510" s="26" t="str">
        <f>VLOOKUP($A500,NotaIndividualPorAlunoRED,2,0)</f>
        <v/>
      </c>
      <c r="D510" s="26" t="str">
        <f>VLOOKUP($A500,NotaIndividualPorAlunoRED,3,0)</f>
        <v/>
      </c>
      <c r="E510" s="26" t="str">
        <f>VLOOKUP($A500,NotaIndividualPorAlunoRED,4,0)</f>
        <v/>
      </c>
      <c r="F510" s="26" t="str">
        <f>VLOOKUP($A500,NotaIndividualPorAlunoRED,5,0)</f>
        <v/>
      </c>
      <c r="G510" s="26" t="str">
        <f>VLOOKUP($A500,NotaIndividualPorAlunoRED,6,0)</f>
        <v/>
      </c>
      <c r="H510" s="21" t="str">
        <f>VLOOKUP($A500,NotaIndividualPorAlunoRED,7,0)</f>
        <v/>
      </c>
      <c r="I510" s="14"/>
      <c r="J510" s="14"/>
      <c r="K510" s="14"/>
      <c r="L510" s="14"/>
      <c r="M510" s="20" t="str">
        <f>VLOOKUP(A500,NOTAS!C:I,7,0)</f>
        <v/>
      </c>
      <c r="N510" s="10"/>
      <c r="O510" s="10"/>
    </row>
    <row r="511" spans="1:15" x14ac:dyDescent="0.3">
      <c r="A511" s="72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0"/>
      <c r="O511" s="10"/>
    </row>
    <row r="512" spans="1:15" x14ac:dyDescent="0.3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</row>
    <row r="513" spans="1:15" x14ac:dyDescent="0.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</row>
    <row r="514" spans="1:15" x14ac:dyDescent="0.3">
      <c r="A514" s="58" t="s">
        <v>38</v>
      </c>
      <c r="B514" s="57" t="s">
        <v>35</v>
      </c>
      <c r="C514" s="57" t="s">
        <v>56</v>
      </c>
      <c r="D514" s="57" t="s">
        <v>57</v>
      </c>
      <c r="E514" s="57" t="s">
        <v>58</v>
      </c>
      <c r="F514" s="57" t="s">
        <v>59</v>
      </c>
      <c r="G514" s="57" t="s">
        <v>60</v>
      </c>
      <c r="H514" s="57" t="s">
        <v>36</v>
      </c>
      <c r="I514" s="57" t="s">
        <v>61</v>
      </c>
      <c r="J514" s="57" t="s">
        <v>34</v>
      </c>
      <c r="K514" s="57" t="s">
        <v>62</v>
      </c>
      <c r="L514" s="16" t="s">
        <v>33</v>
      </c>
      <c r="M514" s="57" t="s">
        <v>37</v>
      </c>
      <c r="N514" s="10"/>
      <c r="O514" s="10"/>
    </row>
    <row r="515" spans="1:15" ht="15.6" x14ac:dyDescent="0.3">
      <c r="A515" s="58" t="str" cm="1">
        <f t="array" ref="A515">IF(ISERROR(INDEX(ListaDeAlunos,(((ROW()-2)/17)+1),(COLUMN()+1))),"",INDEX(ListaDeAlunos,(((ROW()-2)/17)+1),(COLUMN()+1)))</f>
        <v/>
      </c>
      <c r="B515" s="17" t="str">
        <f>VLOOKUP($A515,NotaIndividualPorAlunoPROVAO,2,0)</f>
        <v/>
      </c>
      <c r="C515" s="18" t="str">
        <f>VLOOKUP($A515,NotaIndividualPorAlunoPROVAO,3,0)</f>
        <v/>
      </c>
      <c r="D515" s="17" t="str">
        <f>VLOOKUP($A515,NotaIndividualPorAlunoPROVAO,4,0)</f>
        <v/>
      </c>
      <c r="E515" s="18" t="str">
        <f>VLOOKUP($A515,NotaIndividualPorAlunoPROVAO,5,0)</f>
        <v/>
      </c>
      <c r="F515" s="17" t="str">
        <f>VLOOKUP($A515,NotaIndividualPorAlunoPROVAO,6,0)</f>
        <v/>
      </c>
      <c r="G515" s="18" t="str">
        <f>VLOOKUP($A515,NotaIndividualPorAlunoPROVAO,7,0)</f>
        <v/>
      </c>
      <c r="H515" s="17" t="str">
        <f>VLOOKUP($A515,NotaIndividualPorAlunoPROVAO,8,0)</f>
        <v/>
      </c>
      <c r="I515" s="18" t="str">
        <f>VLOOKUP($A515,NotaIndividualPorAlunoPROVAO,9,0)</f>
        <v/>
      </c>
      <c r="J515" s="17" t="str">
        <f>VLOOKUP($A515,NotaIndividualPorAlunoPROVAO,10,0)</f>
        <v/>
      </c>
      <c r="K515" s="18" t="str">
        <f>VLOOKUP($A515,NotaIndividualPorAlunoPROVAO,11,0)</f>
        <v/>
      </c>
      <c r="L515" s="15" t="str">
        <f>VLOOKUP($A515,NotaIndividualPorAlunoPROVAO,12,0)</f>
        <v/>
      </c>
      <c r="M515" s="25" t="str">
        <f>VLOOKUP($A515,NotaIndividualPorAlunoPROVAO,13,0)</f>
        <v/>
      </c>
      <c r="N515" s="10"/>
      <c r="O515" s="10"/>
    </row>
    <row r="516" spans="1:15" x14ac:dyDescent="0.3">
      <c r="N516" s="10"/>
      <c r="O516" s="10"/>
    </row>
    <row r="517" spans="1:15" x14ac:dyDescent="0.3">
      <c r="A517" s="72" t="str">
        <f>A515</f>
        <v/>
      </c>
      <c r="B517" s="73" t="s">
        <v>15</v>
      </c>
      <c r="C517" s="57" t="s">
        <v>2</v>
      </c>
      <c r="D517" s="57" t="s">
        <v>3</v>
      </c>
      <c r="E517" s="57" t="s">
        <v>4</v>
      </c>
      <c r="F517" s="57" t="s">
        <v>5</v>
      </c>
      <c r="G517" s="57" t="s">
        <v>6</v>
      </c>
      <c r="H517" s="57" t="s">
        <v>7</v>
      </c>
      <c r="I517" s="57" t="s">
        <v>8</v>
      </c>
      <c r="J517" s="57" t="s">
        <v>9</v>
      </c>
      <c r="K517" s="57" t="s">
        <v>10</v>
      </c>
      <c r="L517" s="57" t="s">
        <v>11</v>
      </c>
      <c r="M517" s="57" t="s">
        <v>13</v>
      </c>
      <c r="N517" s="10"/>
      <c r="O517" s="10"/>
    </row>
    <row r="518" spans="1:15" ht="15.6" x14ac:dyDescent="0.3">
      <c r="A518" s="72"/>
      <c r="B518" s="73"/>
      <c r="C518" s="5" t="str">
        <f t="shared" ref="C518:L518" si="90">VLOOKUP($A517,NotaIndividualPorAlunoMAT,RIGHT(C517,2)+1,0)</f>
        <v/>
      </c>
      <c r="D518" s="5" t="str">
        <f t="shared" si="90"/>
        <v/>
      </c>
      <c r="E518" s="5" t="str">
        <f t="shared" si="90"/>
        <v/>
      </c>
      <c r="F518" s="5" t="str">
        <f t="shared" si="90"/>
        <v/>
      </c>
      <c r="G518" s="5" t="str">
        <f t="shared" si="90"/>
        <v/>
      </c>
      <c r="H518" s="5" t="str">
        <f t="shared" si="90"/>
        <v/>
      </c>
      <c r="I518" s="5" t="str">
        <f t="shared" si="90"/>
        <v/>
      </c>
      <c r="J518" s="5" t="str">
        <f t="shared" si="90"/>
        <v/>
      </c>
      <c r="K518" s="5" t="str">
        <f t="shared" si="90"/>
        <v/>
      </c>
      <c r="L518" s="5" t="str">
        <f t="shared" si="90"/>
        <v/>
      </c>
      <c r="M518" s="19" t="str">
        <f>VLOOKUP($A517,NotaIndividualPorAlunoMAT,RIGHT(L517,2)+2,0)</f>
        <v/>
      </c>
      <c r="N518" s="10"/>
      <c r="O518" s="10"/>
    </row>
    <row r="519" spans="1:15" x14ac:dyDescent="0.3">
      <c r="A519" s="72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0"/>
      <c r="O519" s="10"/>
    </row>
    <row r="520" spans="1:15" x14ac:dyDescent="0.3">
      <c r="A520" s="72"/>
      <c r="B520" s="73" t="s">
        <v>14</v>
      </c>
      <c r="C520" s="57" t="s">
        <v>46</v>
      </c>
      <c r="D520" s="57" t="s">
        <v>47</v>
      </c>
      <c r="E520" s="57" t="s">
        <v>48</v>
      </c>
      <c r="F520" s="57" t="s">
        <v>49</v>
      </c>
      <c r="G520" s="57" t="s">
        <v>50</v>
      </c>
      <c r="H520" s="57" t="s">
        <v>51</v>
      </c>
      <c r="I520" s="57" t="s">
        <v>52</v>
      </c>
      <c r="J520" s="57" t="s">
        <v>53</v>
      </c>
      <c r="K520" s="57" t="s">
        <v>54</v>
      </c>
      <c r="L520" s="57" t="s">
        <v>55</v>
      </c>
      <c r="M520" s="57" t="s">
        <v>13</v>
      </c>
      <c r="N520" s="10"/>
      <c r="O520" s="10"/>
    </row>
    <row r="521" spans="1:15" ht="15.6" x14ac:dyDescent="0.3">
      <c r="A521" s="72"/>
      <c r="B521" s="73"/>
      <c r="C521" s="3" t="str">
        <f t="shared" ref="C521:L521" si="91">VLOOKUP($A517,NotaIndividualPorAlunoQUI,RIGHT(C520,2)-9,0)</f>
        <v/>
      </c>
      <c r="D521" s="3" t="str">
        <f t="shared" si="91"/>
        <v/>
      </c>
      <c r="E521" s="3" t="str">
        <f t="shared" si="91"/>
        <v/>
      </c>
      <c r="F521" s="3" t="str">
        <f t="shared" si="91"/>
        <v/>
      </c>
      <c r="G521" s="3" t="str">
        <f t="shared" si="91"/>
        <v/>
      </c>
      <c r="H521" s="3" t="str">
        <f t="shared" si="91"/>
        <v/>
      </c>
      <c r="I521" s="3" t="str">
        <f t="shared" si="91"/>
        <v/>
      </c>
      <c r="J521" s="3" t="str">
        <f t="shared" si="91"/>
        <v/>
      </c>
      <c r="K521" s="3" t="str">
        <f t="shared" si="91"/>
        <v/>
      </c>
      <c r="L521" s="3" t="str">
        <f t="shared" si="91"/>
        <v/>
      </c>
      <c r="M521" s="19" t="str">
        <f>VLOOKUP($A517,NotaIndividualPorAlunoQUI,RIGHT(L520,2)-8,0)</f>
        <v/>
      </c>
      <c r="N521" s="10"/>
      <c r="O521" s="10"/>
    </row>
    <row r="522" spans="1:15" x14ac:dyDescent="0.3">
      <c r="A522" s="72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0"/>
      <c r="O522" s="10"/>
    </row>
    <row r="523" spans="1:15" x14ac:dyDescent="0.3">
      <c r="A523" s="72"/>
      <c r="B523" s="73" t="s">
        <v>12</v>
      </c>
      <c r="C523" s="57" t="s">
        <v>2</v>
      </c>
      <c r="D523" s="57" t="s">
        <v>3</v>
      </c>
      <c r="E523" s="57" t="s">
        <v>4</v>
      </c>
      <c r="F523" s="57" t="s">
        <v>5</v>
      </c>
      <c r="G523" s="57" t="s">
        <v>6</v>
      </c>
      <c r="H523" s="57" t="s">
        <v>7</v>
      </c>
      <c r="I523" s="57" t="s">
        <v>8</v>
      </c>
      <c r="J523" s="57" t="s">
        <v>9</v>
      </c>
      <c r="K523" s="57" t="s">
        <v>10</v>
      </c>
      <c r="L523" s="57" t="s">
        <v>11</v>
      </c>
      <c r="M523" s="57" t="s">
        <v>13</v>
      </c>
      <c r="N523" s="10"/>
      <c r="O523" s="10"/>
    </row>
    <row r="524" spans="1:15" ht="15.6" x14ac:dyDescent="0.3">
      <c r="A524" s="72"/>
      <c r="B524" s="73"/>
      <c r="C524" s="3" t="str">
        <f t="shared" ref="C524:L524" si="92">VLOOKUP($A517,NotaIndividualPorAlunoFIS,RIGHT(C523,2)+1,0)</f>
        <v/>
      </c>
      <c r="D524" s="3" t="str">
        <f t="shared" si="92"/>
        <v/>
      </c>
      <c r="E524" s="3" t="str">
        <f t="shared" si="92"/>
        <v/>
      </c>
      <c r="F524" s="3" t="str">
        <f t="shared" si="92"/>
        <v/>
      </c>
      <c r="G524" s="3" t="str">
        <f t="shared" si="92"/>
        <v/>
      </c>
      <c r="H524" s="3" t="str">
        <f t="shared" si="92"/>
        <v/>
      </c>
      <c r="I524" s="3" t="str">
        <f t="shared" si="92"/>
        <v/>
      </c>
      <c r="J524" s="3" t="str">
        <f t="shared" si="92"/>
        <v/>
      </c>
      <c r="K524" s="3" t="str">
        <f t="shared" si="92"/>
        <v/>
      </c>
      <c r="L524" s="3" t="str">
        <f t="shared" si="92"/>
        <v/>
      </c>
      <c r="M524" s="19" t="str">
        <f>VLOOKUP($A517,NotaIndividualPorAlunoFIS,RIGHT(L523,2)+2,0)</f>
        <v/>
      </c>
      <c r="N524" s="10"/>
      <c r="O524" s="10"/>
    </row>
    <row r="525" spans="1:15" ht="15.6" x14ac:dyDescent="0.3">
      <c r="A525" s="72"/>
      <c r="B525" s="12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0"/>
      <c r="O525" s="10"/>
    </row>
    <row r="526" spans="1:15" ht="15.6" x14ac:dyDescent="0.3">
      <c r="A526" s="72"/>
      <c r="B526" s="73" t="s">
        <v>16</v>
      </c>
      <c r="C526" s="23" t="s">
        <v>41</v>
      </c>
      <c r="D526" s="58" t="s">
        <v>42</v>
      </c>
      <c r="E526" s="23" t="s">
        <v>43</v>
      </c>
      <c r="F526" s="58" t="s">
        <v>44</v>
      </c>
      <c r="G526" s="23" t="s">
        <v>63</v>
      </c>
      <c r="H526" s="58" t="s">
        <v>32</v>
      </c>
      <c r="I526" s="14"/>
      <c r="J526" s="14"/>
      <c r="K526" s="14"/>
      <c r="L526" s="14"/>
      <c r="M526" s="15" t="s">
        <v>18</v>
      </c>
      <c r="N526" s="10"/>
      <c r="O526" s="10"/>
    </row>
    <row r="527" spans="1:15" ht="15.6" x14ac:dyDescent="0.3">
      <c r="A527" s="72"/>
      <c r="B527" s="73"/>
      <c r="C527" s="26" t="str">
        <f>VLOOKUP($A517,NotaIndividualPorAlunoRED,2,0)</f>
        <v/>
      </c>
      <c r="D527" s="26" t="str">
        <f>VLOOKUP($A517,NotaIndividualPorAlunoRED,3,0)</f>
        <v/>
      </c>
      <c r="E527" s="26" t="str">
        <f>VLOOKUP($A517,NotaIndividualPorAlunoRED,4,0)</f>
        <v/>
      </c>
      <c r="F527" s="26" t="str">
        <f>VLOOKUP($A517,NotaIndividualPorAlunoRED,5,0)</f>
        <v/>
      </c>
      <c r="G527" s="26" t="str">
        <f>VLOOKUP($A517,NotaIndividualPorAlunoRED,6,0)</f>
        <v/>
      </c>
      <c r="H527" s="21" t="str">
        <f>VLOOKUP($A517,NotaIndividualPorAlunoRED,7,0)</f>
        <v/>
      </c>
      <c r="I527" s="14"/>
      <c r="J527" s="14"/>
      <c r="K527" s="14"/>
      <c r="L527" s="14"/>
      <c r="M527" s="20" t="str">
        <f>VLOOKUP(A517,NOTAS!C:I,7,0)</f>
        <v/>
      </c>
      <c r="N527" s="10"/>
      <c r="O527" s="10"/>
    </row>
    <row r="528" spans="1:15" x14ac:dyDescent="0.3">
      <c r="A528" s="72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0"/>
      <c r="O528" s="10"/>
    </row>
    <row r="529" spans="1:15" x14ac:dyDescent="0.3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</row>
    <row r="530" spans="1:15" x14ac:dyDescent="0.3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</row>
    <row r="531" spans="1:15" x14ac:dyDescent="0.3">
      <c r="A531" s="58" t="s">
        <v>38</v>
      </c>
      <c r="B531" s="57" t="s">
        <v>35</v>
      </c>
      <c r="C531" s="57" t="s">
        <v>56</v>
      </c>
      <c r="D531" s="57" t="s">
        <v>57</v>
      </c>
      <c r="E531" s="57" t="s">
        <v>58</v>
      </c>
      <c r="F531" s="57" t="s">
        <v>59</v>
      </c>
      <c r="G531" s="57" t="s">
        <v>60</v>
      </c>
      <c r="H531" s="57" t="s">
        <v>36</v>
      </c>
      <c r="I531" s="57" t="s">
        <v>61</v>
      </c>
      <c r="J531" s="57" t="s">
        <v>34</v>
      </c>
      <c r="K531" s="57" t="s">
        <v>62</v>
      </c>
      <c r="L531" s="16" t="s">
        <v>33</v>
      </c>
      <c r="M531" s="57" t="s">
        <v>37</v>
      </c>
      <c r="N531" s="10"/>
      <c r="O531" s="10"/>
    </row>
    <row r="532" spans="1:15" ht="15.6" x14ac:dyDescent="0.3">
      <c r="A532" s="58" t="str" cm="1">
        <f t="array" ref="A532">IF(ISERROR(INDEX(ListaDeAlunos,(((ROW()-2)/17)+1),(COLUMN()+1))),"",INDEX(ListaDeAlunos,(((ROW()-2)/17)+1),(COLUMN()+1)))</f>
        <v/>
      </c>
      <c r="B532" s="17" t="str">
        <f>VLOOKUP($A532,NotaIndividualPorAlunoPROVAO,2,0)</f>
        <v/>
      </c>
      <c r="C532" s="18" t="str">
        <f>VLOOKUP($A532,NotaIndividualPorAlunoPROVAO,3,0)</f>
        <v/>
      </c>
      <c r="D532" s="17" t="str">
        <f>VLOOKUP($A532,NotaIndividualPorAlunoPROVAO,4,0)</f>
        <v/>
      </c>
      <c r="E532" s="18" t="str">
        <f>VLOOKUP($A532,NotaIndividualPorAlunoPROVAO,5,0)</f>
        <v/>
      </c>
      <c r="F532" s="17" t="str">
        <f>VLOOKUP($A532,NotaIndividualPorAlunoPROVAO,6,0)</f>
        <v/>
      </c>
      <c r="G532" s="18" t="str">
        <f>VLOOKUP($A532,NotaIndividualPorAlunoPROVAO,7,0)</f>
        <v/>
      </c>
      <c r="H532" s="17" t="str">
        <f>VLOOKUP($A532,NotaIndividualPorAlunoPROVAO,8,0)</f>
        <v/>
      </c>
      <c r="I532" s="18" t="str">
        <f>VLOOKUP($A532,NotaIndividualPorAlunoPROVAO,9,0)</f>
        <v/>
      </c>
      <c r="J532" s="17" t="str">
        <f>VLOOKUP($A532,NotaIndividualPorAlunoPROVAO,10,0)</f>
        <v/>
      </c>
      <c r="K532" s="18" t="str">
        <f>VLOOKUP($A532,NotaIndividualPorAlunoPROVAO,11,0)</f>
        <v/>
      </c>
      <c r="L532" s="15" t="str">
        <f>VLOOKUP($A532,NotaIndividualPorAlunoPROVAO,12,0)</f>
        <v/>
      </c>
      <c r="M532" s="25" t="str">
        <f>VLOOKUP($A532,NotaIndividualPorAlunoPROVAO,13,0)</f>
        <v/>
      </c>
      <c r="N532" s="10"/>
      <c r="O532" s="10"/>
    </row>
    <row r="533" spans="1:15" x14ac:dyDescent="0.3">
      <c r="N533" s="10"/>
      <c r="O533" s="10"/>
    </row>
    <row r="534" spans="1:15" x14ac:dyDescent="0.3">
      <c r="A534" s="72" t="str">
        <f>A532</f>
        <v/>
      </c>
      <c r="B534" s="73" t="s">
        <v>15</v>
      </c>
      <c r="C534" s="57" t="s">
        <v>2</v>
      </c>
      <c r="D534" s="57" t="s">
        <v>3</v>
      </c>
      <c r="E534" s="57" t="s">
        <v>4</v>
      </c>
      <c r="F534" s="57" t="s">
        <v>5</v>
      </c>
      <c r="G534" s="57" t="s">
        <v>6</v>
      </c>
      <c r="H534" s="57" t="s">
        <v>7</v>
      </c>
      <c r="I534" s="57" t="s">
        <v>8</v>
      </c>
      <c r="J534" s="57" t="s">
        <v>9</v>
      </c>
      <c r="K534" s="57" t="s">
        <v>10</v>
      </c>
      <c r="L534" s="57" t="s">
        <v>11</v>
      </c>
      <c r="M534" s="57" t="s">
        <v>13</v>
      </c>
      <c r="N534" s="10"/>
      <c r="O534" s="10"/>
    </row>
    <row r="535" spans="1:15" ht="15.6" x14ac:dyDescent="0.3">
      <c r="A535" s="72"/>
      <c r="B535" s="73"/>
      <c r="C535" s="5" t="str">
        <f t="shared" ref="C535:L535" si="93">VLOOKUP($A534,NotaIndividualPorAlunoMAT,RIGHT(C534,2)+1,0)</f>
        <v/>
      </c>
      <c r="D535" s="5" t="str">
        <f t="shared" si="93"/>
        <v/>
      </c>
      <c r="E535" s="5" t="str">
        <f t="shared" si="93"/>
        <v/>
      </c>
      <c r="F535" s="5" t="str">
        <f t="shared" si="93"/>
        <v/>
      </c>
      <c r="G535" s="5" t="str">
        <f t="shared" si="93"/>
        <v/>
      </c>
      <c r="H535" s="5" t="str">
        <f t="shared" si="93"/>
        <v/>
      </c>
      <c r="I535" s="5" t="str">
        <f t="shared" si="93"/>
        <v/>
      </c>
      <c r="J535" s="5" t="str">
        <f t="shared" si="93"/>
        <v/>
      </c>
      <c r="K535" s="5" t="str">
        <f t="shared" si="93"/>
        <v/>
      </c>
      <c r="L535" s="5" t="str">
        <f t="shared" si="93"/>
        <v/>
      </c>
      <c r="M535" s="19" t="str">
        <f>VLOOKUP($A534,NotaIndividualPorAlunoMAT,RIGHT(L534,2)+2,0)</f>
        <v/>
      </c>
      <c r="N535" s="10"/>
      <c r="O535" s="10"/>
    </row>
    <row r="536" spans="1:15" x14ac:dyDescent="0.3">
      <c r="A536" s="72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0"/>
      <c r="O536" s="10"/>
    </row>
    <row r="537" spans="1:15" x14ac:dyDescent="0.3">
      <c r="A537" s="72"/>
      <c r="B537" s="73" t="s">
        <v>14</v>
      </c>
      <c r="C537" s="57" t="s">
        <v>46</v>
      </c>
      <c r="D537" s="57" t="s">
        <v>47</v>
      </c>
      <c r="E537" s="57" t="s">
        <v>48</v>
      </c>
      <c r="F537" s="57" t="s">
        <v>49</v>
      </c>
      <c r="G537" s="57" t="s">
        <v>50</v>
      </c>
      <c r="H537" s="57" t="s">
        <v>51</v>
      </c>
      <c r="I537" s="57" t="s">
        <v>52</v>
      </c>
      <c r="J537" s="57" t="s">
        <v>53</v>
      </c>
      <c r="K537" s="57" t="s">
        <v>54</v>
      </c>
      <c r="L537" s="57" t="s">
        <v>55</v>
      </c>
      <c r="M537" s="57" t="s">
        <v>13</v>
      </c>
      <c r="N537" s="10"/>
      <c r="O537" s="10"/>
    </row>
    <row r="538" spans="1:15" ht="15.6" x14ac:dyDescent="0.3">
      <c r="A538" s="72"/>
      <c r="B538" s="73"/>
      <c r="C538" s="3" t="str">
        <f t="shared" ref="C538:L538" si="94">VLOOKUP($A534,NotaIndividualPorAlunoQUI,RIGHT(C537,2)-9,0)</f>
        <v/>
      </c>
      <c r="D538" s="3" t="str">
        <f t="shared" si="94"/>
        <v/>
      </c>
      <c r="E538" s="3" t="str">
        <f t="shared" si="94"/>
        <v/>
      </c>
      <c r="F538" s="3" t="str">
        <f t="shared" si="94"/>
        <v/>
      </c>
      <c r="G538" s="3" t="str">
        <f t="shared" si="94"/>
        <v/>
      </c>
      <c r="H538" s="3" t="str">
        <f t="shared" si="94"/>
        <v/>
      </c>
      <c r="I538" s="3" t="str">
        <f t="shared" si="94"/>
        <v/>
      </c>
      <c r="J538" s="3" t="str">
        <f t="shared" si="94"/>
        <v/>
      </c>
      <c r="K538" s="3" t="str">
        <f t="shared" si="94"/>
        <v/>
      </c>
      <c r="L538" s="3" t="str">
        <f t="shared" si="94"/>
        <v/>
      </c>
      <c r="M538" s="19" t="str">
        <f>VLOOKUP($A534,NotaIndividualPorAlunoQUI,RIGHT(L537,2)-8,0)</f>
        <v/>
      </c>
      <c r="N538" s="10"/>
      <c r="O538" s="10"/>
    </row>
    <row r="539" spans="1:15" x14ac:dyDescent="0.3">
      <c r="A539" s="72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0"/>
      <c r="O539" s="10"/>
    </row>
    <row r="540" spans="1:15" x14ac:dyDescent="0.3">
      <c r="A540" s="72"/>
      <c r="B540" s="73" t="s">
        <v>12</v>
      </c>
      <c r="C540" s="57" t="s">
        <v>2</v>
      </c>
      <c r="D540" s="57" t="s">
        <v>3</v>
      </c>
      <c r="E540" s="57" t="s">
        <v>4</v>
      </c>
      <c r="F540" s="57" t="s">
        <v>5</v>
      </c>
      <c r="G540" s="57" t="s">
        <v>6</v>
      </c>
      <c r="H540" s="57" t="s">
        <v>7</v>
      </c>
      <c r="I540" s="57" t="s">
        <v>8</v>
      </c>
      <c r="J540" s="57" t="s">
        <v>9</v>
      </c>
      <c r="K540" s="57" t="s">
        <v>10</v>
      </c>
      <c r="L540" s="57" t="s">
        <v>11</v>
      </c>
      <c r="M540" s="57" t="s">
        <v>13</v>
      </c>
      <c r="N540" s="10"/>
      <c r="O540" s="10"/>
    </row>
    <row r="541" spans="1:15" ht="15.6" x14ac:dyDescent="0.3">
      <c r="A541" s="72"/>
      <c r="B541" s="73"/>
      <c r="C541" s="3" t="str">
        <f t="shared" ref="C541:L541" si="95">VLOOKUP($A534,NotaIndividualPorAlunoFIS,RIGHT(C540,2)+1,0)</f>
        <v/>
      </c>
      <c r="D541" s="3" t="str">
        <f t="shared" si="95"/>
        <v/>
      </c>
      <c r="E541" s="3" t="str">
        <f t="shared" si="95"/>
        <v/>
      </c>
      <c r="F541" s="3" t="str">
        <f t="shared" si="95"/>
        <v/>
      </c>
      <c r="G541" s="3" t="str">
        <f t="shared" si="95"/>
        <v/>
      </c>
      <c r="H541" s="3" t="str">
        <f t="shared" si="95"/>
        <v/>
      </c>
      <c r="I541" s="3" t="str">
        <f t="shared" si="95"/>
        <v/>
      </c>
      <c r="J541" s="3" t="str">
        <f t="shared" si="95"/>
        <v/>
      </c>
      <c r="K541" s="3" t="str">
        <f t="shared" si="95"/>
        <v/>
      </c>
      <c r="L541" s="3" t="str">
        <f t="shared" si="95"/>
        <v/>
      </c>
      <c r="M541" s="19" t="str">
        <f>VLOOKUP($A534,NotaIndividualPorAlunoFIS,RIGHT(L540,2)+2,0)</f>
        <v/>
      </c>
      <c r="N541" s="10"/>
      <c r="O541" s="10"/>
    </row>
    <row r="542" spans="1:15" ht="15.6" x14ac:dyDescent="0.3">
      <c r="A542" s="72"/>
      <c r="B542" s="12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0"/>
      <c r="O542" s="10"/>
    </row>
    <row r="543" spans="1:15" ht="15.6" x14ac:dyDescent="0.3">
      <c r="A543" s="72"/>
      <c r="B543" s="73" t="s">
        <v>16</v>
      </c>
      <c r="C543" s="23" t="s">
        <v>41</v>
      </c>
      <c r="D543" s="58" t="s">
        <v>42</v>
      </c>
      <c r="E543" s="23" t="s">
        <v>43</v>
      </c>
      <c r="F543" s="58" t="s">
        <v>44</v>
      </c>
      <c r="G543" s="23" t="s">
        <v>63</v>
      </c>
      <c r="H543" s="58" t="s">
        <v>32</v>
      </c>
      <c r="I543" s="14"/>
      <c r="J543" s="14"/>
      <c r="K543" s="14"/>
      <c r="L543" s="14"/>
      <c r="M543" s="15" t="s">
        <v>18</v>
      </c>
      <c r="N543" s="10"/>
      <c r="O543" s="10"/>
    </row>
    <row r="544" spans="1:15" ht="15.6" x14ac:dyDescent="0.3">
      <c r="A544" s="72"/>
      <c r="B544" s="73"/>
      <c r="C544" s="26" t="str">
        <f>VLOOKUP($A534,NotaIndividualPorAlunoRED,2,0)</f>
        <v/>
      </c>
      <c r="D544" s="26" t="str">
        <f>VLOOKUP($A534,NotaIndividualPorAlunoRED,3,0)</f>
        <v/>
      </c>
      <c r="E544" s="26" t="str">
        <f>VLOOKUP($A534,NotaIndividualPorAlunoRED,4,0)</f>
        <v/>
      </c>
      <c r="F544" s="26" t="str">
        <f>VLOOKUP($A534,NotaIndividualPorAlunoRED,5,0)</f>
        <v/>
      </c>
      <c r="G544" s="26" t="str">
        <f>VLOOKUP($A534,NotaIndividualPorAlunoRED,6,0)</f>
        <v/>
      </c>
      <c r="H544" s="21" t="str">
        <f>VLOOKUP($A534,NotaIndividualPorAlunoRED,7,0)</f>
        <v/>
      </c>
      <c r="I544" s="14"/>
      <c r="J544" s="14"/>
      <c r="K544" s="14"/>
      <c r="L544" s="14"/>
      <c r="M544" s="20" t="str">
        <f>VLOOKUP(A534,NOTAS!C:I,7,0)</f>
        <v/>
      </c>
      <c r="N544" s="10"/>
      <c r="O544" s="10"/>
    </row>
    <row r="545" spans="1:15" x14ac:dyDescent="0.3">
      <c r="A545" s="72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0"/>
      <c r="O545" s="10"/>
    </row>
    <row r="546" spans="1:15" x14ac:dyDescent="0.3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</row>
    <row r="547" spans="1:15" x14ac:dyDescent="0.3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</row>
    <row r="548" spans="1:15" x14ac:dyDescent="0.3">
      <c r="A548" s="58" t="s">
        <v>38</v>
      </c>
      <c r="B548" s="57" t="s">
        <v>35</v>
      </c>
      <c r="C548" s="57" t="s">
        <v>56</v>
      </c>
      <c r="D548" s="57" t="s">
        <v>57</v>
      </c>
      <c r="E548" s="57" t="s">
        <v>58</v>
      </c>
      <c r="F548" s="57" t="s">
        <v>59</v>
      </c>
      <c r="G548" s="57" t="s">
        <v>60</v>
      </c>
      <c r="H548" s="57" t="s">
        <v>36</v>
      </c>
      <c r="I548" s="57" t="s">
        <v>61</v>
      </c>
      <c r="J548" s="57" t="s">
        <v>34</v>
      </c>
      <c r="K548" s="57" t="s">
        <v>62</v>
      </c>
      <c r="L548" s="16" t="s">
        <v>33</v>
      </c>
      <c r="M548" s="57" t="s">
        <v>37</v>
      </c>
      <c r="N548" s="10"/>
      <c r="O548" s="10"/>
    </row>
    <row r="549" spans="1:15" ht="15.6" x14ac:dyDescent="0.3">
      <c r="A549" s="58" t="str" cm="1">
        <f t="array" ref="A549">IF(ISERROR(INDEX(ListaDeAlunos,(((ROW()-2)/17)+1),(COLUMN()+1))),"",INDEX(ListaDeAlunos,(((ROW()-2)/17)+1),(COLUMN()+1)))</f>
        <v/>
      </c>
      <c r="B549" s="17" t="str">
        <f>VLOOKUP($A549,NotaIndividualPorAlunoPROVAO,2,0)</f>
        <v/>
      </c>
      <c r="C549" s="18" t="str">
        <f>VLOOKUP($A549,NotaIndividualPorAlunoPROVAO,3,0)</f>
        <v/>
      </c>
      <c r="D549" s="17" t="str">
        <f>VLOOKUP($A549,NotaIndividualPorAlunoPROVAO,4,0)</f>
        <v/>
      </c>
      <c r="E549" s="18" t="str">
        <f>VLOOKUP($A549,NotaIndividualPorAlunoPROVAO,5,0)</f>
        <v/>
      </c>
      <c r="F549" s="17" t="str">
        <f>VLOOKUP($A549,NotaIndividualPorAlunoPROVAO,6,0)</f>
        <v/>
      </c>
      <c r="G549" s="18" t="str">
        <f>VLOOKUP($A549,NotaIndividualPorAlunoPROVAO,7,0)</f>
        <v/>
      </c>
      <c r="H549" s="17" t="str">
        <f>VLOOKUP($A549,NotaIndividualPorAlunoPROVAO,8,0)</f>
        <v/>
      </c>
      <c r="I549" s="18" t="str">
        <f>VLOOKUP($A549,NotaIndividualPorAlunoPROVAO,9,0)</f>
        <v/>
      </c>
      <c r="J549" s="17" t="str">
        <f>VLOOKUP($A549,NotaIndividualPorAlunoPROVAO,10,0)</f>
        <v/>
      </c>
      <c r="K549" s="18" t="str">
        <f>VLOOKUP($A549,NotaIndividualPorAlunoPROVAO,11,0)</f>
        <v/>
      </c>
      <c r="L549" s="15" t="str">
        <f>VLOOKUP($A549,NotaIndividualPorAlunoPROVAO,12,0)</f>
        <v/>
      </c>
      <c r="M549" s="25" t="str">
        <f>VLOOKUP($A549,NotaIndividualPorAlunoPROVAO,13,0)</f>
        <v/>
      </c>
      <c r="N549" s="10"/>
      <c r="O549" s="10"/>
    </row>
    <row r="550" spans="1:15" x14ac:dyDescent="0.3">
      <c r="N550" s="10"/>
      <c r="O550" s="10"/>
    </row>
    <row r="551" spans="1:15" x14ac:dyDescent="0.3">
      <c r="A551" s="72" t="str">
        <f>A549</f>
        <v/>
      </c>
      <c r="B551" s="73" t="s">
        <v>15</v>
      </c>
      <c r="C551" s="57" t="s">
        <v>2</v>
      </c>
      <c r="D551" s="57" t="s">
        <v>3</v>
      </c>
      <c r="E551" s="57" t="s">
        <v>4</v>
      </c>
      <c r="F551" s="57" t="s">
        <v>5</v>
      </c>
      <c r="G551" s="57" t="s">
        <v>6</v>
      </c>
      <c r="H551" s="57" t="s">
        <v>7</v>
      </c>
      <c r="I551" s="57" t="s">
        <v>8</v>
      </c>
      <c r="J551" s="57" t="s">
        <v>9</v>
      </c>
      <c r="K551" s="57" t="s">
        <v>10</v>
      </c>
      <c r="L551" s="57" t="s">
        <v>11</v>
      </c>
      <c r="M551" s="57" t="s">
        <v>13</v>
      </c>
      <c r="N551" s="10"/>
      <c r="O551" s="10"/>
    </row>
    <row r="552" spans="1:15" ht="15.6" x14ac:dyDescent="0.3">
      <c r="A552" s="72"/>
      <c r="B552" s="73"/>
      <c r="C552" s="5" t="str">
        <f t="shared" ref="C552:L552" si="96">VLOOKUP($A551,NotaIndividualPorAlunoMAT,RIGHT(C551,2)+1,0)</f>
        <v/>
      </c>
      <c r="D552" s="5" t="str">
        <f t="shared" si="96"/>
        <v/>
      </c>
      <c r="E552" s="5" t="str">
        <f t="shared" si="96"/>
        <v/>
      </c>
      <c r="F552" s="5" t="str">
        <f t="shared" si="96"/>
        <v/>
      </c>
      <c r="G552" s="5" t="str">
        <f t="shared" si="96"/>
        <v/>
      </c>
      <c r="H552" s="5" t="str">
        <f t="shared" si="96"/>
        <v/>
      </c>
      <c r="I552" s="5" t="str">
        <f t="shared" si="96"/>
        <v/>
      </c>
      <c r="J552" s="5" t="str">
        <f t="shared" si="96"/>
        <v/>
      </c>
      <c r="K552" s="5" t="str">
        <f t="shared" si="96"/>
        <v/>
      </c>
      <c r="L552" s="5" t="str">
        <f t="shared" si="96"/>
        <v/>
      </c>
      <c r="M552" s="19" t="str">
        <f>VLOOKUP($A551,NotaIndividualPorAlunoMAT,RIGHT(L551,2)+2,0)</f>
        <v/>
      </c>
      <c r="N552" s="10"/>
      <c r="O552" s="10"/>
    </row>
    <row r="553" spans="1:15" x14ac:dyDescent="0.3">
      <c r="A553" s="72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0"/>
      <c r="O553" s="10"/>
    </row>
    <row r="554" spans="1:15" x14ac:dyDescent="0.3">
      <c r="A554" s="72"/>
      <c r="B554" s="73" t="s">
        <v>14</v>
      </c>
      <c r="C554" s="57" t="s">
        <v>46</v>
      </c>
      <c r="D554" s="57" t="s">
        <v>47</v>
      </c>
      <c r="E554" s="57" t="s">
        <v>48</v>
      </c>
      <c r="F554" s="57" t="s">
        <v>49</v>
      </c>
      <c r="G554" s="57" t="s">
        <v>50</v>
      </c>
      <c r="H554" s="57" t="s">
        <v>51</v>
      </c>
      <c r="I554" s="57" t="s">
        <v>52</v>
      </c>
      <c r="J554" s="57" t="s">
        <v>53</v>
      </c>
      <c r="K554" s="57" t="s">
        <v>54</v>
      </c>
      <c r="L554" s="57" t="s">
        <v>55</v>
      </c>
      <c r="M554" s="57" t="s">
        <v>13</v>
      </c>
      <c r="N554" s="10"/>
      <c r="O554" s="10"/>
    </row>
    <row r="555" spans="1:15" ht="15.6" x14ac:dyDescent="0.3">
      <c r="A555" s="72"/>
      <c r="B555" s="73"/>
      <c r="C555" s="3" t="str">
        <f t="shared" ref="C555:L555" si="97">VLOOKUP($A551,NotaIndividualPorAlunoQUI,RIGHT(C554,2)-9,0)</f>
        <v/>
      </c>
      <c r="D555" s="3" t="str">
        <f t="shared" si="97"/>
        <v/>
      </c>
      <c r="E555" s="3" t="str">
        <f t="shared" si="97"/>
        <v/>
      </c>
      <c r="F555" s="3" t="str">
        <f t="shared" si="97"/>
        <v/>
      </c>
      <c r="G555" s="3" t="str">
        <f t="shared" si="97"/>
        <v/>
      </c>
      <c r="H555" s="3" t="str">
        <f t="shared" si="97"/>
        <v/>
      </c>
      <c r="I555" s="3" t="str">
        <f t="shared" si="97"/>
        <v/>
      </c>
      <c r="J555" s="3" t="str">
        <f t="shared" si="97"/>
        <v/>
      </c>
      <c r="K555" s="3" t="str">
        <f t="shared" si="97"/>
        <v/>
      </c>
      <c r="L555" s="3" t="str">
        <f t="shared" si="97"/>
        <v/>
      </c>
      <c r="M555" s="19" t="str">
        <f>VLOOKUP($A551,NotaIndividualPorAlunoQUI,RIGHT(L554,2)-8,0)</f>
        <v/>
      </c>
      <c r="N555" s="10"/>
      <c r="O555" s="10"/>
    </row>
    <row r="556" spans="1:15" x14ac:dyDescent="0.3">
      <c r="A556" s="72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0"/>
      <c r="O556" s="10"/>
    </row>
    <row r="557" spans="1:15" x14ac:dyDescent="0.3">
      <c r="A557" s="72"/>
      <c r="B557" s="73" t="s">
        <v>12</v>
      </c>
      <c r="C557" s="57" t="s">
        <v>2</v>
      </c>
      <c r="D557" s="57" t="s">
        <v>3</v>
      </c>
      <c r="E557" s="57" t="s">
        <v>4</v>
      </c>
      <c r="F557" s="57" t="s">
        <v>5</v>
      </c>
      <c r="G557" s="57" t="s">
        <v>6</v>
      </c>
      <c r="H557" s="57" t="s">
        <v>7</v>
      </c>
      <c r="I557" s="57" t="s">
        <v>8</v>
      </c>
      <c r="J557" s="57" t="s">
        <v>9</v>
      </c>
      <c r="K557" s="57" t="s">
        <v>10</v>
      </c>
      <c r="L557" s="57" t="s">
        <v>11</v>
      </c>
      <c r="M557" s="57" t="s">
        <v>13</v>
      </c>
      <c r="N557" s="10"/>
      <c r="O557" s="10"/>
    </row>
    <row r="558" spans="1:15" ht="15.6" x14ac:dyDescent="0.3">
      <c r="A558" s="72"/>
      <c r="B558" s="73"/>
      <c r="C558" s="3" t="str">
        <f t="shared" ref="C558:L558" si="98">VLOOKUP($A551,NotaIndividualPorAlunoFIS,RIGHT(C557,2)+1,0)</f>
        <v/>
      </c>
      <c r="D558" s="3" t="str">
        <f t="shared" si="98"/>
        <v/>
      </c>
      <c r="E558" s="3" t="str">
        <f t="shared" si="98"/>
        <v/>
      </c>
      <c r="F558" s="3" t="str">
        <f t="shared" si="98"/>
        <v/>
      </c>
      <c r="G558" s="3" t="str">
        <f t="shared" si="98"/>
        <v/>
      </c>
      <c r="H558" s="3" t="str">
        <f t="shared" si="98"/>
        <v/>
      </c>
      <c r="I558" s="3" t="str">
        <f t="shared" si="98"/>
        <v/>
      </c>
      <c r="J558" s="3" t="str">
        <f t="shared" si="98"/>
        <v/>
      </c>
      <c r="K558" s="3" t="str">
        <f t="shared" si="98"/>
        <v/>
      </c>
      <c r="L558" s="3" t="str">
        <f t="shared" si="98"/>
        <v/>
      </c>
      <c r="M558" s="19" t="str">
        <f>VLOOKUP($A551,NotaIndividualPorAlunoFIS,RIGHT(L557,2)+2,0)</f>
        <v/>
      </c>
      <c r="N558" s="10"/>
      <c r="O558" s="10"/>
    </row>
    <row r="559" spans="1:15" ht="15.6" x14ac:dyDescent="0.3">
      <c r="A559" s="72"/>
      <c r="B559" s="12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0"/>
      <c r="O559" s="10"/>
    </row>
    <row r="560" spans="1:15" ht="15.6" x14ac:dyDescent="0.3">
      <c r="A560" s="72"/>
      <c r="B560" s="73" t="s">
        <v>16</v>
      </c>
      <c r="C560" s="23" t="s">
        <v>41</v>
      </c>
      <c r="D560" s="58" t="s">
        <v>42</v>
      </c>
      <c r="E560" s="23" t="s">
        <v>43</v>
      </c>
      <c r="F560" s="58" t="s">
        <v>44</v>
      </c>
      <c r="G560" s="23" t="s">
        <v>63</v>
      </c>
      <c r="H560" s="58" t="s">
        <v>32</v>
      </c>
      <c r="I560" s="14"/>
      <c r="J560" s="14"/>
      <c r="K560" s="14"/>
      <c r="L560" s="14"/>
      <c r="M560" s="15" t="s">
        <v>18</v>
      </c>
      <c r="N560" s="10"/>
      <c r="O560" s="10"/>
    </row>
    <row r="561" spans="1:15" ht="15.6" x14ac:dyDescent="0.3">
      <c r="A561" s="72"/>
      <c r="B561" s="73"/>
      <c r="C561" s="26" t="str">
        <f>VLOOKUP($A551,NotaIndividualPorAlunoRED,2,0)</f>
        <v/>
      </c>
      <c r="D561" s="26" t="str">
        <f>VLOOKUP($A551,NotaIndividualPorAlunoRED,3,0)</f>
        <v/>
      </c>
      <c r="E561" s="26" t="str">
        <f>VLOOKUP($A551,NotaIndividualPorAlunoRED,4,0)</f>
        <v/>
      </c>
      <c r="F561" s="26" t="str">
        <f>VLOOKUP($A551,NotaIndividualPorAlunoRED,5,0)</f>
        <v/>
      </c>
      <c r="G561" s="26" t="str">
        <f>VLOOKUP($A551,NotaIndividualPorAlunoRED,6,0)</f>
        <v/>
      </c>
      <c r="H561" s="21" t="str">
        <f>VLOOKUP($A551,NotaIndividualPorAlunoRED,7,0)</f>
        <v/>
      </c>
      <c r="I561" s="14"/>
      <c r="J561" s="14"/>
      <c r="K561" s="14"/>
      <c r="L561" s="14"/>
      <c r="M561" s="20" t="str">
        <f>VLOOKUP(A551,NOTAS!C:I,7,0)</f>
        <v/>
      </c>
      <c r="N561" s="10"/>
      <c r="O561" s="10"/>
    </row>
    <row r="562" spans="1:15" x14ac:dyDescent="0.3">
      <c r="A562" s="72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0"/>
      <c r="O562" s="10"/>
    </row>
    <row r="563" spans="1:15" x14ac:dyDescent="0.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</row>
    <row r="564" spans="1:15" x14ac:dyDescent="0.3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</row>
    <row r="565" spans="1:15" x14ac:dyDescent="0.3">
      <c r="A565" s="58" t="s">
        <v>38</v>
      </c>
      <c r="B565" s="57" t="s">
        <v>35</v>
      </c>
      <c r="C565" s="57" t="s">
        <v>56</v>
      </c>
      <c r="D565" s="57" t="s">
        <v>57</v>
      </c>
      <c r="E565" s="57" t="s">
        <v>58</v>
      </c>
      <c r="F565" s="57" t="s">
        <v>59</v>
      </c>
      <c r="G565" s="57" t="s">
        <v>60</v>
      </c>
      <c r="H565" s="57" t="s">
        <v>36</v>
      </c>
      <c r="I565" s="57" t="s">
        <v>61</v>
      </c>
      <c r="J565" s="57" t="s">
        <v>34</v>
      </c>
      <c r="K565" s="57" t="s">
        <v>62</v>
      </c>
      <c r="L565" s="16" t="s">
        <v>33</v>
      </c>
      <c r="M565" s="57" t="s">
        <v>37</v>
      </c>
      <c r="N565" s="10"/>
      <c r="O565" s="10"/>
    </row>
    <row r="566" spans="1:15" ht="15.6" x14ac:dyDescent="0.3">
      <c r="A566" s="58" t="str" cm="1">
        <f t="array" ref="A566">IF(ISERROR(INDEX(ListaDeAlunos,(((ROW()-2)/17)+1),(COLUMN()+1))),"",INDEX(ListaDeAlunos,(((ROW()-2)/17)+1),(COLUMN()+1)))</f>
        <v/>
      </c>
      <c r="B566" s="17" t="str">
        <f>VLOOKUP($A566,NotaIndividualPorAlunoPROVAO,2,0)</f>
        <v/>
      </c>
      <c r="C566" s="18" t="str">
        <f>VLOOKUP($A566,NotaIndividualPorAlunoPROVAO,3,0)</f>
        <v/>
      </c>
      <c r="D566" s="17" t="str">
        <f>VLOOKUP($A566,NotaIndividualPorAlunoPROVAO,4,0)</f>
        <v/>
      </c>
      <c r="E566" s="18" t="str">
        <f>VLOOKUP($A566,NotaIndividualPorAlunoPROVAO,5,0)</f>
        <v/>
      </c>
      <c r="F566" s="17" t="str">
        <f>VLOOKUP($A566,NotaIndividualPorAlunoPROVAO,6,0)</f>
        <v/>
      </c>
      <c r="G566" s="18" t="str">
        <f>VLOOKUP($A566,NotaIndividualPorAlunoPROVAO,7,0)</f>
        <v/>
      </c>
      <c r="H566" s="17" t="str">
        <f>VLOOKUP($A566,NotaIndividualPorAlunoPROVAO,8,0)</f>
        <v/>
      </c>
      <c r="I566" s="18" t="str">
        <f>VLOOKUP($A566,NotaIndividualPorAlunoPROVAO,9,0)</f>
        <v/>
      </c>
      <c r="J566" s="17" t="str">
        <f>VLOOKUP($A566,NotaIndividualPorAlunoPROVAO,10,0)</f>
        <v/>
      </c>
      <c r="K566" s="18" t="str">
        <f>VLOOKUP($A566,NotaIndividualPorAlunoPROVAO,11,0)</f>
        <v/>
      </c>
      <c r="L566" s="15" t="str">
        <f>VLOOKUP($A566,NotaIndividualPorAlunoPROVAO,12,0)</f>
        <v/>
      </c>
      <c r="M566" s="25" t="str">
        <f>VLOOKUP($A566,NotaIndividualPorAlunoPROVAO,13,0)</f>
        <v/>
      </c>
      <c r="N566" s="10"/>
      <c r="O566" s="10"/>
    </row>
    <row r="567" spans="1:15" x14ac:dyDescent="0.3">
      <c r="N567" s="10"/>
      <c r="O567" s="10"/>
    </row>
    <row r="568" spans="1:15" x14ac:dyDescent="0.3">
      <c r="A568" s="72" t="str">
        <f>A566</f>
        <v/>
      </c>
      <c r="B568" s="73" t="s">
        <v>15</v>
      </c>
      <c r="C568" s="57" t="s">
        <v>2</v>
      </c>
      <c r="D568" s="57" t="s">
        <v>3</v>
      </c>
      <c r="E568" s="57" t="s">
        <v>4</v>
      </c>
      <c r="F568" s="57" t="s">
        <v>5</v>
      </c>
      <c r="G568" s="57" t="s">
        <v>6</v>
      </c>
      <c r="H568" s="57" t="s">
        <v>7</v>
      </c>
      <c r="I568" s="57" t="s">
        <v>8</v>
      </c>
      <c r="J568" s="57" t="s">
        <v>9</v>
      </c>
      <c r="K568" s="57" t="s">
        <v>10</v>
      </c>
      <c r="L568" s="57" t="s">
        <v>11</v>
      </c>
      <c r="M568" s="57" t="s">
        <v>13</v>
      </c>
      <c r="N568" s="10"/>
      <c r="O568" s="10"/>
    </row>
    <row r="569" spans="1:15" ht="15.6" x14ac:dyDescent="0.3">
      <c r="A569" s="72"/>
      <c r="B569" s="73"/>
      <c r="C569" s="5" t="str">
        <f t="shared" ref="C569:L569" si="99">VLOOKUP($A568,NotaIndividualPorAlunoMAT,RIGHT(C568,2)+1,0)</f>
        <v/>
      </c>
      <c r="D569" s="5" t="str">
        <f t="shared" si="99"/>
        <v/>
      </c>
      <c r="E569" s="5" t="str">
        <f t="shared" si="99"/>
        <v/>
      </c>
      <c r="F569" s="5" t="str">
        <f t="shared" si="99"/>
        <v/>
      </c>
      <c r="G569" s="5" t="str">
        <f t="shared" si="99"/>
        <v/>
      </c>
      <c r="H569" s="5" t="str">
        <f t="shared" si="99"/>
        <v/>
      </c>
      <c r="I569" s="5" t="str">
        <f t="shared" si="99"/>
        <v/>
      </c>
      <c r="J569" s="5" t="str">
        <f t="shared" si="99"/>
        <v/>
      </c>
      <c r="K569" s="5" t="str">
        <f t="shared" si="99"/>
        <v/>
      </c>
      <c r="L569" s="5" t="str">
        <f t="shared" si="99"/>
        <v/>
      </c>
      <c r="M569" s="19" t="str">
        <f>VLOOKUP($A568,NotaIndividualPorAlunoMAT,RIGHT(L568,2)+2,0)</f>
        <v/>
      </c>
      <c r="N569" s="10"/>
      <c r="O569" s="10"/>
    </row>
    <row r="570" spans="1:15" x14ac:dyDescent="0.3">
      <c r="A570" s="72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0"/>
      <c r="O570" s="10"/>
    </row>
    <row r="571" spans="1:15" x14ac:dyDescent="0.3">
      <c r="A571" s="72"/>
      <c r="B571" s="73" t="s">
        <v>14</v>
      </c>
      <c r="C571" s="57" t="s">
        <v>46</v>
      </c>
      <c r="D571" s="57" t="s">
        <v>47</v>
      </c>
      <c r="E571" s="57" t="s">
        <v>48</v>
      </c>
      <c r="F571" s="57" t="s">
        <v>49</v>
      </c>
      <c r="G571" s="57" t="s">
        <v>50</v>
      </c>
      <c r="H571" s="57" t="s">
        <v>51</v>
      </c>
      <c r="I571" s="57" t="s">
        <v>52</v>
      </c>
      <c r="J571" s="57" t="s">
        <v>53</v>
      </c>
      <c r="K571" s="57" t="s">
        <v>54</v>
      </c>
      <c r="L571" s="57" t="s">
        <v>55</v>
      </c>
      <c r="M571" s="57" t="s">
        <v>13</v>
      </c>
      <c r="N571" s="10"/>
      <c r="O571" s="10"/>
    </row>
    <row r="572" spans="1:15" ht="15.6" x14ac:dyDescent="0.3">
      <c r="A572" s="72"/>
      <c r="B572" s="73"/>
      <c r="C572" s="3" t="str">
        <f t="shared" ref="C572:L572" si="100">VLOOKUP($A568,NotaIndividualPorAlunoQUI,RIGHT(C571,2)-9,0)</f>
        <v/>
      </c>
      <c r="D572" s="3" t="str">
        <f t="shared" si="100"/>
        <v/>
      </c>
      <c r="E572" s="3" t="str">
        <f t="shared" si="100"/>
        <v/>
      </c>
      <c r="F572" s="3" t="str">
        <f t="shared" si="100"/>
        <v/>
      </c>
      <c r="G572" s="3" t="str">
        <f t="shared" si="100"/>
        <v/>
      </c>
      <c r="H572" s="3" t="str">
        <f t="shared" si="100"/>
        <v/>
      </c>
      <c r="I572" s="3" t="str">
        <f t="shared" si="100"/>
        <v/>
      </c>
      <c r="J572" s="3" t="str">
        <f t="shared" si="100"/>
        <v/>
      </c>
      <c r="K572" s="3" t="str">
        <f t="shared" si="100"/>
        <v/>
      </c>
      <c r="L572" s="3" t="str">
        <f t="shared" si="100"/>
        <v/>
      </c>
      <c r="M572" s="19" t="str">
        <f>VLOOKUP($A568,NotaIndividualPorAlunoQUI,RIGHT(L571,2)-8,0)</f>
        <v/>
      </c>
      <c r="N572" s="10"/>
      <c r="O572" s="10"/>
    </row>
    <row r="573" spans="1:15" x14ac:dyDescent="0.3">
      <c r="A573" s="72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0"/>
      <c r="O573" s="10"/>
    </row>
    <row r="574" spans="1:15" x14ac:dyDescent="0.3">
      <c r="A574" s="72"/>
      <c r="B574" s="73" t="s">
        <v>12</v>
      </c>
      <c r="C574" s="57" t="s">
        <v>2</v>
      </c>
      <c r="D574" s="57" t="s">
        <v>3</v>
      </c>
      <c r="E574" s="57" t="s">
        <v>4</v>
      </c>
      <c r="F574" s="57" t="s">
        <v>5</v>
      </c>
      <c r="G574" s="57" t="s">
        <v>6</v>
      </c>
      <c r="H574" s="57" t="s">
        <v>7</v>
      </c>
      <c r="I574" s="57" t="s">
        <v>8</v>
      </c>
      <c r="J574" s="57" t="s">
        <v>9</v>
      </c>
      <c r="K574" s="57" t="s">
        <v>10</v>
      </c>
      <c r="L574" s="57" t="s">
        <v>11</v>
      </c>
      <c r="M574" s="57" t="s">
        <v>13</v>
      </c>
      <c r="N574" s="10"/>
      <c r="O574" s="10"/>
    </row>
    <row r="575" spans="1:15" ht="15.6" x14ac:dyDescent="0.3">
      <c r="A575" s="72"/>
      <c r="B575" s="73"/>
      <c r="C575" s="3" t="str">
        <f t="shared" ref="C575:L575" si="101">VLOOKUP($A568,NotaIndividualPorAlunoFIS,RIGHT(C574,2)+1,0)</f>
        <v/>
      </c>
      <c r="D575" s="3" t="str">
        <f t="shared" si="101"/>
        <v/>
      </c>
      <c r="E575" s="3" t="str">
        <f t="shared" si="101"/>
        <v/>
      </c>
      <c r="F575" s="3" t="str">
        <f t="shared" si="101"/>
        <v/>
      </c>
      <c r="G575" s="3" t="str">
        <f t="shared" si="101"/>
        <v/>
      </c>
      <c r="H575" s="3" t="str">
        <f t="shared" si="101"/>
        <v/>
      </c>
      <c r="I575" s="3" t="str">
        <f t="shared" si="101"/>
        <v/>
      </c>
      <c r="J575" s="3" t="str">
        <f t="shared" si="101"/>
        <v/>
      </c>
      <c r="K575" s="3" t="str">
        <f t="shared" si="101"/>
        <v/>
      </c>
      <c r="L575" s="3" t="str">
        <f t="shared" si="101"/>
        <v/>
      </c>
      <c r="M575" s="19" t="str">
        <f>VLOOKUP($A568,NotaIndividualPorAlunoFIS,RIGHT(L574,2)+2,0)</f>
        <v/>
      </c>
      <c r="N575" s="10"/>
      <c r="O575" s="10"/>
    </row>
    <row r="576" spans="1:15" ht="15.6" x14ac:dyDescent="0.3">
      <c r="A576" s="72"/>
      <c r="B576" s="12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0"/>
      <c r="O576" s="10"/>
    </row>
    <row r="577" spans="1:15" ht="15.6" x14ac:dyDescent="0.3">
      <c r="A577" s="72"/>
      <c r="B577" s="73" t="s">
        <v>16</v>
      </c>
      <c r="C577" s="23" t="s">
        <v>41</v>
      </c>
      <c r="D577" s="58" t="s">
        <v>42</v>
      </c>
      <c r="E577" s="23" t="s">
        <v>43</v>
      </c>
      <c r="F577" s="58" t="s">
        <v>44</v>
      </c>
      <c r="G577" s="23" t="s">
        <v>63</v>
      </c>
      <c r="H577" s="58" t="s">
        <v>32</v>
      </c>
      <c r="I577" s="14"/>
      <c r="J577" s="14"/>
      <c r="K577" s="14"/>
      <c r="L577" s="14"/>
      <c r="M577" s="15" t="s">
        <v>18</v>
      </c>
      <c r="N577" s="10"/>
      <c r="O577" s="10"/>
    </row>
    <row r="578" spans="1:15" ht="15.6" x14ac:dyDescent="0.3">
      <c r="A578" s="72"/>
      <c r="B578" s="73"/>
      <c r="C578" s="26" t="str">
        <f>VLOOKUP($A568,NotaIndividualPorAlunoRED,2,0)</f>
        <v/>
      </c>
      <c r="D578" s="26" t="str">
        <f>VLOOKUP($A568,NotaIndividualPorAlunoRED,3,0)</f>
        <v/>
      </c>
      <c r="E578" s="26" t="str">
        <f>VLOOKUP($A568,NotaIndividualPorAlunoRED,4,0)</f>
        <v/>
      </c>
      <c r="F578" s="26" t="str">
        <f>VLOOKUP($A568,NotaIndividualPorAlunoRED,5,0)</f>
        <v/>
      </c>
      <c r="G578" s="26" t="str">
        <f>VLOOKUP($A568,NotaIndividualPorAlunoRED,6,0)</f>
        <v/>
      </c>
      <c r="H578" s="21" t="str">
        <f>VLOOKUP($A568,NotaIndividualPorAlunoRED,7,0)</f>
        <v/>
      </c>
      <c r="I578" s="14"/>
      <c r="J578" s="14"/>
      <c r="K578" s="14"/>
      <c r="L578" s="14"/>
      <c r="M578" s="20" t="str">
        <f>VLOOKUP(A568,NOTAS!C:I,7,0)</f>
        <v/>
      </c>
      <c r="N578" s="10"/>
      <c r="O578" s="10"/>
    </row>
    <row r="579" spans="1:15" x14ac:dyDescent="0.3">
      <c r="A579" s="72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0"/>
      <c r="O579" s="10"/>
    </row>
    <row r="580" spans="1:15" x14ac:dyDescent="0.3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</row>
    <row r="581" spans="1:15" x14ac:dyDescent="0.3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</row>
    <row r="582" spans="1:15" x14ac:dyDescent="0.3">
      <c r="A582" s="58" t="s">
        <v>38</v>
      </c>
      <c r="B582" s="57" t="s">
        <v>35</v>
      </c>
      <c r="C582" s="57" t="s">
        <v>56</v>
      </c>
      <c r="D582" s="57" t="s">
        <v>57</v>
      </c>
      <c r="E582" s="57" t="s">
        <v>58</v>
      </c>
      <c r="F582" s="57" t="s">
        <v>59</v>
      </c>
      <c r="G582" s="57" t="s">
        <v>60</v>
      </c>
      <c r="H582" s="57" t="s">
        <v>36</v>
      </c>
      <c r="I582" s="57" t="s">
        <v>61</v>
      </c>
      <c r="J582" s="57" t="s">
        <v>34</v>
      </c>
      <c r="K582" s="57" t="s">
        <v>62</v>
      </c>
      <c r="L582" s="16" t="s">
        <v>33</v>
      </c>
      <c r="M582" s="57" t="s">
        <v>37</v>
      </c>
      <c r="N582" s="10"/>
      <c r="O582" s="10"/>
    </row>
    <row r="583" spans="1:15" ht="15.6" x14ac:dyDescent="0.3">
      <c r="A583" s="58" t="str" cm="1">
        <f t="array" ref="A583">IF(ISERROR(INDEX(ListaDeAlunos,(((ROW()-2)/17)+1),(COLUMN()+1))),"",INDEX(ListaDeAlunos,(((ROW()-2)/17)+1),(COLUMN()+1)))</f>
        <v/>
      </c>
      <c r="B583" s="17" t="str">
        <f>VLOOKUP($A583,NotaIndividualPorAlunoPROVAO,2,0)</f>
        <v/>
      </c>
      <c r="C583" s="18" t="str">
        <f>VLOOKUP($A583,NotaIndividualPorAlunoPROVAO,3,0)</f>
        <v/>
      </c>
      <c r="D583" s="17" t="str">
        <f>VLOOKUP($A583,NotaIndividualPorAlunoPROVAO,4,0)</f>
        <v/>
      </c>
      <c r="E583" s="18" t="str">
        <f>VLOOKUP($A583,NotaIndividualPorAlunoPROVAO,5,0)</f>
        <v/>
      </c>
      <c r="F583" s="17" t="str">
        <f>VLOOKUP($A583,NotaIndividualPorAlunoPROVAO,6,0)</f>
        <v/>
      </c>
      <c r="G583" s="18" t="str">
        <f>VLOOKUP($A583,NotaIndividualPorAlunoPROVAO,7,0)</f>
        <v/>
      </c>
      <c r="H583" s="17" t="str">
        <f>VLOOKUP($A583,NotaIndividualPorAlunoPROVAO,8,0)</f>
        <v/>
      </c>
      <c r="I583" s="18" t="str">
        <f>VLOOKUP($A583,NotaIndividualPorAlunoPROVAO,9,0)</f>
        <v/>
      </c>
      <c r="J583" s="17" t="str">
        <f>VLOOKUP($A583,NotaIndividualPorAlunoPROVAO,10,0)</f>
        <v/>
      </c>
      <c r="K583" s="18" t="str">
        <f>VLOOKUP($A583,NotaIndividualPorAlunoPROVAO,11,0)</f>
        <v/>
      </c>
      <c r="L583" s="15" t="str">
        <f>VLOOKUP($A583,NotaIndividualPorAlunoPROVAO,12,0)</f>
        <v/>
      </c>
      <c r="M583" s="25" t="str">
        <f>VLOOKUP($A583,NotaIndividualPorAlunoPROVAO,13,0)</f>
        <v/>
      </c>
      <c r="N583" s="10"/>
      <c r="O583" s="10"/>
    </row>
    <row r="584" spans="1:15" x14ac:dyDescent="0.3">
      <c r="N584" s="10"/>
      <c r="O584" s="10"/>
    </row>
    <row r="585" spans="1:15" x14ac:dyDescent="0.3">
      <c r="A585" s="72" t="str">
        <f>A583</f>
        <v/>
      </c>
      <c r="B585" s="73" t="s">
        <v>15</v>
      </c>
      <c r="C585" s="57" t="s">
        <v>2</v>
      </c>
      <c r="D585" s="57" t="s">
        <v>3</v>
      </c>
      <c r="E585" s="57" t="s">
        <v>4</v>
      </c>
      <c r="F585" s="57" t="s">
        <v>5</v>
      </c>
      <c r="G585" s="57" t="s">
        <v>6</v>
      </c>
      <c r="H585" s="57" t="s">
        <v>7</v>
      </c>
      <c r="I585" s="57" t="s">
        <v>8</v>
      </c>
      <c r="J585" s="57" t="s">
        <v>9</v>
      </c>
      <c r="K585" s="57" t="s">
        <v>10</v>
      </c>
      <c r="L585" s="57" t="s">
        <v>11</v>
      </c>
      <c r="M585" s="57" t="s">
        <v>13</v>
      </c>
      <c r="N585" s="10"/>
      <c r="O585" s="10"/>
    </row>
    <row r="586" spans="1:15" ht="15.6" x14ac:dyDescent="0.3">
      <c r="A586" s="72"/>
      <c r="B586" s="73"/>
      <c r="C586" s="5" t="str">
        <f t="shared" ref="C586:L586" si="102">VLOOKUP($A585,NotaIndividualPorAlunoMAT,RIGHT(C585,2)+1,0)</f>
        <v/>
      </c>
      <c r="D586" s="5" t="str">
        <f t="shared" si="102"/>
        <v/>
      </c>
      <c r="E586" s="5" t="str">
        <f t="shared" si="102"/>
        <v/>
      </c>
      <c r="F586" s="5" t="str">
        <f t="shared" si="102"/>
        <v/>
      </c>
      <c r="G586" s="5" t="str">
        <f t="shared" si="102"/>
        <v/>
      </c>
      <c r="H586" s="5" t="str">
        <f t="shared" si="102"/>
        <v/>
      </c>
      <c r="I586" s="5" t="str">
        <f t="shared" si="102"/>
        <v/>
      </c>
      <c r="J586" s="5" t="str">
        <f t="shared" si="102"/>
        <v/>
      </c>
      <c r="K586" s="5" t="str">
        <f t="shared" si="102"/>
        <v/>
      </c>
      <c r="L586" s="5" t="str">
        <f t="shared" si="102"/>
        <v/>
      </c>
      <c r="M586" s="19" t="str">
        <f>VLOOKUP($A585,NotaIndividualPorAlunoMAT,RIGHT(L585,2)+2,0)</f>
        <v/>
      </c>
      <c r="N586" s="10"/>
      <c r="O586" s="10"/>
    </row>
    <row r="587" spans="1:15" x14ac:dyDescent="0.3">
      <c r="A587" s="72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0"/>
      <c r="O587" s="10"/>
    </row>
    <row r="588" spans="1:15" x14ac:dyDescent="0.3">
      <c r="A588" s="72"/>
      <c r="B588" s="73" t="s">
        <v>14</v>
      </c>
      <c r="C588" s="57" t="s">
        <v>46</v>
      </c>
      <c r="D588" s="57" t="s">
        <v>47</v>
      </c>
      <c r="E588" s="57" t="s">
        <v>48</v>
      </c>
      <c r="F588" s="57" t="s">
        <v>49</v>
      </c>
      <c r="G588" s="57" t="s">
        <v>50</v>
      </c>
      <c r="H588" s="57" t="s">
        <v>51</v>
      </c>
      <c r="I588" s="57" t="s">
        <v>52</v>
      </c>
      <c r="J588" s="57" t="s">
        <v>53</v>
      </c>
      <c r="K588" s="57" t="s">
        <v>54</v>
      </c>
      <c r="L588" s="57" t="s">
        <v>55</v>
      </c>
      <c r="M588" s="57" t="s">
        <v>13</v>
      </c>
      <c r="N588" s="10"/>
      <c r="O588" s="10"/>
    </row>
    <row r="589" spans="1:15" ht="15.6" x14ac:dyDescent="0.3">
      <c r="A589" s="72"/>
      <c r="B589" s="73"/>
      <c r="C589" s="3" t="str">
        <f t="shared" ref="C589:L589" si="103">VLOOKUP($A585,NotaIndividualPorAlunoQUI,RIGHT(C588,2)-9,0)</f>
        <v/>
      </c>
      <c r="D589" s="3" t="str">
        <f t="shared" si="103"/>
        <v/>
      </c>
      <c r="E589" s="3" t="str">
        <f t="shared" si="103"/>
        <v/>
      </c>
      <c r="F589" s="3" t="str">
        <f t="shared" si="103"/>
        <v/>
      </c>
      <c r="G589" s="3" t="str">
        <f t="shared" si="103"/>
        <v/>
      </c>
      <c r="H589" s="3" t="str">
        <f t="shared" si="103"/>
        <v/>
      </c>
      <c r="I589" s="3" t="str">
        <f t="shared" si="103"/>
        <v/>
      </c>
      <c r="J589" s="3" t="str">
        <f t="shared" si="103"/>
        <v/>
      </c>
      <c r="K589" s="3" t="str">
        <f t="shared" si="103"/>
        <v/>
      </c>
      <c r="L589" s="3" t="str">
        <f t="shared" si="103"/>
        <v/>
      </c>
      <c r="M589" s="19" t="str">
        <f>VLOOKUP($A585,NotaIndividualPorAlunoQUI,RIGHT(L588,2)-8,0)</f>
        <v/>
      </c>
      <c r="N589" s="10"/>
      <c r="O589" s="10"/>
    </row>
    <row r="590" spans="1:15" x14ac:dyDescent="0.3">
      <c r="A590" s="72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0"/>
      <c r="O590" s="10"/>
    </row>
    <row r="591" spans="1:15" x14ac:dyDescent="0.3">
      <c r="A591" s="72"/>
      <c r="B591" s="73" t="s">
        <v>12</v>
      </c>
      <c r="C591" s="57" t="s">
        <v>2</v>
      </c>
      <c r="D591" s="57" t="s">
        <v>3</v>
      </c>
      <c r="E591" s="57" t="s">
        <v>4</v>
      </c>
      <c r="F591" s="57" t="s">
        <v>5</v>
      </c>
      <c r="G591" s="57" t="s">
        <v>6</v>
      </c>
      <c r="H591" s="57" t="s">
        <v>7</v>
      </c>
      <c r="I591" s="57" t="s">
        <v>8</v>
      </c>
      <c r="J591" s="57" t="s">
        <v>9</v>
      </c>
      <c r="K591" s="57" t="s">
        <v>10</v>
      </c>
      <c r="L591" s="57" t="s">
        <v>11</v>
      </c>
      <c r="M591" s="57" t="s">
        <v>13</v>
      </c>
      <c r="N591" s="10"/>
      <c r="O591" s="10"/>
    </row>
    <row r="592" spans="1:15" ht="15.6" x14ac:dyDescent="0.3">
      <c r="A592" s="72"/>
      <c r="B592" s="73"/>
      <c r="C592" s="3" t="str">
        <f t="shared" ref="C592:L592" si="104">VLOOKUP($A585,NotaIndividualPorAlunoFIS,RIGHT(C591,2)+1,0)</f>
        <v/>
      </c>
      <c r="D592" s="3" t="str">
        <f t="shared" si="104"/>
        <v/>
      </c>
      <c r="E592" s="3" t="str">
        <f t="shared" si="104"/>
        <v/>
      </c>
      <c r="F592" s="3" t="str">
        <f t="shared" si="104"/>
        <v/>
      </c>
      <c r="G592" s="3" t="str">
        <f t="shared" si="104"/>
        <v/>
      </c>
      <c r="H592" s="3" t="str">
        <f t="shared" si="104"/>
        <v/>
      </c>
      <c r="I592" s="3" t="str">
        <f t="shared" si="104"/>
        <v/>
      </c>
      <c r="J592" s="3" t="str">
        <f t="shared" si="104"/>
        <v/>
      </c>
      <c r="K592" s="3" t="str">
        <f t="shared" si="104"/>
        <v/>
      </c>
      <c r="L592" s="3" t="str">
        <f t="shared" si="104"/>
        <v/>
      </c>
      <c r="M592" s="19" t="str">
        <f>VLOOKUP($A585,NotaIndividualPorAlunoFIS,RIGHT(L591,2)+2,0)</f>
        <v/>
      </c>
      <c r="N592" s="10"/>
      <c r="O592" s="10"/>
    </row>
    <row r="593" spans="1:15" ht="15.6" x14ac:dyDescent="0.3">
      <c r="A593" s="72"/>
      <c r="B593" s="12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0"/>
      <c r="O593" s="10"/>
    </row>
    <row r="594" spans="1:15" ht="15.6" x14ac:dyDescent="0.3">
      <c r="A594" s="72"/>
      <c r="B594" s="73" t="s">
        <v>16</v>
      </c>
      <c r="C594" s="23" t="s">
        <v>41</v>
      </c>
      <c r="D594" s="58" t="s">
        <v>42</v>
      </c>
      <c r="E594" s="23" t="s">
        <v>43</v>
      </c>
      <c r="F594" s="58" t="s">
        <v>44</v>
      </c>
      <c r="G594" s="23" t="s">
        <v>63</v>
      </c>
      <c r="H594" s="58" t="s">
        <v>32</v>
      </c>
      <c r="I594" s="14"/>
      <c r="J594" s="14"/>
      <c r="K594" s="14"/>
      <c r="L594" s="14"/>
      <c r="M594" s="15" t="s">
        <v>18</v>
      </c>
      <c r="N594" s="10"/>
      <c r="O594" s="10"/>
    </row>
    <row r="595" spans="1:15" ht="15.6" x14ac:dyDescent="0.3">
      <c r="A595" s="72"/>
      <c r="B595" s="73"/>
      <c r="C595" s="26" t="str">
        <f>VLOOKUP($A585,NotaIndividualPorAlunoRED,2,0)</f>
        <v/>
      </c>
      <c r="D595" s="26" t="str">
        <f>VLOOKUP($A585,NotaIndividualPorAlunoRED,3,0)</f>
        <v/>
      </c>
      <c r="E595" s="26" t="str">
        <f>VLOOKUP($A585,NotaIndividualPorAlunoRED,4,0)</f>
        <v/>
      </c>
      <c r="F595" s="26" t="str">
        <f>VLOOKUP($A585,NotaIndividualPorAlunoRED,5,0)</f>
        <v/>
      </c>
      <c r="G595" s="26" t="str">
        <f>VLOOKUP($A585,NotaIndividualPorAlunoRED,6,0)</f>
        <v/>
      </c>
      <c r="H595" s="21" t="str">
        <f>VLOOKUP($A585,NotaIndividualPorAlunoRED,7,0)</f>
        <v/>
      </c>
      <c r="I595" s="14"/>
      <c r="J595" s="14"/>
      <c r="K595" s="14"/>
      <c r="L595" s="14"/>
      <c r="M595" s="20" t="str">
        <f>VLOOKUP(A585,NOTAS!C:I,7,0)</f>
        <v/>
      </c>
      <c r="N595" s="10"/>
      <c r="O595" s="10"/>
    </row>
    <row r="596" spans="1:15" x14ac:dyDescent="0.3">
      <c r="A596" s="72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0"/>
      <c r="O596" s="10"/>
    </row>
    <row r="597" spans="1:15" x14ac:dyDescent="0.3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</row>
    <row r="598" spans="1:15" x14ac:dyDescent="0.3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</row>
    <row r="599" spans="1:15" x14ac:dyDescent="0.3">
      <c r="A599" s="58" t="s">
        <v>38</v>
      </c>
      <c r="B599" s="57" t="s">
        <v>35</v>
      </c>
      <c r="C599" s="57" t="s">
        <v>56</v>
      </c>
      <c r="D599" s="57" t="s">
        <v>57</v>
      </c>
      <c r="E599" s="57" t="s">
        <v>58</v>
      </c>
      <c r="F599" s="57" t="s">
        <v>59</v>
      </c>
      <c r="G599" s="57" t="s">
        <v>60</v>
      </c>
      <c r="H599" s="57" t="s">
        <v>36</v>
      </c>
      <c r="I599" s="57" t="s">
        <v>61</v>
      </c>
      <c r="J599" s="57" t="s">
        <v>34</v>
      </c>
      <c r="K599" s="57" t="s">
        <v>62</v>
      </c>
      <c r="L599" s="16" t="s">
        <v>33</v>
      </c>
      <c r="M599" s="57" t="s">
        <v>37</v>
      </c>
      <c r="N599" s="10"/>
      <c r="O599" s="10"/>
    </row>
    <row r="600" spans="1:15" ht="15.6" x14ac:dyDescent="0.3">
      <c r="A600" s="58" t="str" cm="1">
        <f t="array" ref="A600">IF(ISERROR(INDEX(ListaDeAlunos,(((ROW()-2)/17)+1),(COLUMN()+1))),"",INDEX(ListaDeAlunos,(((ROW()-2)/17)+1),(COLUMN()+1)))</f>
        <v/>
      </c>
      <c r="B600" s="17" t="str">
        <f>VLOOKUP($A600,NotaIndividualPorAlunoPROVAO,2,0)</f>
        <v/>
      </c>
      <c r="C600" s="18" t="str">
        <f>VLOOKUP($A600,NotaIndividualPorAlunoPROVAO,3,0)</f>
        <v/>
      </c>
      <c r="D600" s="17" t="str">
        <f>VLOOKUP($A600,NotaIndividualPorAlunoPROVAO,4,0)</f>
        <v/>
      </c>
      <c r="E600" s="18" t="str">
        <f>VLOOKUP($A600,NotaIndividualPorAlunoPROVAO,5,0)</f>
        <v/>
      </c>
      <c r="F600" s="17" t="str">
        <f>VLOOKUP($A600,NotaIndividualPorAlunoPROVAO,6,0)</f>
        <v/>
      </c>
      <c r="G600" s="18" t="str">
        <f>VLOOKUP($A600,NotaIndividualPorAlunoPROVAO,7,0)</f>
        <v/>
      </c>
      <c r="H600" s="17" t="str">
        <f>VLOOKUP($A600,NotaIndividualPorAlunoPROVAO,8,0)</f>
        <v/>
      </c>
      <c r="I600" s="18" t="str">
        <f>VLOOKUP($A600,NotaIndividualPorAlunoPROVAO,9,0)</f>
        <v/>
      </c>
      <c r="J600" s="17" t="str">
        <f>VLOOKUP($A600,NotaIndividualPorAlunoPROVAO,10,0)</f>
        <v/>
      </c>
      <c r="K600" s="18" t="str">
        <f>VLOOKUP($A600,NotaIndividualPorAlunoPROVAO,11,0)</f>
        <v/>
      </c>
      <c r="L600" s="15" t="str">
        <f>VLOOKUP($A600,NotaIndividualPorAlunoPROVAO,12,0)</f>
        <v/>
      </c>
      <c r="M600" s="25" t="str">
        <f>VLOOKUP($A600,NotaIndividualPorAlunoPROVAO,13,0)</f>
        <v/>
      </c>
      <c r="N600" s="10"/>
      <c r="O600" s="10"/>
    </row>
    <row r="601" spans="1:15" x14ac:dyDescent="0.3">
      <c r="N601" s="10"/>
      <c r="O601" s="10"/>
    </row>
    <row r="602" spans="1:15" x14ac:dyDescent="0.3">
      <c r="A602" s="72" t="str">
        <f>A600</f>
        <v/>
      </c>
      <c r="B602" s="73" t="s">
        <v>15</v>
      </c>
      <c r="C602" s="57" t="s">
        <v>2</v>
      </c>
      <c r="D602" s="57" t="s">
        <v>3</v>
      </c>
      <c r="E602" s="57" t="s">
        <v>4</v>
      </c>
      <c r="F602" s="57" t="s">
        <v>5</v>
      </c>
      <c r="G602" s="57" t="s">
        <v>6</v>
      </c>
      <c r="H602" s="57" t="s">
        <v>7</v>
      </c>
      <c r="I602" s="57" t="s">
        <v>8</v>
      </c>
      <c r="J602" s="57" t="s">
        <v>9</v>
      </c>
      <c r="K602" s="57" t="s">
        <v>10</v>
      </c>
      <c r="L602" s="57" t="s">
        <v>11</v>
      </c>
      <c r="M602" s="57" t="s">
        <v>13</v>
      </c>
      <c r="N602" s="10"/>
      <c r="O602" s="10"/>
    </row>
    <row r="603" spans="1:15" ht="15.6" x14ac:dyDescent="0.3">
      <c r="A603" s="72"/>
      <c r="B603" s="73"/>
      <c r="C603" s="5" t="str">
        <f t="shared" ref="C603:L603" si="105">VLOOKUP($A602,NotaIndividualPorAlunoMAT,RIGHT(C602,2)+1,0)</f>
        <v/>
      </c>
      <c r="D603" s="5" t="str">
        <f t="shared" si="105"/>
        <v/>
      </c>
      <c r="E603" s="5" t="str">
        <f t="shared" si="105"/>
        <v/>
      </c>
      <c r="F603" s="5" t="str">
        <f t="shared" si="105"/>
        <v/>
      </c>
      <c r="G603" s="5" t="str">
        <f t="shared" si="105"/>
        <v/>
      </c>
      <c r="H603" s="5" t="str">
        <f t="shared" si="105"/>
        <v/>
      </c>
      <c r="I603" s="5" t="str">
        <f t="shared" si="105"/>
        <v/>
      </c>
      <c r="J603" s="5" t="str">
        <f t="shared" si="105"/>
        <v/>
      </c>
      <c r="K603" s="5" t="str">
        <f t="shared" si="105"/>
        <v/>
      </c>
      <c r="L603" s="5" t="str">
        <f t="shared" si="105"/>
        <v/>
      </c>
      <c r="M603" s="19" t="str">
        <f>VLOOKUP($A602,NotaIndividualPorAlunoMAT,RIGHT(L602,2)+2,0)</f>
        <v/>
      </c>
      <c r="N603" s="10"/>
      <c r="O603" s="10"/>
    </row>
    <row r="604" spans="1:15" x14ac:dyDescent="0.3">
      <c r="A604" s="72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0"/>
      <c r="O604" s="10"/>
    </row>
    <row r="605" spans="1:15" x14ac:dyDescent="0.3">
      <c r="A605" s="72"/>
      <c r="B605" s="73" t="s">
        <v>14</v>
      </c>
      <c r="C605" s="57" t="s">
        <v>46</v>
      </c>
      <c r="D605" s="57" t="s">
        <v>47</v>
      </c>
      <c r="E605" s="57" t="s">
        <v>48</v>
      </c>
      <c r="F605" s="57" t="s">
        <v>49</v>
      </c>
      <c r="G605" s="57" t="s">
        <v>50</v>
      </c>
      <c r="H605" s="57" t="s">
        <v>51</v>
      </c>
      <c r="I605" s="57" t="s">
        <v>52</v>
      </c>
      <c r="J605" s="57" t="s">
        <v>53</v>
      </c>
      <c r="K605" s="57" t="s">
        <v>54</v>
      </c>
      <c r="L605" s="57" t="s">
        <v>55</v>
      </c>
      <c r="M605" s="57" t="s">
        <v>13</v>
      </c>
      <c r="N605" s="10"/>
      <c r="O605" s="10"/>
    </row>
    <row r="606" spans="1:15" ht="15.6" x14ac:dyDescent="0.3">
      <c r="A606" s="72"/>
      <c r="B606" s="73"/>
      <c r="C606" s="3" t="str">
        <f t="shared" ref="C606:L606" si="106">VLOOKUP($A602,NotaIndividualPorAlunoQUI,RIGHT(C605,2)-9,0)</f>
        <v/>
      </c>
      <c r="D606" s="3" t="str">
        <f t="shared" si="106"/>
        <v/>
      </c>
      <c r="E606" s="3" t="str">
        <f t="shared" si="106"/>
        <v/>
      </c>
      <c r="F606" s="3" t="str">
        <f t="shared" si="106"/>
        <v/>
      </c>
      <c r="G606" s="3" t="str">
        <f t="shared" si="106"/>
        <v/>
      </c>
      <c r="H606" s="3" t="str">
        <f t="shared" si="106"/>
        <v/>
      </c>
      <c r="I606" s="3" t="str">
        <f t="shared" si="106"/>
        <v/>
      </c>
      <c r="J606" s="3" t="str">
        <f t="shared" si="106"/>
        <v/>
      </c>
      <c r="K606" s="3" t="str">
        <f t="shared" si="106"/>
        <v/>
      </c>
      <c r="L606" s="3" t="str">
        <f t="shared" si="106"/>
        <v/>
      </c>
      <c r="M606" s="19" t="str">
        <f>VLOOKUP($A602,NotaIndividualPorAlunoQUI,RIGHT(L605,2)-8,0)</f>
        <v/>
      </c>
      <c r="N606" s="10"/>
      <c r="O606" s="10"/>
    </row>
    <row r="607" spans="1:15" x14ac:dyDescent="0.3">
      <c r="A607" s="72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0"/>
      <c r="O607" s="10"/>
    </row>
    <row r="608" spans="1:15" x14ac:dyDescent="0.3">
      <c r="A608" s="72"/>
      <c r="B608" s="73" t="s">
        <v>12</v>
      </c>
      <c r="C608" s="57" t="s">
        <v>2</v>
      </c>
      <c r="D608" s="57" t="s">
        <v>3</v>
      </c>
      <c r="E608" s="57" t="s">
        <v>4</v>
      </c>
      <c r="F608" s="57" t="s">
        <v>5</v>
      </c>
      <c r="G608" s="57" t="s">
        <v>6</v>
      </c>
      <c r="H608" s="57" t="s">
        <v>7</v>
      </c>
      <c r="I608" s="57" t="s">
        <v>8</v>
      </c>
      <c r="J608" s="57" t="s">
        <v>9</v>
      </c>
      <c r="K608" s="57" t="s">
        <v>10</v>
      </c>
      <c r="L608" s="57" t="s">
        <v>11</v>
      </c>
      <c r="M608" s="57" t="s">
        <v>13</v>
      </c>
      <c r="N608" s="10"/>
      <c r="O608" s="10"/>
    </row>
    <row r="609" spans="1:15" ht="15.6" x14ac:dyDescent="0.3">
      <c r="A609" s="72"/>
      <c r="B609" s="73"/>
      <c r="C609" s="3" t="str">
        <f t="shared" ref="C609:L609" si="107">VLOOKUP($A602,NotaIndividualPorAlunoFIS,RIGHT(C608,2)+1,0)</f>
        <v/>
      </c>
      <c r="D609" s="3" t="str">
        <f t="shared" si="107"/>
        <v/>
      </c>
      <c r="E609" s="3" t="str">
        <f t="shared" si="107"/>
        <v/>
      </c>
      <c r="F609" s="3" t="str">
        <f t="shared" si="107"/>
        <v/>
      </c>
      <c r="G609" s="3" t="str">
        <f t="shared" si="107"/>
        <v/>
      </c>
      <c r="H609" s="3" t="str">
        <f t="shared" si="107"/>
        <v/>
      </c>
      <c r="I609" s="3" t="str">
        <f t="shared" si="107"/>
        <v/>
      </c>
      <c r="J609" s="3" t="str">
        <f t="shared" si="107"/>
        <v/>
      </c>
      <c r="K609" s="3" t="str">
        <f t="shared" si="107"/>
        <v/>
      </c>
      <c r="L609" s="3" t="str">
        <f t="shared" si="107"/>
        <v/>
      </c>
      <c r="M609" s="19" t="str">
        <f>VLOOKUP($A602,NotaIndividualPorAlunoFIS,RIGHT(L608,2)+2,0)</f>
        <v/>
      </c>
      <c r="N609" s="10"/>
      <c r="O609" s="10"/>
    </row>
    <row r="610" spans="1:15" ht="15.6" x14ac:dyDescent="0.3">
      <c r="A610" s="72"/>
      <c r="B610" s="12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0"/>
      <c r="O610" s="10"/>
    </row>
    <row r="611" spans="1:15" ht="15.6" x14ac:dyDescent="0.3">
      <c r="A611" s="72"/>
      <c r="B611" s="73" t="s">
        <v>16</v>
      </c>
      <c r="C611" s="23" t="s">
        <v>41</v>
      </c>
      <c r="D611" s="58" t="s">
        <v>42</v>
      </c>
      <c r="E611" s="23" t="s">
        <v>43</v>
      </c>
      <c r="F611" s="58" t="s">
        <v>44</v>
      </c>
      <c r="G611" s="23" t="s">
        <v>63</v>
      </c>
      <c r="H611" s="58" t="s">
        <v>32</v>
      </c>
      <c r="I611" s="14"/>
      <c r="J611" s="14"/>
      <c r="K611" s="14"/>
      <c r="L611" s="14"/>
      <c r="M611" s="15" t="s">
        <v>18</v>
      </c>
      <c r="N611" s="10"/>
      <c r="O611" s="10"/>
    </row>
    <row r="612" spans="1:15" ht="15.6" x14ac:dyDescent="0.3">
      <c r="A612" s="72"/>
      <c r="B612" s="73"/>
      <c r="C612" s="26" t="str">
        <f>VLOOKUP($A602,NotaIndividualPorAlunoRED,2,0)</f>
        <v/>
      </c>
      <c r="D612" s="26" t="str">
        <f>VLOOKUP($A602,NotaIndividualPorAlunoRED,3,0)</f>
        <v/>
      </c>
      <c r="E612" s="26" t="str">
        <f>VLOOKUP($A602,NotaIndividualPorAlunoRED,4,0)</f>
        <v/>
      </c>
      <c r="F612" s="26" t="str">
        <f>VLOOKUP($A602,NotaIndividualPorAlunoRED,5,0)</f>
        <v/>
      </c>
      <c r="G612" s="26" t="str">
        <f>VLOOKUP($A602,NotaIndividualPorAlunoRED,6,0)</f>
        <v/>
      </c>
      <c r="H612" s="21" t="str">
        <f>VLOOKUP($A602,NotaIndividualPorAlunoRED,7,0)</f>
        <v/>
      </c>
      <c r="I612" s="14"/>
      <c r="J612" s="14"/>
      <c r="K612" s="14"/>
      <c r="L612" s="14"/>
      <c r="M612" s="20" t="str">
        <f>VLOOKUP(A602,NOTAS!C:I,7,0)</f>
        <v/>
      </c>
      <c r="N612" s="10"/>
      <c r="O612" s="10"/>
    </row>
    <row r="613" spans="1:15" x14ac:dyDescent="0.3">
      <c r="A613" s="72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0"/>
      <c r="O613" s="10"/>
    </row>
    <row r="614" spans="1:15" x14ac:dyDescent="0.3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</row>
    <row r="615" spans="1:15" x14ac:dyDescent="0.3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</row>
    <row r="616" spans="1:15" x14ac:dyDescent="0.3">
      <c r="A616" s="58" t="s">
        <v>38</v>
      </c>
      <c r="B616" s="57" t="s">
        <v>35</v>
      </c>
      <c r="C616" s="57" t="s">
        <v>56</v>
      </c>
      <c r="D616" s="57" t="s">
        <v>57</v>
      </c>
      <c r="E616" s="57" t="s">
        <v>58</v>
      </c>
      <c r="F616" s="57" t="s">
        <v>59</v>
      </c>
      <c r="G616" s="57" t="s">
        <v>60</v>
      </c>
      <c r="H616" s="57" t="s">
        <v>36</v>
      </c>
      <c r="I616" s="57" t="s">
        <v>61</v>
      </c>
      <c r="J616" s="57" t="s">
        <v>34</v>
      </c>
      <c r="K616" s="57" t="s">
        <v>62</v>
      </c>
      <c r="L616" s="16" t="s">
        <v>33</v>
      </c>
      <c r="M616" s="57" t="s">
        <v>37</v>
      </c>
      <c r="N616" s="10"/>
      <c r="O616" s="10"/>
    </row>
    <row r="617" spans="1:15" ht="15.6" x14ac:dyDescent="0.3">
      <c r="A617" s="58" t="str" cm="1">
        <f t="array" ref="A617">IF(ISERROR(INDEX(ListaDeAlunos,(((ROW()-2)/17)+1),(COLUMN()+1))),"",INDEX(ListaDeAlunos,(((ROW()-2)/17)+1),(COLUMN()+1)))</f>
        <v/>
      </c>
      <c r="B617" s="17" t="str">
        <f>VLOOKUP($A617,NotaIndividualPorAlunoPROVAO,2,0)</f>
        <v/>
      </c>
      <c r="C617" s="18" t="str">
        <f>VLOOKUP($A617,NotaIndividualPorAlunoPROVAO,3,0)</f>
        <v/>
      </c>
      <c r="D617" s="17" t="str">
        <f>VLOOKUP($A617,NotaIndividualPorAlunoPROVAO,4,0)</f>
        <v/>
      </c>
      <c r="E617" s="18" t="str">
        <f>VLOOKUP($A617,NotaIndividualPorAlunoPROVAO,5,0)</f>
        <v/>
      </c>
      <c r="F617" s="17" t="str">
        <f>VLOOKUP($A617,NotaIndividualPorAlunoPROVAO,6,0)</f>
        <v/>
      </c>
      <c r="G617" s="18" t="str">
        <f>VLOOKUP($A617,NotaIndividualPorAlunoPROVAO,7,0)</f>
        <v/>
      </c>
      <c r="H617" s="17" t="str">
        <f>VLOOKUP($A617,NotaIndividualPorAlunoPROVAO,8,0)</f>
        <v/>
      </c>
      <c r="I617" s="18" t="str">
        <f>VLOOKUP($A617,NotaIndividualPorAlunoPROVAO,9,0)</f>
        <v/>
      </c>
      <c r="J617" s="17" t="str">
        <f>VLOOKUP($A617,NotaIndividualPorAlunoPROVAO,10,0)</f>
        <v/>
      </c>
      <c r="K617" s="18" t="str">
        <f>VLOOKUP($A617,NotaIndividualPorAlunoPROVAO,11,0)</f>
        <v/>
      </c>
      <c r="L617" s="15" t="str">
        <f>VLOOKUP($A617,NotaIndividualPorAlunoPROVAO,12,0)</f>
        <v/>
      </c>
      <c r="M617" s="25" t="str">
        <f>VLOOKUP($A617,NotaIndividualPorAlunoPROVAO,13,0)</f>
        <v/>
      </c>
      <c r="N617" s="10"/>
      <c r="O617" s="10"/>
    </row>
    <row r="618" spans="1:15" x14ac:dyDescent="0.3">
      <c r="N618" s="10"/>
      <c r="O618" s="10"/>
    </row>
    <row r="619" spans="1:15" x14ac:dyDescent="0.3">
      <c r="A619" s="72" t="str">
        <f>A617</f>
        <v/>
      </c>
      <c r="B619" s="73" t="s">
        <v>15</v>
      </c>
      <c r="C619" s="57" t="s">
        <v>2</v>
      </c>
      <c r="D619" s="57" t="s">
        <v>3</v>
      </c>
      <c r="E619" s="57" t="s">
        <v>4</v>
      </c>
      <c r="F619" s="57" t="s">
        <v>5</v>
      </c>
      <c r="G619" s="57" t="s">
        <v>6</v>
      </c>
      <c r="H619" s="57" t="s">
        <v>7</v>
      </c>
      <c r="I619" s="57" t="s">
        <v>8</v>
      </c>
      <c r="J619" s="57" t="s">
        <v>9</v>
      </c>
      <c r="K619" s="57" t="s">
        <v>10</v>
      </c>
      <c r="L619" s="57" t="s">
        <v>11</v>
      </c>
      <c r="M619" s="57" t="s">
        <v>13</v>
      </c>
      <c r="N619" s="10"/>
      <c r="O619" s="10"/>
    </row>
    <row r="620" spans="1:15" ht="15.6" x14ac:dyDescent="0.3">
      <c r="A620" s="72"/>
      <c r="B620" s="73"/>
      <c r="C620" s="5" t="str">
        <f t="shared" ref="C620:L620" si="108">VLOOKUP($A619,NotaIndividualPorAlunoMAT,RIGHT(C619,2)+1,0)</f>
        <v/>
      </c>
      <c r="D620" s="5" t="str">
        <f t="shared" si="108"/>
        <v/>
      </c>
      <c r="E620" s="5" t="str">
        <f t="shared" si="108"/>
        <v/>
      </c>
      <c r="F620" s="5" t="str">
        <f t="shared" si="108"/>
        <v/>
      </c>
      <c r="G620" s="5" t="str">
        <f t="shared" si="108"/>
        <v/>
      </c>
      <c r="H620" s="5" t="str">
        <f t="shared" si="108"/>
        <v/>
      </c>
      <c r="I620" s="5" t="str">
        <f t="shared" si="108"/>
        <v/>
      </c>
      <c r="J620" s="5" t="str">
        <f t="shared" si="108"/>
        <v/>
      </c>
      <c r="K620" s="5" t="str">
        <f t="shared" si="108"/>
        <v/>
      </c>
      <c r="L620" s="5" t="str">
        <f t="shared" si="108"/>
        <v/>
      </c>
      <c r="M620" s="19" t="str">
        <f>VLOOKUP($A619,NotaIndividualPorAlunoMAT,RIGHT(L619,2)+2,0)</f>
        <v/>
      </c>
      <c r="N620" s="10"/>
      <c r="O620" s="10"/>
    </row>
    <row r="621" spans="1:15" x14ac:dyDescent="0.3">
      <c r="A621" s="72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0"/>
      <c r="O621" s="10"/>
    </row>
    <row r="622" spans="1:15" x14ac:dyDescent="0.3">
      <c r="A622" s="72"/>
      <c r="B622" s="73" t="s">
        <v>14</v>
      </c>
      <c r="C622" s="57" t="s">
        <v>46</v>
      </c>
      <c r="D622" s="57" t="s">
        <v>47</v>
      </c>
      <c r="E622" s="57" t="s">
        <v>48</v>
      </c>
      <c r="F622" s="57" t="s">
        <v>49</v>
      </c>
      <c r="G622" s="57" t="s">
        <v>50</v>
      </c>
      <c r="H622" s="57" t="s">
        <v>51</v>
      </c>
      <c r="I622" s="57" t="s">
        <v>52</v>
      </c>
      <c r="J622" s="57" t="s">
        <v>53</v>
      </c>
      <c r="K622" s="57" t="s">
        <v>54</v>
      </c>
      <c r="L622" s="57" t="s">
        <v>55</v>
      </c>
      <c r="M622" s="57" t="s">
        <v>13</v>
      </c>
      <c r="N622" s="10"/>
      <c r="O622" s="10"/>
    </row>
    <row r="623" spans="1:15" ht="15.6" x14ac:dyDescent="0.3">
      <c r="A623" s="72"/>
      <c r="B623" s="73"/>
      <c r="C623" s="3" t="str">
        <f t="shared" ref="C623:L623" si="109">VLOOKUP($A619,NotaIndividualPorAlunoQUI,RIGHT(C622,2)-9,0)</f>
        <v/>
      </c>
      <c r="D623" s="3" t="str">
        <f t="shared" si="109"/>
        <v/>
      </c>
      <c r="E623" s="3" t="str">
        <f t="shared" si="109"/>
        <v/>
      </c>
      <c r="F623" s="3" t="str">
        <f t="shared" si="109"/>
        <v/>
      </c>
      <c r="G623" s="3" t="str">
        <f t="shared" si="109"/>
        <v/>
      </c>
      <c r="H623" s="3" t="str">
        <f t="shared" si="109"/>
        <v/>
      </c>
      <c r="I623" s="3" t="str">
        <f t="shared" si="109"/>
        <v/>
      </c>
      <c r="J623" s="3" t="str">
        <f t="shared" si="109"/>
        <v/>
      </c>
      <c r="K623" s="3" t="str">
        <f t="shared" si="109"/>
        <v/>
      </c>
      <c r="L623" s="3" t="str">
        <f t="shared" si="109"/>
        <v/>
      </c>
      <c r="M623" s="19" t="str">
        <f>VLOOKUP($A619,NotaIndividualPorAlunoQUI,RIGHT(L622,2)-8,0)</f>
        <v/>
      </c>
      <c r="N623" s="10"/>
      <c r="O623" s="10"/>
    </row>
    <row r="624" spans="1:15" x14ac:dyDescent="0.3">
      <c r="A624" s="72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0"/>
      <c r="O624" s="10"/>
    </row>
    <row r="625" spans="1:15" x14ac:dyDescent="0.3">
      <c r="A625" s="72"/>
      <c r="B625" s="73" t="s">
        <v>12</v>
      </c>
      <c r="C625" s="57" t="s">
        <v>2</v>
      </c>
      <c r="D625" s="57" t="s">
        <v>3</v>
      </c>
      <c r="E625" s="57" t="s">
        <v>4</v>
      </c>
      <c r="F625" s="57" t="s">
        <v>5</v>
      </c>
      <c r="G625" s="57" t="s">
        <v>6</v>
      </c>
      <c r="H625" s="57" t="s">
        <v>7</v>
      </c>
      <c r="I625" s="57" t="s">
        <v>8</v>
      </c>
      <c r="J625" s="57" t="s">
        <v>9</v>
      </c>
      <c r="K625" s="57" t="s">
        <v>10</v>
      </c>
      <c r="L625" s="57" t="s">
        <v>11</v>
      </c>
      <c r="M625" s="57" t="s">
        <v>13</v>
      </c>
      <c r="N625" s="10"/>
      <c r="O625" s="10"/>
    </row>
    <row r="626" spans="1:15" ht="15.6" x14ac:dyDescent="0.3">
      <c r="A626" s="72"/>
      <c r="B626" s="73"/>
      <c r="C626" s="3" t="str">
        <f t="shared" ref="C626:L626" si="110">VLOOKUP($A619,NotaIndividualPorAlunoFIS,RIGHT(C625,2)+1,0)</f>
        <v/>
      </c>
      <c r="D626" s="3" t="str">
        <f t="shared" si="110"/>
        <v/>
      </c>
      <c r="E626" s="3" t="str">
        <f t="shared" si="110"/>
        <v/>
      </c>
      <c r="F626" s="3" t="str">
        <f t="shared" si="110"/>
        <v/>
      </c>
      <c r="G626" s="3" t="str">
        <f t="shared" si="110"/>
        <v/>
      </c>
      <c r="H626" s="3" t="str">
        <f t="shared" si="110"/>
        <v/>
      </c>
      <c r="I626" s="3" t="str">
        <f t="shared" si="110"/>
        <v/>
      </c>
      <c r="J626" s="3" t="str">
        <f t="shared" si="110"/>
        <v/>
      </c>
      <c r="K626" s="3" t="str">
        <f t="shared" si="110"/>
        <v/>
      </c>
      <c r="L626" s="3" t="str">
        <f t="shared" si="110"/>
        <v/>
      </c>
      <c r="M626" s="19" t="str">
        <f>VLOOKUP($A619,NotaIndividualPorAlunoFIS,RIGHT(L625,2)+2,0)</f>
        <v/>
      </c>
      <c r="N626" s="10"/>
      <c r="O626" s="10"/>
    </row>
    <row r="627" spans="1:15" ht="15.6" x14ac:dyDescent="0.3">
      <c r="A627" s="72"/>
      <c r="B627" s="12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0"/>
      <c r="O627" s="10"/>
    </row>
    <row r="628" spans="1:15" ht="15.6" x14ac:dyDescent="0.3">
      <c r="A628" s="72"/>
      <c r="B628" s="73" t="s">
        <v>16</v>
      </c>
      <c r="C628" s="23" t="s">
        <v>41</v>
      </c>
      <c r="D628" s="58" t="s">
        <v>42</v>
      </c>
      <c r="E628" s="23" t="s">
        <v>43</v>
      </c>
      <c r="F628" s="58" t="s">
        <v>44</v>
      </c>
      <c r="G628" s="23" t="s">
        <v>63</v>
      </c>
      <c r="H628" s="58" t="s">
        <v>32</v>
      </c>
      <c r="I628" s="14"/>
      <c r="J628" s="14"/>
      <c r="K628" s="14"/>
      <c r="L628" s="14"/>
      <c r="M628" s="15" t="s">
        <v>18</v>
      </c>
      <c r="N628" s="10"/>
      <c r="O628" s="10"/>
    </row>
    <row r="629" spans="1:15" ht="15.6" x14ac:dyDescent="0.3">
      <c r="A629" s="72"/>
      <c r="B629" s="73"/>
      <c r="C629" s="26" t="str">
        <f>VLOOKUP($A619,NotaIndividualPorAlunoRED,2,0)</f>
        <v/>
      </c>
      <c r="D629" s="26" t="str">
        <f>VLOOKUP($A619,NotaIndividualPorAlunoRED,3,0)</f>
        <v/>
      </c>
      <c r="E629" s="26" t="str">
        <f>VLOOKUP($A619,NotaIndividualPorAlunoRED,4,0)</f>
        <v/>
      </c>
      <c r="F629" s="26" t="str">
        <f>VLOOKUP($A619,NotaIndividualPorAlunoRED,5,0)</f>
        <v/>
      </c>
      <c r="G629" s="26" t="str">
        <f>VLOOKUP($A619,NotaIndividualPorAlunoRED,6,0)</f>
        <v/>
      </c>
      <c r="H629" s="21" t="str">
        <f>VLOOKUP($A619,NotaIndividualPorAlunoRED,7,0)</f>
        <v/>
      </c>
      <c r="I629" s="14"/>
      <c r="J629" s="14"/>
      <c r="K629" s="14"/>
      <c r="L629" s="14"/>
      <c r="M629" s="20" t="str">
        <f>VLOOKUP(A619,NOTAS!C:I,7,0)</f>
        <v/>
      </c>
      <c r="N629" s="10"/>
      <c r="O629" s="10"/>
    </row>
    <row r="630" spans="1:15" x14ac:dyDescent="0.3">
      <c r="A630" s="72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0"/>
      <c r="O630" s="10"/>
    </row>
    <row r="631" spans="1:15" x14ac:dyDescent="0.3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</row>
    <row r="632" spans="1:15" x14ac:dyDescent="0.3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</row>
    <row r="633" spans="1:15" x14ac:dyDescent="0.3">
      <c r="A633" s="58" t="s">
        <v>38</v>
      </c>
      <c r="B633" s="57" t="s">
        <v>35</v>
      </c>
      <c r="C633" s="57" t="s">
        <v>56</v>
      </c>
      <c r="D633" s="57" t="s">
        <v>57</v>
      </c>
      <c r="E633" s="57" t="s">
        <v>58</v>
      </c>
      <c r="F633" s="57" t="s">
        <v>59</v>
      </c>
      <c r="G633" s="57" t="s">
        <v>60</v>
      </c>
      <c r="H633" s="57" t="s">
        <v>36</v>
      </c>
      <c r="I633" s="57" t="s">
        <v>61</v>
      </c>
      <c r="J633" s="57" t="s">
        <v>34</v>
      </c>
      <c r="K633" s="57" t="s">
        <v>62</v>
      </c>
      <c r="L633" s="16" t="s">
        <v>33</v>
      </c>
      <c r="M633" s="57" t="s">
        <v>37</v>
      </c>
      <c r="N633" s="10"/>
      <c r="O633" s="10"/>
    </row>
    <row r="634" spans="1:15" ht="15.6" x14ac:dyDescent="0.3">
      <c r="A634" s="58" t="str" cm="1">
        <f t="array" ref="A634">IF(ISERROR(INDEX(ListaDeAlunos,(((ROW()-2)/17)+1),(COLUMN()+1))),"",INDEX(ListaDeAlunos,(((ROW()-2)/17)+1),(COLUMN()+1)))</f>
        <v/>
      </c>
      <c r="B634" s="17" t="str">
        <f>VLOOKUP($A634,NotaIndividualPorAlunoPROVAO,2,0)</f>
        <v/>
      </c>
      <c r="C634" s="18" t="str">
        <f>VLOOKUP($A634,NotaIndividualPorAlunoPROVAO,3,0)</f>
        <v/>
      </c>
      <c r="D634" s="17" t="str">
        <f>VLOOKUP($A634,NotaIndividualPorAlunoPROVAO,4,0)</f>
        <v/>
      </c>
      <c r="E634" s="18" t="str">
        <f>VLOOKUP($A634,NotaIndividualPorAlunoPROVAO,5,0)</f>
        <v/>
      </c>
      <c r="F634" s="17" t="str">
        <f>VLOOKUP($A634,NotaIndividualPorAlunoPROVAO,6,0)</f>
        <v/>
      </c>
      <c r="G634" s="18" t="str">
        <f>VLOOKUP($A634,NotaIndividualPorAlunoPROVAO,7,0)</f>
        <v/>
      </c>
      <c r="H634" s="17" t="str">
        <f>VLOOKUP($A634,NotaIndividualPorAlunoPROVAO,8,0)</f>
        <v/>
      </c>
      <c r="I634" s="18" t="str">
        <f>VLOOKUP($A634,NotaIndividualPorAlunoPROVAO,9,0)</f>
        <v/>
      </c>
      <c r="J634" s="17" t="str">
        <f>VLOOKUP($A634,NotaIndividualPorAlunoPROVAO,10,0)</f>
        <v/>
      </c>
      <c r="K634" s="18" t="str">
        <f>VLOOKUP($A634,NotaIndividualPorAlunoPROVAO,11,0)</f>
        <v/>
      </c>
      <c r="L634" s="15" t="str">
        <f>VLOOKUP($A634,NotaIndividualPorAlunoPROVAO,12,0)</f>
        <v/>
      </c>
      <c r="M634" s="25" t="str">
        <f>VLOOKUP($A634,NotaIndividualPorAlunoPROVAO,13,0)</f>
        <v/>
      </c>
      <c r="N634" s="10"/>
      <c r="O634" s="10"/>
    </row>
    <row r="635" spans="1:15" x14ac:dyDescent="0.3">
      <c r="N635" s="10"/>
      <c r="O635" s="10"/>
    </row>
    <row r="636" spans="1:15" x14ac:dyDescent="0.3">
      <c r="A636" s="72" t="str">
        <f>A634</f>
        <v/>
      </c>
      <c r="B636" s="73" t="s">
        <v>15</v>
      </c>
      <c r="C636" s="57" t="s">
        <v>2</v>
      </c>
      <c r="D636" s="57" t="s">
        <v>3</v>
      </c>
      <c r="E636" s="57" t="s">
        <v>4</v>
      </c>
      <c r="F636" s="57" t="s">
        <v>5</v>
      </c>
      <c r="G636" s="57" t="s">
        <v>6</v>
      </c>
      <c r="H636" s="57" t="s">
        <v>7</v>
      </c>
      <c r="I636" s="57" t="s">
        <v>8</v>
      </c>
      <c r="J636" s="57" t="s">
        <v>9</v>
      </c>
      <c r="K636" s="57" t="s">
        <v>10</v>
      </c>
      <c r="L636" s="57" t="s">
        <v>11</v>
      </c>
      <c r="M636" s="57" t="s">
        <v>13</v>
      </c>
      <c r="N636" s="10"/>
      <c r="O636" s="10"/>
    </row>
    <row r="637" spans="1:15" ht="15.6" x14ac:dyDescent="0.3">
      <c r="A637" s="72"/>
      <c r="B637" s="73"/>
      <c r="C637" s="5" t="str">
        <f t="shared" ref="C637:L637" si="111">VLOOKUP($A636,NotaIndividualPorAlunoMAT,RIGHT(C636,2)+1,0)</f>
        <v/>
      </c>
      <c r="D637" s="5" t="str">
        <f t="shared" si="111"/>
        <v/>
      </c>
      <c r="E637" s="5" t="str">
        <f t="shared" si="111"/>
        <v/>
      </c>
      <c r="F637" s="5" t="str">
        <f t="shared" si="111"/>
        <v/>
      </c>
      <c r="G637" s="5" t="str">
        <f t="shared" si="111"/>
        <v/>
      </c>
      <c r="H637" s="5" t="str">
        <f t="shared" si="111"/>
        <v/>
      </c>
      <c r="I637" s="5" t="str">
        <f t="shared" si="111"/>
        <v/>
      </c>
      <c r="J637" s="5" t="str">
        <f t="shared" si="111"/>
        <v/>
      </c>
      <c r="K637" s="5" t="str">
        <f t="shared" si="111"/>
        <v/>
      </c>
      <c r="L637" s="5" t="str">
        <f t="shared" si="111"/>
        <v/>
      </c>
      <c r="M637" s="19" t="str">
        <f>VLOOKUP($A636,NotaIndividualPorAlunoMAT,RIGHT(L636,2)+2,0)</f>
        <v/>
      </c>
      <c r="N637" s="10"/>
      <c r="O637" s="10"/>
    </row>
    <row r="638" spans="1:15" x14ac:dyDescent="0.3">
      <c r="A638" s="72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0"/>
      <c r="O638" s="10"/>
    </row>
    <row r="639" spans="1:15" x14ac:dyDescent="0.3">
      <c r="A639" s="72"/>
      <c r="B639" s="73" t="s">
        <v>14</v>
      </c>
      <c r="C639" s="57" t="s">
        <v>46</v>
      </c>
      <c r="D639" s="57" t="s">
        <v>47</v>
      </c>
      <c r="E639" s="57" t="s">
        <v>48</v>
      </c>
      <c r="F639" s="57" t="s">
        <v>49</v>
      </c>
      <c r="G639" s="57" t="s">
        <v>50</v>
      </c>
      <c r="H639" s="57" t="s">
        <v>51</v>
      </c>
      <c r="I639" s="57" t="s">
        <v>52</v>
      </c>
      <c r="J639" s="57" t="s">
        <v>53</v>
      </c>
      <c r="K639" s="57" t="s">
        <v>54</v>
      </c>
      <c r="L639" s="57" t="s">
        <v>55</v>
      </c>
      <c r="M639" s="57" t="s">
        <v>13</v>
      </c>
      <c r="N639" s="10"/>
      <c r="O639" s="10"/>
    </row>
    <row r="640" spans="1:15" ht="15.6" x14ac:dyDescent="0.3">
      <c r="A640" s="72"/>
      <c r="B640" s="73"/>
      <c r="C640" s="3" t="str">
        <f t="shared" ref="C640:L640" si="112">VLOOKUP($A636,NotaIndividualPorAlunoQUI,RIGHT(C639,2)-9,0)</f>
        <v/>
      </c>
      <c r="D640" s="3" t="str">
        <f t="shared" si="112"/>
        <v/>
      </c>
      <c r="E640" s="3" t="str">
        <f t="shared" si="112"/>
        <v/>
      </c>
      <c r="F640" s="3" t="str">
        <f t="shared" si="112"/>
        <v/>
      </c>
      <c r="G640" s="3" t="str">
        <f t="shared" si="112"/>
        <v/>
      </c>
      <c r="H640" s="3" t="str">
        <f t="shared" si="112"/>
        <v/>
      </c>
      <c r="I640" s="3" t="str">
        <f t="shared" si="112"/>
        <v/>
      </c>
      <c r="J640" s="3" t="str">
        <f t="shared" si="112"/>
        <v/>
      </c>
      <c r="K640" s="3" t="str">
        <f t="shared" si="112"/>
        <v/>
      </c>
      <c r="L640" s="3" t="str">
        <f t="shared" si="112"/>
        <v/>
      </c>
      <c r="M640" s="19" t="str">
        <f>VLOOKUP($A636,NotaIndividualPorAlunoQUI,RIGHT(L639,2)-8,0)</f>
        <v/>
      </c>
      <c r="N640" s="10"/>
      <c r="O640" s="10"/>
    </row>
    <row r="641" spans="1:15" x14ac:dyDescent="0.3">
      <c r="A641" s="72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0"/>
      <c r="O641" s="10"/>
    </row>
    <row r="642" spans="1:15" x14ac:dyDescent="0.3">
      <c r="A642" s="72"/>
      <c r="B642" s="73" t="s">
        <v>12</v>
      </c>
      <c r="C642" s="57" t="s">
        <v>2</v>
      </c>
      <c r="D642" s="57" t="s">
        <v>3</v>
      </c>
      <c r="E642" s="57" t="s">
        <v>4</v>
      </c>
      <c r="F642" s="57" t="s">
        <v>5</v>
      </c>
      <c r="G642" s="57" t="s">
        <v>6</v>
      </c>
      <c r="H642" s="57" t="s">
        <v>7</v>
      </c>
      <c r="I642" s="57" t="s">
        <v>8</v>
      </c>
      <c r="J642" s="57" t="s">
        <v>9</v>
      </c>
      <c r="K642" s="57" t="s">
        <v>10</v>
      </c>
      <c r="L642" s="57" t="s">
        <v>11</v>
      </c>
      <c r="M642" s="57" t="s">
        <v>13</v>
      </c>
      <c r="N642" s="10"/>
      <c r="O642" s="10"/>
    </row>
    <row r="643" spans="1:15" ht="15.6" x14ac:dyDescent="0.3">
      <c r="A643" s="72"/>
      <c r="B643" s="73"/>
      <c r="C643" s="3" t="str">
        <f t="shared" ref="C643:L643" si="113">VLOOKUP($A636,NotaIndividualPorAlunoFIS,RIGHT(C642,2)+1,0)</f>
        <v/>
      </c>
      <c r="D643" s="3" t="str">
        <f t="shared" si="113"/>
        <v/>
      </c>
      <c r="E643" s="3" t="str">
        <f t="shared" si="113"/>
        <v/>
      </c>
      <c r="F643" s="3" t="str">
        <f t="shared" si="113"/>
        <v/>
      </c>
      <c r="G643" s="3" t="str">
        <f t="shared" si="113"/>
        <v/>
      </c>
      <c r="H643" s="3" t="str">
        <f t="shared" si="113"/>
        <v/>
      </c>
      <c r="I643" s="3" t="str">
        <f t="shared" si="113"/>
        <v/>
      </c>
      <c r="J643" s="3" t="str">
        <f t="shared" si="113"/>
        <v/>
      </c>
      <c r="K643" s="3" t="str">
        <f t="shared" si="113"/>
        <v/>
      </c>
      <c r="L643" s="3" t="str">
        <f t="shared" si="113"/>
        <v/>
      </c>
      <c r="M643" s="19" t="str">
        <f>VLOOKUP($A636,NotaIndividualPorAlunoFIS,RIGHT(L642,2)+2,0)</f>
        <v/>
      </c>
      <c r="N643" s="10"/>
      <c r="O643" s="10"/>
    </row>
    <row r="644" spans="1:15" ht="15.6" x14ac:dyDescent="0.3">
      <c r="A644" s="72"/>
      <c r="B644" s="12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0"/>
      <c r="O644" s="10"/>
    </row>
    <row r="645" spans="1:15" ht="15.6" x14ac:dyDescent="0.3">
      <c r="A645" s="72"/>
      <c r="B645" s="73" t="s">
        <v>16</v>
      </c>
      <c r="C645" s="23" t="s">
        <v>41</v>
      </c>
      <c r="D645" s="58" t="s">
        <v>42</v>
      </c>
      <c r="E645" s="23" t="s">
        <v>43</v>
      </c>
      <c r="F645" s="58" t="s">
        <v>44</v>
      </c>
      <c r="G645" s="23" t="s">
        <v>63</v>
      </c>
      <c r="H645" s="58" t="s">
        <v>32</v>
      </c>
      <c r="I645" s="14"/>
      <c r="J645" s="14"/>
      <c r="K645" s="14"/>
      <c r="L645" s="14"/>
      <c r="M645" s="15" t="s">
        <v>18</v>
      </c>
      <c r="N645" s="10"/>
      <c r="O645" s="10"/>
    </row>
    <row r="646" spans="1:15" ht="15.6" x14ac:dyDescent="0.3">
      <c r="A646" s="72"/>
      <c r="B646" s="73"/>
      <c r="C646" s="26" t="str">
        <f>VLOOKUP($A636,NotaIndividualPorAlunoRED,2,0)</f>
        <v/>
      </c>
      <c r="D646" s="26" t="str">
        <f>VLOOKUP($A636,NotaIndividualPorAlunoRED,3,0)</f>
        <v/>
      </c>
      <c r="E646" s="26" t="str">
        <f>VLOOKUP($A636,NotaIndividualPorAlunoRED,4,0)</f>
        <v/>
      </c>
      <c r="F646" s="26" t="str">
        <f>VLOOKUP($A636,NotaIndividualPorAlunoRED,5,0)</f>
        <v/>
      </c>
      <c r="G646" s="26" t="str">
        <f>VLOOKUP($A636,NotaIndividualPorAlunoRED,6,0)</f>
        <v/>
      </c>
      <c r="H646" s="21" t="str">
        <f>VLOOKUP($A636,NotaIndividualPorAlunoRED,7,0)</f>
        <v/>
      </c>
      <c r="I646" s="14"/>
      <c r="J646" s="14"/>
      <c r="K646" s="14"/>
      <c r="L646" s="14"/>
      <c r="M646" s="20" t="str">
        <f>VLOOKUP(A636,NOTAS!C:I,7,0)</f>
        <v/>
      </c>
      <c r="N646" s="10"/>
      <c r="O646" s="10"/>
    </row>
    <row r="647" spans="1:15" x14ac:dyDescent="0.3">
      <c r="A647" s="72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0"/>
      <c r="O647" s="10"/>
    </row>
    <row r="648" spans="1:15" x14ac:dyDescent="0.3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</row>
    <row r="649" spans="1:15" x14ac:dyDescent="0.3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</row>
    <row r="650" spans="1:15" x14ac:dyDescent="0.3">
      <c r="A650" s="58" t="s">
        <v>38</v>
      </c>
      <c r="B650" s="57" t="s">
        <v>35</v>
      </c>
      <c r="C650" s="57" t="s">
        <v>56</v>
      </c>
      <c r="D650" s="57" t="s">
        <v>57</v>
      </c>
      <c r="E650" s="57" t="s">
        <v>58</v>
      </c>
      <c r="F650" s="57" t="s">
        <v>59</v>
      </c>
      <c r="G650" s="57" t="s">
        <v>60</v>
      </c>
      <c r="H650" s="57" t="s">
        <v>36</v>
      </c>
      <c r="I650" s="57" t="s">
        <v>61</v>
      </c>
      <c r="J650" s="57" t="s">
        <v>34</v>
      </c>
      <c r="K650" s="57" t="s">
        <v>62</v>
      </c>
      <c r="L650" s="16" t="s">
        <v>33</v>
      </c>
      <c r="M650" s="57" t="s">
        <v>37</v>
      </c>
      <c r="N650" s="10"/>
      <c r="O650" s="10"/>
    </row>
    <row r="651" spans="1:15" ht="15.6" x14ac:dyDescent="0.3">
      <c r="A651" s="58" t="str" cm="1">
        <f t="array" ref="A651">IF(ISERROR(INDEX(ListaDeAlunos,(((ROW()-2)/17)+1),(COLUMN()+1))),"",INDEX(ListaDeAlunos,(((ROW()-2)/17)+1),(COLUMN()+1)))</f>
        <v/>
      </c>
      <c r="B651" s="17" t="str">
        <f>VLOOKUP($A651,NotaIndividualPorAlunoPROVAO,2,0)</f>
        <v/>
      </c>
      <c r="C651" s="18" t="str">
        <f>VLOOKUP($A651,NotaIndividualPorAlunoPROVAO,3,0)</f>
        <v/>
      </c>
      <c r="D651" s="17" t="str">
        <f>VLOOKUP($A651,NotaIndividualPorAlunoPROVAO,4,0)</f>
        <v/>
      </c>
      <c r="E651" s="18" t="str">
        <f>VLOOKUP($A651,NotaIndividualPorAlunoPROVAO,5,0)</f>
        <v/>
      </c>
      <c r="F651" s="17" t="str">
        <f>VLOOKUP($A651,NotaIndividualPorAlunoPROVAO,6,0)</f>
        <v/>
      </c>
      <c r="G651" s="18" t="str">
        <f>VLOOKUP($A651,NotaIndividualPorAlunoPROVAO,7,0)</f>
        <v/>
      </c>
      <c r="H651" s="17" t="str">
        <f>VLOOKUP($A651,NotaIndividualPorAlunoPROVAO,8,0)</f>
        <v/>
      </c>
      <c r="I651" s="18" t="str">
        <f>VLOOKUP($A651,NotaIndividualPorAlunoPROVAO,9,0)</f>
        <v/>
      </c>
      <c r="J651" s="17" t="str">
        <f>VLOOKUP($A651,NotaIndividualPorAlunoPROVAO,10,0)</f>
        <v/>
      </c>
      <c r="K651" s="18" t="str">
        <f>VLOOKUP($A651,NotaIndividualPorAlunoPROVAO,11,0)</f>
        <v/>
      </c>
      <c r="L651" s="15" t="str">
        <f>VLOOKUP($A651,NotaIndividualPorAlunoPROVAO,12,0)</f>
        <v/>
      </c>
      <c r="M651" s="25" t="str">
        <f>VLOOKUP($A651,NotaIndividualPorAlunoPROVAO,13,0)</f>
        <v/>
      </c>
      <c r="N651" s="10"/>
      <c r="O651" s="10"/>
    </row>
    <row r="652" spans="1:15" x14ac:dyDescent="0.3">
      <c r="N652" s="10"/>
      <c r="O652" s="10"/>
    </row>
    <row r="653" spans="1:15" x14ac:dyDescent="0.3">
      <c r="A653" s="72" t="str">
        <f>A651</f>
        <v/>
      </c>
      <c r="B653" s="73" t="s">
        <v>15</v>
      </c>
      <c r="C653" s="57" t="s">
        <v>2</v>
      </c>
      <c r="D653" s="57" t="s">
        <v>3</v>
      </c>
      <c r="E653" s="57" t="s">
        <v>4</v>
      </c>
      <c r="F653" s="57" t="s">
        <v>5</v>
      </c>
      <c r="G653" s="57" t="s">
        <v>6</v>
      </c>
      <c r="H653" s="57" t="s">
        <v>7</v>
      </c>
      <c r="I653" s="57" t="s">
        <v>8</v>
      </c>
      <c r="J653" s="57" t="s">
        <v>9</v>
      </c>
      <c r="K653" s="57" t="s">
        <v>10</v>
      </c>
      <c r="L653" s="57" t="s">
        <v>11</v>
      </c>
      <c r="M653" s="57" t="s">
        <v>13</v>
      </c>
      <c r="N653" s="10"/>
      <c r="O653" s="10"/>
    </row>
    <row r="654" spans="1:15" ht="15.6" x14ac:dyDescent="0.3">
      <c r="A654" s="72"/>
      <c r="B654" s="73"/>
      <c r="C654" s="5" t="str">
        <f t="shared" ref="C654:L654" si="114">VLOOKUP($A653,NotaIndividualPorAlunoMAT,RIGHT(C653,2)+1,0)</f>
        <v/>
      </c>
      <c r="D654" s="5" t="str">
        <f t="shared" si="114"/>
        <v/>
      </c>
      <c r="E654" s="5" t="str">
        <f t="shared" si="114"/>
        <v/>
      </c>
      <c r="F654" s="5" t="str">
        <f t="shared" si="114"/>
        <v/>
      </c>
      <c r="G654" s="5" t="str">
        <f t="shared" si="114"/>
        <v/>
      </c>
      <c r="H654" s="5" t="str">
        <f t="shared" si="114"/>
        <v/>
      </c>
      <c r="I654" s="5" t="str">
        <f t="shared" si="114"/>
        <v/>
      </c>
      <c r="J654" s="5" t="str">
        <f t="shared" si="114"/>
        <v/>
      </c>
      <c r="K654" s="5" t="str">
        <f t="shared" si="114"/>
        <v/>
      </c>
      <c r="L654" s="5" t="str">
        <f t="shared" si="114"/>
        <v/>
      </c>
      <c r="M654" s="19" t="str">
        <f>VLOOKUP($A653,NotaIndividualPorAlunoMAT,RIGHT(L653,2)+2,0)</f>
        <v/>
      </c>
      <c r="N654" s="10"/>
      <c r="O654" s="10"/>
    </row>
    <row r="655" spans="1:15" x14ac:dyDescent="0.3">
      <c r="A655" s="72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0"/>
      <c r="O655" s="10"/>
    </row>
    <row r="656" spans="1:15" x14ac:dyDescent="0.3">
      <c r="A656" s="72"/>
      <c r="B656" s="73" t="s">
        <v>14</v>
      </c>
      <c r="C656" s="57" t="s">
        <v>46</v>
      </c>
      <c r="D656" s="57" t="s">
        <v>47</v>
      </c>
      <c r="E656" s="57" t="s">
        <v>48</v>
      </c>
      <c r="F656" s="57" t="s">
        <v>49</v>
      </c>
      <c r="G656" s="57" t="s">
        <v>50</v>
      </c>
      <c r="H656" s="57" t="s">
        <v>51</v>
      </c>
      <c r="I656" s="57" t="s">
        <v>52</v>
      </c>
      <c r="J656" s="57" t="s">
        <v>53</v>
      </c>
      <c r="K656" s="57" t="s">
        <v>54</v>
      </c>
      <c r="L656" s="57" t="s">
        <v>55</v>
      </c>
      <c r="M656" s="57" t="s">
        <v>13</v>
      </c>
      <c r="N656" s="10"/>
      <c r="O656" s="10"/>
    </row>
    <row r="657" spans="1:15" ht="15.6" x14ac:dyDescent="0.3">
      <c r="A657" s="72"/>
      <c r="B657" s="73"/>
      <c r="C657" s="3" t="str">
        <f t="shared" ref="C657:L657" si="115">VLOOKUP($A653,NotaIndividualPorAlunoQUI,RIGHT(C656,2)-9,0)</f>
        <v/>
      </c>
      <c r="D657" s="3" t="str">
        <f t="shared" si="115"/>
        <v/>
      </c>
      <c r="E657" s="3" t="str">
        <f t="shared" si="115"/>
        <v/>
      </c>
      <c r="F657" s="3" t="str">
        <f t="shared" si="115"/>
        <v/>
      </c>
      <c r="G657" s="3" t="str">
        <f t="shared" si="115"/>
        <v/>
      </c>
      <c r="H657" s="3" t="str">
        <f t="shared" si="115"/>
        <v/>
      </c>
      <c r="I657" s="3" t="str">
        <f t="shared" si="115"/>
        <v/>
      </c>
      <c r="J657" s="3" t="str">
        <f t="shared" si="115"/>
        <v/>
      </c>
      <c r="K657" s="3" t="str">
        <f t="shared" si="115"/>
        <v/>
      </c>
      <c r="L657" s="3" t="str">
        <f t="shared" si="115"/>
        <v/>
      </c>
      <c r="M657" s="19" t="str">
        <f>VLOOKUP($A653,NotaIndividualPorAlunoQUI,RIGHT(L656,2)-8,0)</f>
        <v/>
      </c>
      <c r="N657" s="10"/>
      <c r="O657" s="10"/>
    </row>
    <row r="658" spans="1:15" x14ac:dyDescent="0.3">
      <c r="A658" s="72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0"/>
      <c r="O658" s="10"/>
    </row>
    <row r="659" spans="1:15" x14ac:dyDescent="0.3">
      <c r="A659" s="72"/>
      <c r="B659" s="73" t="s">
        <v>12</v>
      </c>
      <c r="C659" s="57" t="s">
        <v>2</v>
      </c>
      <c r="D659" s="57" t="s">
        <v>3</v>
      </c>
      <c r="E659" s="57" t="s">
        <v>4</v>
      </c>
      <c r="F659" s="57" t="s">
        <v>5</v>
      </c>
      <c r="G659" s="57" t="s">
        <v>6</v>
      </c>
      <c r="H659" s="57" t="s">
        <v>7</v>
      </c>
      <c r="I659" s="57" t="s">
        <v>8</v>
      </c>
      <c r="J659" s="57" t="s">
        <v>9</v>
      </c>
      <c r="K659" s="57" t="s">
        <v>10</v>
      </c>
      <c r="L659" s="57" t="s">
        <v>11</v>
      </c>
      <c r="M659" s="57" t="s">
        <v>13</v>
      </c>
      <c r="N659" s="10"/>
      <c r="O659" s="10"/>
    </row>
    <row r="660" spans="1:15" ht="15.6" x14ac:dyDescent="0.3">
      <c r="A660" s="72"/>
      <c r="B660" s="73"/>
      <c r="C660" s="3" t="str">
        <f t="shared" ref="C660:L660" si="116">VLOOKUP($A653,NotaIndividualPorAlunoFIS,RIGHT(C659,2)+1,0)</f>
        <v/>
      </c>
      <c r="D660" s="3" t="str">
        <f t="shared" si="116"/>
        <v/>
      </c>
      <c r="E660" s="3" t="str">
        <f t="shared" si="116"/>
        <v/>
      </c>
      <c r="F660" s="3" t="str">
        <f t="shared" si="116"/>
        <v/>
      </c>
      <c r="G660" s="3" t="str">
        <f t="shared" si="116"/>
        <v/>
      </c>
      <c r="H660" s="3" t="str">
        <f t="shared" si="116"/>
        <v/>
      </c>
      <c r="I660" s="3" t="str">
        <f t="shared" si="116"/>
        <v/>
      </c>
      <c r="J660" s="3" t="str">
        <f t="shared" si="116"/>
        <v/>
      </c>
      <c r="K660" s="3" t="str">
        <f t="shared" si="116"/>
        <v/>
      </c>
      <c r="L660" s="3" t="str">
        <f t="shared" si="116"/>
        <v/>
      </c>
      <c r="M660" s="19" t="str">
        <f>VLOOKUP($A653,NotaIndividualPorAlunoFIS,RIGHT(L659,2)+2,0)</f>
        <v/>
      </c>
      <c r="N660" s="10"/>
      <c r="O660" s="10"/>
    </row>
    <row r="661" spans="1:15" ht="15.6" x14ac:dyDescent="0.3">
      <c r="A661" s="72"/>
      <c r="B661" s="12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0"/>
      <c r="O661" s="10"/>
    </row>
    <row r="662" spans="1:15" ht="15.6" x14ac:dyDescent="0.3">
      <c r="A662" s="72"/>
      <c r="B662" s="73" t="s">
        <v>16</v>
      </c>
      <c r="C662" s="23" t="s">
        <v>41</v>
      </c>
      <c r="D662" s="58" t="s">
        <v>42</v>
      </c>
      <c r="E662" s="23" t="s">
        <v>43</v>
      </c>
      <c r="F662" s="58" t="s">
        <v>44</v>
      </c>
      <c r="G662" s="23" t="s">
        <v>63</v>
      </c>
      <c r="H662" s="58" t="s">
        <v>32</v>
      </c>
      <c r="I662" s="14"/>
      <c r="J662" s="14"/>
      <c r="K662" s="14"/>
      <c r="L662" s="14"/>
      <c r="M662" s="15" t="s">
        <v>18</v>
      </c>
      <c r="N662" s="10"/>
      <c r="O662" s="10"/>
    </row>
    <row r="663" spans="1:15" ht="15.6" x14ac:dyDescent="0.3">
      <c r="A663" s="72"/>
      <c r="B663" s="73"/>
      <c r="C663" s="26" t="str">
        <f>VLOOKUP($A653,NotaIndividualPorAlunoRED,2,0)</f>
        <v/>
      </c>
      <c r="D663" s="26" t="str">
        <f>VLOOKUP($A653,NotaIndividualPorAlunoRED,3,0)</f>
        <v/>
      </c>
      <c r="E663" s="26" t="str">
        <f>VLOOKUP($A653,NotaIndividualPorAlunoRED,4,0)</f>
        <v/>
      </c>
      <c r="F663" s="26" t="str">
        <f>VLOOKUP($A653,NotaIndividualPorAlunoRED,5,0)</f>
        <v/>
      </c>
      <c r="G663" s="26" t="str">
        <f>VLOOKUP($A653,NotaIndividualPorAlunoRED,6,0)</f>
        <v/>
      </c>
      <c r="H663" s="21" t="str">
        <f>VLOOKUP($A653,NotaIndividualPorAlunoRED,7,0)</f>
        <v/>
      </c>
      <c r="I663" s="14"/>
      <c r="J663" s="14"/>
      <c r="K663" s="14"/>
      <c r="L663" s="14"/>
      <c r="M663" s="20" t="str">
        <f>VLOOKUP(A653,NOTAS!C:I,7,0)</f>
        <v/>
      </c>
      <c r="N663" s="10"/>
      <c r="O663" s="10"/>
    </row>
    <row r="664" spans="1:15" x14ac:dyDescent="0.3">
      <c r="A664" s="72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0"/>
      <c r="O664" s="10"/>
    </row>
    <row r="665" spans="1:15" x14ac:dyDescent="0.3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</row>
    <row r="666" spans="1:15" x14ac:dyDescent="0.3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</row>
    <row r="667" spans="1:15" x14ac:dyDescent="0.3">
      <c r="A667" s="58" t="s">
        <v>38</v>
      </c>
      <c r="B667" s="57" t="s">
        <v>35</v>
      </c>
      <c r="C667" s="57" t="s">
        <v>56</v>
      </c>
      <c r="D667" s="57" t="s">
        <v>57</v>
      </c>
      <c r="E667" s="57" t="s">
        <v>58</v>
      </c>
      <c r="F667" s="57" t="s">
        <v>59</v>
      </c>
      <c r="G667" s="57" t="s">
        <v>60</v>
      </c>
      <c r="H667" s="57" t="s">
        <v>36</v>
      </c>
      <c r="I667" s="57" t="s">
        <v>61</v>
      </c>
      <c r="J667" s="57" t="s">
        <v>34</v>
      </c>
      <c r="K667" s="57" t="s">
        <v>62</v>
      </c>
      <c r="L667" s="16" t="s">
        <v>33</v>
      </c>
      <c r="M667" s="57" t="s">
        <v>37</v>
      </c>
      <c r="N667" s="10"/>
      <c r="O667" s="10"/>
    </row>
    <row r="668" spans="1:15" ht="15.6" x14ac:dyDescent="0.3">
      <c r="A668" s="58" t="str" cm="1">
        <f t="array" ref="A668">IF(ISERROR(INDEX(ListaDeAlunos,(((ROW()-2)/17)+1),(COLUMN()+1))),"",INDEX(ListaDeAlunos,(((ROW()-2)/17)+1),(COLUMN()+1)))</f>
        <v/>
      </c>
      <c r="B668" s="17" t="str">
        <f>VLOOKUP($A668,NotaIndividualPorAlunoPROVAO,2,0)</f>
        <v/>
      </c>
      <c r="C668" s="18" t="str">
        <f>VLOOKUP($A668,NotaIndividualPorAlunoPROVAO,3,0)</f>
        <v/>
      </c>
      <c r="D668" s="17" t="str">
        <f>VLOOKUP($A668,NotaIndividualPorAlunoPROVAO,4,0)</f>
        <v/>
      </c>
      <c r="E668" s="18" t="str">
        <f>VLOOKUP($A668,NotaIndividualPorAlunoPROVAO,5,0)</f>
        <v/>
      </c>
      <c r="F668" s="17" t="str">
        <f>VLOOKUP($A668,NotaIndividualPorAlunoPROVAO,6,0)</f>
        <v/>
      </c>
      <c r="G668" s="18" t="str">
        <f>VLOOKUP($A668,NotaIndividualPorAlunoPROVAO,7,0)</f>
        <v/>
      </c>
      <c r="H668" s="17" t="str">
        <f>VLOOKUP($A668,NotaIndividualPorAlunoPROVAO,8,0)</f>
        <v/>
      </c>
      <c r="I668" s="18" t="str">
        <f>VLOOKUP($A668,NotaIndividualPorAlunoPROVAO,9,0)</f>
        <v/>
      </c>
      <c r="J668" s="17" t="str">
        <f>VLOOKUP($A668,NotaIndividualPorAlunoPROVAO,10,0)</f>
        <v/>
      </c>
      <c r="K668" s="18" t="str">
        <f>VLOOKUP($A668,NotaIndividualPorAlunoPROVAO,11,0)</f>
        <v/>
      </c>
      <c r="L668" s="15" t="str">
        <f>VLOOKUP($A668,NotaIndividualPorAlunoPROVAO,12,0)</f>
        <v/>
      </c>
      <c r="M668" s="25" t="str">
        <f>VLOOKUP($A668,NotaIndividualPorAlunoPROVAO,13,0)</f>
        <v/>
      </c>
      <c r="N668" s="10"/>
      <c r="O668" s="10"/>
    </row>
    <row r="669" spans="1:15" x14ac:dyDescent="0.3">
      <c r="N669" s="10"/>
      <c r="O669" s="10"/>
    </row>
    <row r="670" spans="1:15" x14ac:dyDescent="0.3">
      <c r="A670" s="72" t="str">
        <f>A668</f>
        <v/>
      </c>
      <c r="B670" s="73" t="s">
        <v>15</v>
      </c>
      <c r="C670" s="57" t="s">
        <v>2</v>
      </c>
      <c r="D670" s="57" t="s">
        <v>3</v>
      </c>
      <c r="E670" s="57" t="s">
        <v>4</v>
      </c>
      <c r="F670" s="57" t="s">
        <v>5</v>
      </c>
      <c r="G670" s="57" t="s">
        <v>6</v>
      </c>
      <c r="H670" s="57" t="s">
        <v>7</v>
      </c>
      <c r="I670" s="57" t="s">
        <v>8</v>
      </c>
      <c r="J670" s="57" t="s">
        <v>9</v>
      </c>
      <c r="K670" s="57" t="s">
        <v>10</v>
      </c>
      <c r="L670" s="57" t="s">
        <v>11</v>
      </c>
      <c r="M670" s="57" t="s">
        <v>13</v>
      </c>
      <c r="N670" s="10"/>
      <c r="O670" s="10"/>
    </row>
    <row r="671" spans="1:15" ht="15.6" x14ac:dyDescent="0.3">
      <c r="A671" s="72"/>
      <c r="B671" s="73"/>
      <c r="C671" s="5" t="str">
        <f t="shared" ref="C671:L671" si="117">VLOOKUP($A670,NotaIndividualPorAlunoMAT,RIGHT(C670,2)+1,0)</f>
        <v/>
      </c>
      <c r="D671" s="5" t="str">
        <f t="shared" si="117"/>
        <v/>
      </c>
      <c r="E671" s="5" t="str">
        <f t="shared" si="117"/>
        <v/>
      </c>
      <c r="F671" s="5" t="str">
        <f t="shared" si="117"/>
        <v/>
      </c>
      <c r="G671" s="5" t="str">
        <f t="shared" si="117"/>
        <v/>
      </c>
      <c r="H671" s="5" t="str">
        <f t="shared" si="117"/>
        <v/>
      </c>
      <c r="I671" s="5" t="str">
        <f t="shared" si="117"/>
        <v/>
      </c>
      <c r="J671" s="5" t="str">
        <f t="shared" si="117"/>
        <v/>
      </c>
      <c r="K671" s="5" t="str">
        <f t="shared" si="117"/>
        <v/>
      </c>
      <c r="L671" s="5" t="str">
        <f t="shared" si="117"/>
        <v/>
      </c>
      <c r="M671" s="19" t="str">
        <f>VLOOKUP($A670,NotaIndividualPorAlunoMAT,RIGHT(L670,2)+2,0)</f>
        <v/>
      </c>
      <c r="N671" s="10"/>
      <c r="O671" s="10"/>
    </row>
    <row r="672" spans="1:15" x14ac:dyDescent="0.3">
      <c r="A672" s="72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0"/>
      <c r="O672" s="10"/>
    </row>
    <row r="673" spans="1:15" x14ac:dyDescent="0.3">
      <c r="A673" s="72"/>
      <c r="B673" s="73" t="s">
        <v>14</v>
      </c>
      <c r="C673" s="57" t="s">
        <v>46</v>
      </c>
      <c r="D673" s="57" t="s">
        <v>47</v>
      </c>
      <c r="E673" s="57" t="s">
        <v>48</v>
      </c>
      <c r="F673" s="57" t="s">
        <v>49</v>
      </c>
      <c r="G673" s="57" t="s">
        <v>50</v>
      </c>
      <c r="H673" s="57" t="s">
        <v>51</v>
      </c>
      <c r="I673" s="57" t="s">
        <v>52</v>
      </c>
      <c r="J673" s="57" t="s">
        <v>53</v>
      </c>
      <c r="K673" s="57" t="s">
        <v>54</v>
      </c>
      <c r="L673" s="57" t="s">
        <v>55</v>
      </c>
      <c r="M673" s="57" t="s">
        <v>13</v>
      </c>
      <c r="N673" s="10"/>
      <c r="O673" s="10"/>
    </row>
    <row r="674" spans="1:15" ht="15.6" x14ac:dyDescent="0.3">
      <c r="A674" s="72"/>
      <c r="B674" s="73"/>
      <c r="C674" s="3" t="str">
        <f t="shared" ref="C674:L674" si="118">VLOOKUP($A670,NotaIndividualPorAlunoQUI,RIGHT(C673,2)-9,0)</f>
        <v/>
      </c>
      <c r="D674" s="3" t="str">
        <f t="shared" si="118"/>
        <v/>
      </c>
      <c r="E674" s="3" t="str">
        <f t="shared" si="118"/>
        <v/>
      </c>
      <c r="F674" s="3" t="str">
        <f t="shared" si="118"/>
        <v/>
      </c>
      <c r="G674" s="3" t="str">
        <f t="shared" si="118"/>
        <v/>
      </c>
      <c r="H674" s="3" t="str">
        <f t="shared" si="118"/>
        <v/>
      </c>
      <c r="I674" s="3" t="str">
        <f t="shared" si="118"/>
        <v/>
      </c>
      <c r="J674" s="3" t="str">
        <f t="shared" si="118"/>
        <v/>
      </c>
      <c r="K674" s="3" t="str">
        <f t="shared" si="118"/>
        <v/>
      </c>
      <c r="L674" s="3" t="str">
        <f t="shared" si="118"/>
        <v/>
      </c>
      <c r="M674" s="19" t="str">
        <f>VLOOKUP($A670,NotaIndividualPorAlunoQUI,RIGHT(L673,2)-8,0)</f>
        <v/>
      </c>
      <c r="N674" s="10"/>
      <c r="O674" s="10"/>
    </row>
    <row r="675" spans="1:15" x14ac:dyDescent="0.3">
      <c r="A675" s="72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0"/>
      <c r="O675" s="10"/>
    </row>
    <row r="676" spans="1:15" x14ac:dyDescent="0.3">
      <c r="A676" s="72"/>
      <c r="B676" s="73" t="s">
        <v>12</v>
      </c>
      <c r="C676" s="57" t="s">
        <v>2</v>
      </c>
      <c r="D676" s="57" t="s">
        <v>3</v>
      </c>
      <c r="E676" s="57" t="s">
        <v>4</v>
      </c>
      <c r="F676" s="57" t="s">
        <v>5</v>
      </c>
      <c r="G676" s="57" t="s">
        <v>6</v>
      </c>
      <c r="H676" s="57" t="s">
        <v>7</v>
      </c>
      <c r="I676" s="57" t="s">
        <v>8</v>
      </c>
      <c r="J676" s="57" t="s">
        <v>9</v>
      </c>
      <c r="K676" s="57" t="s">
        <v>10</v>
      </c>
      <c r="L676" s="57" t="s">
        <v>11</v>
      </c>
      <c r="M676" s="57" t="s">
        <v>13</v>
      </c>
      <c r="N676" s="10"/>
      <c r="O676" s="10"/>
    </row>
    <row r="677" spans="1:15" ht="15.6" x14ac:dyDescent="0.3">
      <c r="A677" s="72"/>
      <c r="B677" s="73"/>
      <c r="C677" s="3" t="str">
        <f t="shared" ref="C677:L677" si="119">VLOOKUP($A670,NotaIndividualPorAlunoFIS,RIGHT(C676,2)+1,0)</f>
        <v/>
      </c>
      <c r="D677" s="3" t="str">
        <f t="shared" si="119"/>
        <v/>
      </c>
      <c r="E677" s="3" t="str">
        <f t="shared" si="119"/>
        <v/>
      </c>
      <c r="F677" s="3" t="str">
        <f t="shared" si="119"/>
        <v/>
      </c>
      <c r="G677" s="3" t="str">
        <f t="shared" si="119"/>
        <v/>
      </c>
      <c r="H677" s="3" t="str">
        <f t="shared" si="119"/>
        <v/>
      </c>
      <c r="I677" s="3" t="str">
        <f t="shared" si="119"/>
        <v/>
      </c>
      <c r="J677" s="3" t="str">
        <f t="shared" si="119"/>
        <v/>
      </c>
      <c r="K677" s="3" t="str">
        <f t="shared" si="119"/>
        <v/>
      </c>
      <c r="L677" s="3" t="str">
        <f t="shared" si="119"/>
        <v/>
      </c>
      <c r="M677" s="19" t="str">
        <f>VLOOKUP($A670,NotaIndividualPorAlunoFIS,RIGHT(L676,2)+2,0)</f>
        <v/>
      </c>
      <c r="N677" s="10"/>
      <c r="O677" s="10"/>
    </row>
    <row r="678" spans="1:15" ht="15.6" x14ac:dyDescent="0.3">
      <c r="A678" s="72"/>
      <c r="B678" s="12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0"/>
      <c r="O678" s="10"/>
    </row>
    <row r="679" spans="1:15" ht="15.6" x14ac:dyDescent="0.3">
      <c r="A679" s="72"/>
      <c r="B679" s="73" t="s">
        <v>16</v>
      </c>
      <c r="C679" s="23" t="s">
        <v>41</v>
      </c>
      <c r="D679" s="58" t="s">
        <v>42</v>
      </c>
      <c r="E679" s="23" t="s">
        <v>43</v>
      </c>
      <c r="F679" s="58" t="s">
        <v>44</v>
      </c>
      <c r="G679" s="23" t="s">
        <v>63</v>
      </c>
      <c r="H679" s="58" t="s">
        <v>32</v>
      </c>
      <c r="I679" s="14"/>
      <c r="J679" s="14"/>
      <c r="K679" s="14"/>
      <c r="L679" s="14"/>
      <c r="M679" s="15" t="s">
        <v>18</v>
      </c>
      <c r="N679" s="10"/>
      <c r="O679" s="10"/>
    </row>
    <row r="680" spans="1:15" ht="15.6" x14ac:dyDescent="0.3">
      <c r="A680" s="72"/>
      <c r="B680" s="73"/>
      <c r="C680" s="26" t="str">
        <f>VLOOKUP($A670,NotaIndividualPorAlunoRED,2,0)</f>
        <v/>
      </c>
      <c r="D680" s="26" t="str">
        <f>VLOOKUP($A670,NotaIndividualPorAlunoRED,3,0)</f>
        <v/>
      </c>
      <c r="E680" s="26" t="str">
        <f>VLOOKUP($A670,NotaIndividualPorAlunoRED,4,0)</f>
        <v/>
      </c>
      <c r="F680" s="26" t="str">
        <f>VLOOKUP($A670,NotaIndividualPorAlunoRED,5,0)</f>
        <v/>
      </c>
      <c r="G680" s="26" t="str">
        <f>VLOOKUP($A670,NotaIndividualPorAlunoRED,6,0)</f>
        <v/>
      </c>
      <c r="H680" s="21" t="str">
        <f>VLOOKUP($A670,NotaIndividualPorAlunoRED,7,0)</f>
        <v/>
      </c>
      <c r="I680" s="14"/>
      <c r="J680" s="14"/>
      <c r="K680" s="14"/>
      <c r="L680" s="14"/>
      <c r="M680" s="20" t="str">
        <f>VLOOKUP(A670,NOTAS!C:I,7,0)</f>
        <v/>
      </c>
      <c r="N680" s="10"/>
      <c r="O680" s="10"/>
    </row>
    <row r="681" spans="1:15" x14ac:dyDescent="0.3">
      <c r="A681" s="72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0"/>
      <c r="O681" s="10"/>
    </row>
    <row r="682" spans="1:15" x14ac:dyDescent="0.3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</row>
    <row r="683" spans="1:15" x14ac:dyDescent="0.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</row>
    <row r="684" spans="1:15" x14ac:dyDescent="0.3">
      <c r="A684" s="58" t="s">
        <v>38</v>
      </c>
      <c r="B684" s="57" t="s">
        <v>35</v>
      </c>
      <c r="C684" s="57" t="s">
        <v>56</v>
      </c>
      <c r="D684" s="57" t="s">
        <v>57</v>
      </c>
      <c r="E684" s="57" t="s">
        <v>58</v>
      </c>
      <c r="F684" s="57" t="s">
        <v>59</v>
      </c>
      <c r="G684" s="57" t="s">
        <v>60</v>
      </c>
      <c r="H684" s="57" t="s">
        <v>36</v>
      </c>
      <c r="I684" s="57" t="s">
        <v>61</v>
      </c>
      <c r="J684" s="57" t="s">
        <v>34</v>
      </c>
      <c r="K684" s="57" t="s">
        <v>62</v>
      </c>
      <c r="L684" s="16" t="s">
        <v>33</v>
      </c>
      <c r="M684" s="57" t="s">
        <v>37</v>
      </c>
      <c r="N684" s="10"/>
      <c r="O684" s="10"/>
    </row>
    <row r="685" spans="1:15" ht="15.6" x14ac:dyDescent="0.3">
      <c r="A685" s="58" t="str" cm="1">
        <f t="array" ref="A685">IF(ISERROR(INDEX(ListaDeAlunos,(((ROW()-2)/17)+1),(COLUMN()+1))),"",INDEX(ListaDeAlunos,(((ROW()-2)/17)+1),(COLUMN()+1)))</f>
        <v/>
      </c>
      <c r="B685" s="17" t="str">
        <f>VLOOKUP($A685,NotaIndividualPorAlunoPROVAO,2,0)</f>
        <v/>
      </c>
      <c r="C685" s="18" t="str">
        <f>VLOOKUP($A685,NotaIndividualPorAlunoPROVAO,3,0)</f>
        <v/>
      </c>
      <c r="D685" s="17" t="str">
        <f>VLOOKUP($A685,NotaIndividualPorAlunoPROVAO,4,0)</f>
        <v/>
      </c>
      <c r="E685" s="18" t="str">
        <f>VLOOKUP($A685,NotaIndividualPorAlunoPROVAO,5,0)</f>
        <v/>
      </c>
      <c r="F685" s="17" t="str">
        <f>VLOOKUP($A685,NotaIndividualPorAlunoPROVAO,6,0)</f>
        <v/>
      </c>
      <c r="G685" s="18" t="str">
        <f>VLOOKUP($A685,NotaIndividualPorAlunoPROVAO,7,0)</f>
        <v/>
      </c>
      <c r="H685" s="17" t="str">
        <f>VLOOKUP($A685,NotaIndividualPorAlunoPROVAO,8,0)</f>
        <v/>
      </c>
      <c r="I685" s="18" t="str">
        <f>VLOOKUP($A685,NotaIndividualPorAlunoPROVAO,9,0)</f>
        <v/>
      </c>
      <c r="J685" s="17" t="str">
        <f>VLOOKUP($A685,NotaIndividualPorAlunoPROVAO,10,0)</f>
        <v/>
      </c>
      <c r="K685" s="18" t="str">
        <f>VLOOKUP($A685,NotaIndividualPorAlunoPROVAO,11,0)</f>
        <v/>
      </c>
      <c r="L685" s="15" t="str">
        <f>VLOOKUP($A685,NotaIndividualPorAlunoPROVAO,12,0)</f>
        <v/>
      </c>
      <c r="M685" s="25" t="str">
        <f>VLOOKUP($A685,NotaIndividualPorAlunoPROVAO,13,0)</f>
        <v/>
      </c>
      <c r="N685" s="10"/>
      <c r="O685" s="10"/>
    </row>
    <row r="686" spans="1:15" x14ac:dyDescent="0.3">
      <c r="N686" s="10"/>
      <c r="O686" s="10"/>
    </row>
    <row r="687" spans="1:15" x14ac:dyDescent="0.3">
      <c r="A687" s="72" t="str">
        <f>A685</f>
        <v/>
      </c>
      <c r="B687" s="73" t="s">
        <v>15</v>
      </c>
      <c r="C687" s="57" t="s">
        <v>2</v>
      </c>
      <c r="D687" s="57" t="s">
        <v>3</v>
      </c>
      <c r="E687" s="57" t="s">
        <v>4</v>
      </c>
      <c r="F687" s="57" t="s">
        <v>5</v>
      </c>
      <c r="G687" s="57" t="s">
        <v>6</v>
      </c>
      <c r="H687" s="57" t="s">
        <v>7</v>
      </c>
      <c r="I687" s="57" t="s">
        <v>8</v>
      </c>
      <c r="J687" s="57" t="s">
        <v>9</v>
      </c>
      <c r="K687" s="57" t="s">
        <v>10</v>
      </c>
      <c r="L687" s="57" t="s">
        <v>11</v>
      </c>
      <c r="M687" s="57" t="s">
        <v>13</v>
      </c>
      <c r="N687" s="10"/>
      <c r="O687" s="10"/>
    </row>
    <row r="688" spans="1:15" ht="15.6" x14ac:dyDescent="0.3">
      <c r="A688" s="72"/>
      <c r="B688" s="73"/>
      <c r="C688" s="5" t="str">
        <f t="shared" ref="C688:L688" si="120">VLOOKUP($A687,NotaIndividualPorAlunoMAT,RIGHT(C687,2)+1,0)</f>
        <v/>
      </c>
      <c r="D688" s="5" t="str">
        <f t="shared" si="120"/>
        <v/>
      </c>
      <c r="E688" s="5" t="str">
        <f t="shared" si="120"/>
        <v/>
      </c>
      <c r="F688" s="5" t="str">
        <f t="shared" si="120"/>
        <v/>
      </c>
      <c r="G688" s="5" t="str">
        <f t="shared" si="120"/>
        <v/>
      </c>
      <c r="H688" s="5" t="str">
        <f t="shared" si="120"/>
        <v/>
      </c>
      <c r="I688" s="5" t="str">
        <f t="shared" si="120"/>
        <v/>
      </c>
      <c r="J688" s="5" t="str">
        <f t="shared" si="120"/>
        <v/>
      </c>
      <c r="K688" s="5" t="str">
        <f t="shared" si="120"/>
        <v/>
      </c>
      <c r="L688" s="5" t="str">
        <f t="shared" si="120"/>
        <v/>
      </c>
      <c r="M688" s="19" t="str">
        <f>VLOOKUP($A687,NotaIndividualPorAlunoMAT,RIGHT(L687,2)+2,0)</f>
        <v/>
      </c>
      <c r="N688" s="10"/>
      <c r="O688" s="10"/>
    </row>
    <row r="689" spans="1:15" x14ac:dyDescent="0.3">
      <c r="A689" s="72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0"/>
      <c r="O689" s="10"/>
    </row>
    <row r="690" spans="1:15" x14ac:dyDescent="0.3">
      <c r="A690" s="72"/>
      <c r="B690" s="73" t="s">
        <v>14</v>
      </c>
      <c r="C690" s="57" t="s">
        <v>46</v>
      </c>
      <c r="D690" s="57" t="s">
        <v>47</v>
      </c>
      <c r="E690" s="57" t="s">
        <v>48</v>
      </c>
      <c r="F690" s="57" t="s">
        <v>49</v>
      </c>
      <c r="G690" s="57" t="s">
        <v>50</v>
      </c>
      <c r="H690" s="57" t="s">
        <v>51</v>
      </c>
      <c r="I690" s="57" t="s">
        <v>52</v>
      </c>
      <c r="J690" s="57" t="s">
        <v>53</v>
      </c>
      <c r="K690" s="57" t="s">
        <v>54</v>
      </c>
      <c r="L690" s="57" t="s">
        <v>55</v>
      </c>
      <c r="M690" s="57" t="s">
        <v>13</v>
      </c>
      <c r="N690" s="10"/>
      <c r="O690" s="10"/>
    </row>
    <row r="691" spans="1:15" ht="15.6" x14ac:dyDescent="0.3">
      <c r="A691" s="72"/>
      <c r="B691" s="73"/>
      <c r="C691" s="3" t="str">
        <f t="shared" ref="C691:L691" si="121">VLOOKUP($A687,NotaIndividualPorAlunoQUI,RIGHT(C690,2)-9,0)</f>
        <v/>
      </c>
      <c r="D691" s="3" t="str">
        <f t="shared" si="121"/>
        <v/>
      </c>
      <c r="E691" s="3" t="str">
        <f t="shared" si="121"/>
        <v/>
      </c>
      <c r="F691" s="3" t="str">
        <f t="shared" si="121"/>
        <v/>
      </c>
      <c r="G691" s="3" t="str">
        <f t="shared" si="121"/>
        <v/>
      </c>
      <c r="H691" s="3" t="str">
        <f t="shared" si="121"/>
        <v/>
      </c>
      <c r="I691" s="3" t="str">
        <f t="shared" si="121"/>
        <v/>
      </c>
      <c r="J691" s="3" t="str">
        <f t="shared" si="121"/>
        <v/>
      </c>
      <c r="K691" s="3" t="str">
        <f t="shared" si="121"/>
        <v/>
      </c>
      <c r="L691" s="3" t="str">
        <f t="shared" si="121"/>
        <v/>
      </c>
      <c r="M691" s="19" t="str">
        <f>VLOOKUP($A687,NotaIndividualPorAlunoQUI,RIGHT(L690,2)-8,0)</f>
        <v/>
      </c>
      <c r="N691" s="10"/>
      <c r="O691" s="10"/>
    </row>
    <row r="692" spans="1:15" x14ac:dyDescent="0.3">
      <c r="A692" s="72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0"/>
      <c r="O692" s="10"/>
    </row>
    <row r="693" spans="1:15" x14ac:dyDescent="0.3">
      <c r="A693" s="72"/>
      <c r="B693" s="73" t="s">
        <v>12</v>
      </c>
      <c r="C693" s="57" t="s">
        <v>2</v>
      </c>
      <c r="D693" s="57" t="s">
        <v>3</v>
      </c>
      <c r="E693" s="57" t="s">
        <v>4</v>
      </c>
      <c r="F693" s="57" t="s">
        <v>5</v>
      </c>
      <c r="G693" s="57" t="s">
        <v>6</v>
      </c>
      <c r="H693" s="57" t="s">
        <v>7</v>
      </c>
      <c r="I693" s="57" t="s">
        <v>8</v>
      </c>
      <c r="J693" s="57" t="s">
        <v>9</v>
      </c>
      <c r="K693" s="57" t="s">
        <v>10</v>
      </c>
      <c r="L693" s="57" t="s">
        <v>11</v>
      </c>
      <c r="M693" s="57" t="s">
        <v>13</v>
      </c>
      <c r="N693" s="10"/>
      <c r="O693" s="10"/>
    </row>
    <row r="694" spans="1:15" ht="15.6" x14ac:dyDescent="0.3">
      <c r="A694" s="72"/>
      <c r="B694" s="73"/>
      <c r="C694" s="3" t="str">
        <f t="shared" ref="C694:L694" si="122">VLOOKUP($A687,NotaIndividualPorAlunoFIS,RIGHT(C693,2)+1,0)</f>
        <v/>
      </c>
      <c r="D694" s="3" t="str">
        <f t="shared" si="122"/>
        <v/>
      </c>
      <c r="E694" s="3" t="str">
        <f t="shared" si="122"/>
        <v/>
      </c>
      <c r="F694" s="3" t="str">
        <f t="shared" si="122"/>
        <v/>
      </c>
      <c r="G694" s="3" t="str">
        <f t="shared" si="122"/>
        <v/>
      </c>
      <c r="H694" s="3" t="str">
        <f t="shared" si="122"/>
        <v/>
      </c>
      <c r="I694" s="3" t="str">
        <f t="shared" si="122"/>
        <v/>
      </c>
      <c r="J694" s="3" t="str">
        <f t="shared" si="122"/>
        <v/>
      </c>
      <c r="K694" s="3" t="str">
        <f t="shared" si="122"/>
        <v/>
      </c>
      <c r="L694" s="3" t="str">
        <f t="shared" si="122"/>
        <v/>
      </c>
      <c r="M694" s="19" t="str">
        <f>VLOOKUP($A687,NotaIndividualPorAlunoFIS,RIGHT(L693,2)+2,0)</f>
        <v/>
      </c>
      <c r="N694" s="10"/>
      <c r="O694" s="10"/>
    </row>
    <row r="695" spans="1:15" ht="15.6" x14ac:dyDescent="0.3">
      <c r="A695" s="72"/>
      <c r="B695" s="12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0"/>
      <c r="O695" s="10"/>
    </row>
    <row r="696" spans="1:15" ht="15.6" x14ac:dyDescent="0.3">
      <c r="A696" s="72"/>
      <c r="B696" s="73" t="s">
        <v>16</v>
      </c>
      <c r="C696" s="23" t="s">
        <v>41</v>
      </c>
      <c r="D696" s="58" t="s">
        <v>42</v>
      </c>
      <c r="E696" s="23" t="s">
        <v>43</v>
      </c>
      <c r="F696" s="58" t="s">
        <v>44</v>
      </c>
      <c r="G696" s="23" t="s">
        <v>63</v>
      </c>
      <c r="H696" s="58" t="s">
        <v>32</v>
      </c>
      <c r="I696" s="14"/>
      <c r="J696" s="14"/>
      <c r="K696" s="14"/>
      <c r="L696" s="14"/>
      <c r="M696" s="15" t="s">
        <v>18</v>
      </c>
      <c r="N696" s="10"/>
      <c r="O696" s="10"/>
    </row>
    <row r="697" spans="1:15" ht="15.6" x14ac:dyDescent="0.3">
      <c r="A697" s="72"/>
      <c r="B697" s="73"/>
      <c r="C697" s="26" t="str">
        <f>VLOOKUP($A687,NotaIndividualPorAlunoRED,2,0)</f>
        <v/>
      </c>
      <c r="D697" s="26" t="str">
        <f>VLOOKUP($A687,NotaIndividualPorAlunoRED,3,0)</f>
        <v/>
      </c>
      <c r="E697" s="26" t="str">
        <f>VLOOKUP($A687,NotaIndividualPorAlunoRED,4,0)</f>
        <v/>
      </c>
      <c r="F697" s="26" t="str">
        <f>VLOOKUP($A687,NotaIndividualPorAlunoRED,5,0)</f>
        <v/>
      </c>
      <c r="G697" s="26" t="str">
        <f>VLOOKUP($A687,NotaIndividualPorAlunoRED,6,0)</f>
        <v/>
      </c>
      <c r="H697" s="21" t="str">
        <f>VLOOKUP($A687,NotaIndividualPorAlunoRED,7,0)</f>
        <v/>
      </c>
      <c r="I697" s="14"/>
      <c r="J697" s="14"/>
      <c r="K697" s="14"/>
      <c r="L697" s="14"/>
      <c r="M697" s="20" t="str">
        <f>VLOOKUP(A687,NOTAS!C:I,7,0)</f>
        <v/>
      </c>
      <c r="N697" s="10"/>
      <c r="O697" s="10"/>
    </row>
    <row r="698" spans="1:15" x14ac:dyDescent="0.3">
      <c r="A698" s="72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0"/>
      <c r="O698" s="10"/>
    </row>
    <row r="699" spans="1:15" x14ac:dyDescent="0.3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</row>
    <row r="700" spans="1:15" x14ac:dyDescent="0.3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</row>
    <row r="701" spans="1:15" x14ac:dyDescent="0.3">
      <c r="A701" s="58" t="s">
        <v>38</v>
      </c>
      <c r="B701" s="57" t="s">
        <v>35</v>
      </c>
      <c r="C701" s="57" t="s">
        <v>56</v>
      </c>
      <c r="D701" s="57" t="s">
        <v>57</v>
      </c>
      <c r="E701" s="57" t="s">
        <v>58</v>
      </c>
      <c r="F701" s="57" t="s">
        <v>59</v>
      </c>
      <c r="G701" s="57" t="s">
        <v>60</v>
      </c>
      <c r="H701" s="57" t="s">
        <v>36</v>
      </c>
      <c r="I701" s="57" t="s">
        <v>61</v>
      </c>
      <c r="J701" s="57" t="s">
        <v>34</v>
      </c>
      <c r="K701" s="57" t="s">
        <v>62</v>
      </c>
      <c r="L701" s="16" t="s">
        <v>33</v>
      </c>
      <c r="M701" s="57" t="s">
        <v>37</v>
      </c>
      <c r="N701" s="10"/>
      <c r="O701" s="10"/>
    </row>
    <row r="702" spans="1:15" ht="15.6" x14ac:dyDescent="0.3">
      <c r="A702" s="58" t="str" cm="1">
        <f t="array" ref="A702">IF(ISERROR(INDEX(ListaDeAlunos,(((ROW()-2)/17)+1),(COLUMN()+1))),"",INDEX(ListaDeAlunos,(((ROW()-2)/17)+1),(COLUMN()+1)))</f>
        <v/>
      </c>
      <c r="B702" s="17" t="str">
        <f>VLOOKUP($A702,NotaIndividualPorAlunoPROVAO,2,0)</f>
        <v/>
      </c>
      <c r="C702" s="18" t="str">
        <f>VLOOKUP($A702,NotaIndividualPorAlunoPROVAO,3,0)</f>
        <v/>
      </c>
      <c r="D702" s="17" t="str">
        <f>VLOOKUP($A702,NotaIndividualPorAlunoPROVAO,4,0)</f>
        <v/>
      </c>
      <c r="E702" s="18" t="str">
        <f>VLOOKUP($A702,NotaIndividualPorAlunoPROVAO,5,0)</f>
        <v/>
      </c>
      <c r="F702" s="17" t="str">
        <f>VLOOKUP($A702,NotaIndividualPorAlunoPROVAO,6,0)</f>
        <v/>
      </c>
      <c r="G702" s="18" t="str">
        <f>VLOOKUP($A702,NotaIndividualPorAlunoPROVAO,7,0)</f>
        <v/>
      </c>
      <c r="H702" s="17" t="str">
        <f>VLOOKUP($A702,NotaIndividualPorAlunoPROVAO,8,0)</f>
        <v/>
      </c>
      <c r="I702" s="18" t="str">
        <f>VLOOKUP($A702,NotaIndividualPorAlunoPROVAO,9,0)</f>
        <v/>
      </c>
      <c r="J702" s="17" t="str">
        <f>VLOOKUP($A702,NotaIndividualPorAlunoPROVAO,10,0)</f>
        <v/>
      </c>
      <c r="K702" s="18" t="str">
        <f>VLOOKUP($A702,NotaIndividualPorAlunoPROVAO,11,0)</f>
        <v/>
      </c>
      <c r="L702" s="15" t="str">
        <f>VLOOKUP($A702,NotaIndividualPorAlunoPROVAO,12,0)</f>
        <v/>
      </c>
      <c r="M702" s="25" t="str">
        <f>VLOOKUP($A702,NotaIndividualPorAlunoPROVAO,13,0)</f>
        <v/>
      </c>
      <c r="N702" s="10"/>
      <c r="O702" s="10"/>
    </row>
    <row r="703" spans="1:15" x14ac:dyDescent="0.3">
      <c r="N703" s="10"/>
      <c r="O703" s="10"/>
    </row>
    <row r="704" spans="1:15" x14ac:dyDescent="0.3">
      <c r="A704" s="72" t="str">
        <f>A702</f>
        <v/>
      </c>
      <c r="B704" s="73" t="s">
        <v>15</v>
      </c>
      <c r="C704" s="57" t="s">
        <v>2</v>
      </c>
      <c r="D704" s="57" t="s">
        <v>3</v>
      </c>
      <c r="E704" s="57" t="s">
        <v>4</v>
      </c>
      <c r="F704" s="57" t="s">
        <v>5</v>
      </c>
      <c r="G704" s="57" t="s">
        <v>6</v>
      </c>
      <c r="H704" s="57" t="s">
        <v>7</v>
      </c>
      <c r="I704" s="57" t="s">
        <v>8</v>
      </c>
      <c r="J704" s="57" t="s">
        <v>9</v>
      </c>
      <c r="K704" s="57" t="s">
        <v>10</v>
      </c>
      <c r="L704" s="57" t="s">
        <v>11</v>
      </c>
      <c r="M704" s="57" t="s">
        <v>13</v>
      </c>
      <c r="N704" s="10"/>
      <c r="O704" s="10"/>
    </row>
    <row r="705" spans="1:15" ht="15.6" x14ac:dyDescent="0.3">
      <c r="A705" s="72"/>
      <c r="B705" s="73"/>
      <c r="C705" s="5" t="str">
        <f t="shared" ref="C705:L705" si="123">VLOOKUP($A704,NotaIndividualPorAlunoMAT,RIGHT(C704,2)+1,0)</f>
        <v/>
      </c>
      <c r="D705" s="5" t="str">
        <f t="shared" si="123"/>
        <v/>
      </c>
      <c r="E705" s="5" t="str">
        <f t="shared" si="123"/>
        <v/>
      </c>
      <c r="F705" s="5" t="str">
        <f t="shared" si="123"/>
        <v/>
      </c>
      <c r="G705" s="5" t="str">
        <f t="shared" si="123"/>
        <v/>
      </c>
      <c r="H705" s="5" t="str">
        <f t="shared" si="123"/>
        <v/>
      </c>
      <c r="I705" s="5" t="str">
        <f t="shared" si="123"/>
        <v/>
      </c>
      <c r="J705" s="5" t="str">
        <f t="shared" si="123"/>
        <v/>
      </c>
      <c r="K705" s="5" t="str">
        <f t="shared" si="123"/>
        <v/>
      </c>
      <c r="L705" s="5" t="str">
        <f t="shared" si="123"/>
        <v/>
      </c>
      <c r="M705" s="19" t="str">
        <f>VLOOKUP($A704,NotaIndividualPorAlunoMAT,RIGHT(L704,2)+2,0)</f>
        <v/>
      </c>
      <c r="N705" s="10"/>
      <c r="O705" s="10"/>
    </row>
    <row r="706" spans="1:15" x14ac:dyDescent="0.3">
      <c r="A706" s="72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0"/>
      <c r="O706" s="10"/>
    </row>
    <row r="707" spans="1:15" x14ac:dyDescent="0.3">
      <c r="A707" s="72"/>
      <c r="B707" s="73" t="s">
        <v>14</v>
      </c>
      <c r="C707" s="57" t="s">
        <v>46</v>
      </c>
      <c r="D707" s="57" t="s">
        <v>47</v>
      </c>
      <c r="E707" s="57" t="s">
        <v>48</v>
      </c>
      <c r="F707" s="57" t="s">
        <v>49</v>
      </c>
      <c r="G707" s="57" t="s">
        <v>50</v>
      </c>
      <c r="H707" s="57" t="s">
        <v>51</v>
      </c>
      <c r="I707" s="57" t="s">
        <v>52</v>
      </c>
      <c r="J707" s="57" t="s">
        <v>53</v>
      </c>
      <c r="K707" s="57" t="s">
        <v>54</v>
      </c>
      <c r="L707" s="57" t="s">
        <v>55</v>
      </c>
      <c r="M707" s="57" t="s">
        <v>13</v>
      </c>
      <c r="N707" s="10"/>
      <c r="O707" s="10"/>
    </row>
    <row r="708" spans="1:15" ht="15.6" x14ac:dyDescent="0.3">
      <c r="A708" s="72"/>
      <c r="B708" s="73"/>
      <c r="C708" s="3" t="str">
        <f t="shared" ref="C708:L708" si="124">VLOOKUP($A704,NotaIndividualPorAlunoQUI,RIGHT(C707,2)-9,0)</f>
        <v/>
      </c>
      <c r="D708" s="3" t="str">
        <f t="shared" si="124"/>
        <v/>
      </c>
      <c r="E708" s="3" t="str">
        <f t="shared" si="124"/>
        <v/>
      </c>
      <c r="F708" s="3" t="str">
        <f t="shared" si="124"/>
        <v/>
      </c>
      <c r="G708" s="3" t="str">
        <f t="shared" si="124"/>
        <v/>
      </c>
      <c r="H708" s="3" t="str">
        <f t="shared" si="124"/>
        <v/>
      </c>
      <c r="I708" s="3" t="str">
        <f t="shared" si="124"/>
        <v/>
      </c>
      <c r="J708" s="3" t="str">
        <f t="shared" si="124"/>
        <v/>
      </c>
      <c r="K708" s="3" t="str">
        <f t="shared" si="124"/>
        <v/>
      </c>
      <c r="L708" s="3" t="str">
        <f t="shared" si="124"/>
        <v/>
      </c>
      <c r="M708" s="19" t="str">
        <f>VLOOKUP($A704,NotaIndividualPorAlunoQUI,RIGHT(L707,2)-8,0)</f>
        <v/>
      </c>
      <c r="N708" s="10"/>
      <c r="O708" s="10"/>
    </row>
    <row r="709" spans="1:15" x14ac:dyDescent="0.3">
      <c r="A709" s="72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0"/>
      <c r="O709" s="10"/>
    </row>
    <row r="710" spans="1:15" x14ac:dyDescent="0.3">
      <c r="A710" s="72"/>
      <c r="B710" s="73" t="s">
        <v>12</v>
      </c>
      <c r="C710" s="57" t="s">
        <v>2</v>
      </c>
      <c r="D710" s="57" t="s">
        <v>3</v>
      </c>
      <c r="E710" s="57" t="s">
        <v>4</v>
      </c>
      <c r="F710" s="57" t="s">
        <v>5</v>
      </c>
      <c r="G710" s="57" t="s">
        <v>6</v>
      </c>
      <c r="H710" s="57" t="s">
        <v>7</v>
      </c>
      <c r="I710" s="57" t="s">
        <v>8</v>
      </c>
      <c r="J710" s="57" t="s">
        <v>9</v>
      </c>
      <c r="K710" s="57" t="s">
        <v>10</v>
      </c>
      <c r="L710" s="57" t="s">
        <v>11</v>
      </c>
      <c r="M710" s="57" t="s">
        <v>13</v>
      </c>
      <c r="N710" s="10"/>
      <c r="O710" s="10"/>
    </row>
    <row r="711" spans="1:15" ht="15.6" x14ac:dyDescent="0.3">
      <c r="A711" s="72"/>
      <c r="B711" s="73"/>
      <c r="C711" s="3" t="str">
        <f t="shared" ref="C711:L711" si="125">VLOOKUP($A704,NotaIndividualPorAlunoFIS,RIGHT(C710,2)+1,0)</f>
        <v/>
      </c>
      <c r="D711" s="3" t="str">
        <f t="shared" si="125"/>
        <v/>
      </c>
      <c r="E711" s="3" t="str">
        <f t="shared" si="125"/>
        <v/>
      </c>
      <c r="F711" s="3" t="str">
        <f t="shared" si="125"/>
        <v/>
      </c>
      <c r="G711" s="3" t="str">
        <f t="shared" si="125"/>
        <v/>
      </c>
      <c r="H711" s="3" t="str">
        <f t="shared" si="125"/>
        <v/>
      </c>
      <c r="I711" s="3" t="str">
        <f t="shared" si="125"/>
        <v/>
      </c>
      <c r="J711" s="3" t="str">
        <f t="shared" si="125"/>
        <v/>
      </c>
      <c r="K711" s="3" t="str">
        <f t="shared" si="125"/>
        <v/>
      </c>
      <c r="L711" s="3" t="str">
        <f t="shared" si="125"/>
        <v/>
      </c>
      <c r="M711" s="19" t="str">
        <f>VLOOKUP($A704,NotaIndividualPorAlunoFIS,RIGHT(L710,2)+2,0)</f>
        <v/>
      </c>
      <c r="N711" s="10"/>
      <c r="O711" s="10"/>
    </row>
    <row r="712" spans="1:15" ht="15.6" x14ac:dyDescent="0.3">
      <c r="A712" s="72"/>
      <c r="B712" s="12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0"/>
      <c r="O712" s="10"/>
    </row>
    <row r="713" spans="1:15" ht="15.6" x14ac:dyDescent="0.3">
      <c r="A713" s="72"/>
      <c r="B713" s="73" t="s">
        <v>16</v>
      </c>
      <c r="C713" s="23" t="s">
        <v>41</v>
      </c>
      <c r="D713" s="58" t="s">
        <v>42</v>
      </c>
      <c r="E713" s="23" t="s">
        <v>43</v>
      </c>
      <c r="F713" s="58" t="s">
        <v>44</v>
      </c>
      <c r="G713" s="23" t="s">
        <v>63</v>
      </c>
      <c r="H713" s="58" t="s">
        <v>32</v>
      </c>
      <c r="I713" s="14"/>
      <c r="J713" s="14"/>
      <c r="K713" s="14"/>
      <c r="L713" s="14"/>
      <c r="M713" s="15" t="s">
        <v>18</v>
      </c>
      <c r="N713" s="10"/>
      <c r="O713" s="10"/>
    </row>
    <row r="714" spans="1:15" ht="15.6" x14ac:dyDescent="0.3">
      <c r="A714" s="72"/>
      <c r="B714" s="73"/>
      <c r="C714" s="26" t="str">
        <f>VLOOKUP($A704,NotaIndividualPorAlunoRED,2,0)</f>
        <v/>
      </c>
      <c r="D714" s="26" t="str">
        <f>VLOOKUP($A704,NotaIndividualPorAlunoRED,3,0)</f>
        <v/>
      </c>
      <c r="E714" s="26" t="str">
        <f>VLOOKUP($A704,NotaIndividualPorAlunoRED,4,0)</f>
        <v/>
      </c>
      <c r="F714" s="26" t="str">
        <f>VLOOKUP($A704,NotaIndividualPorAlunoRED,5,0)</f>
        <v/>
      </c>
      <c r="G714" s="26" t="str">
        <f>VLOOKUP($A704,NotaIndividualPorAlunoRED,6,0)</f>
        <v/>
      </c>
      <c r="H714" s="21" t="str">
        <f>VLOOKUP($A704,NotaIndividualPorAlunoRED,7,0)</f>
        <v/>
      </c>
      <c r="I714" s="14"/>
      <c r="J714" s="14"/>
      <c r="K714" s="14"/>
      <c r="L714" s="14"/>
      <c r="M714" s="20" t="str">
        <f>VLOOKUP(A704,NOTAS!C:I,7,0)</f>
        <v/>
      </c>
      <c r="N714" s="10"/>
      <c r="O714" s="10"/>
    </row>
    <row r="715" spans="1:15" x14ac:dyDescent="0.3">
      <c r="A715" s="72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0"/>
      <c r="O715" s="10"/>
    </row>
    <row r="716" spans="1:15" x14ac:dyDescent="0.3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</row>
    <row r="717" spans="1:15" x14ac:dyDescent="0.3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</row>
    <row r="718" spans="1:15" x14ac:dyDescent="0.3">
      <c r="A718" s="58" t="s">
        <v>38</v>
      </c>
      <c r="B718" s="57" t="s">
        <v>35</v>
      </c>
      <c r="C718" s="57" t="s">
        <v>56</v>
      </c>
      <c r="D718" s="57" t="s">
        <v>57</v>
      </c>
      <c r="E718" s="57" t="s">
        <v>58</v>
      </c>
      <c r="F718" s="57" t="s">
        <v>59</v>
      </c>
      <c r="G718" s="57" t="s">
        <v>60</v>
      </c>
      <c r="H718" s="57" t="s">
        <v>36</v>
      </c>
      <c r="I718" s="57" t="s">
        <v>61</v>
      </c>
      <c r="J718" s="57" t="s">
        <v>34</v>
      </c>
      <c r="K718" s="57" t="s">
        <v>62</v>
      </c>
      <c r="L718" s="16" t="s">
        <v>33</v>
      </c>
      <c r="M718" s="57" t="s">
        <v>37</v>
      </c>
      <c r="N718" s="10"/>
      <c r="O718" s="10"/>
    </row>
    <row r="719" spans="1:15" ht="15.6" x14ac:dyDescent="0.3">
      <c r="A719" s="58" t="str" cm="1">
        <f t="array" ref="A719">IF(ISERROR(INDEX(ListaDeAlunos,(((ROW()-2)/17)+1),(COLUMN()+1))),"",INDEX(ListaDeAlunos,(((ROW()-2)/17)+1),(COLUMN()+1)))</f>
        <v/>
      </c>
      <c r="B719" s="17" t="str">
        <f>VLOOKUP($A719,NotaIndividualPorAlunoPROVAO,2,0)</f>
        <v/>
      </c>
      <c r="C719" s="18" t="str">
        <f>VLOOKUP($A719,NotaIndividualPorAlunoPROVAO,3,0)</f>
        <v/>
      </c>
      <c r="D719" s="17" t="str">
        <f>VLOOKUP($A719,NotaIndividualPorAlunoPROVAO,4,0)</f>
        <v/>
      </c>
      <c r="E719" s="18" t="str">
        <f>VLOOKUP($A719,NotaIndividualPorAlunoPROVAO,5,0)</f>
        <v/>
      </c>
      <c r="F719" s="17" t="str">
        <f>VLOOKUP($A719,NotaIndividualPorAlunoPROVAO,6,0)</f>
        <v/>
      </c>
      <c r="G719" s="18" t="str">
        <f>VLOOKUP($A719,NotaIndividualPorAlunoPROVAO,7,0)</f>
        <v/>
      </c>
      <c r="H719" s="17" t="str">
        <f>VLOOKUP($A719,NotaIndividualPorAlunoPROVAO,8,0)</f>
        <v/>
      </c>
      <c r="I719" s="18" t="str">
        <f>VLOOKUP($A719,NotaIndividualPorAlunoPROVAO,9,0)</f>
        <v/>
      </c>
      <c r="J719" s="17" t="str">
        <f>VLOOKUP($A719,NotaIndividualPorAlunoPROVAO,10,0)</f>
        <v/>
      </c>
      <c r="K719" s="18" t="str">
        <f>VLOOKUP($A719,NotaIndividualPorAlunoPROVAO,11,0)</f>
        <v/>
      </c>
      <c r="L719" s="15" t="str">
        <f>VLOOKUP($A719,NotaIndividualPorAlunoPROVAO,12,0)</f>
        <v/>
      </c>
      <c r="M719" s="25" t="str">
        <f>VLOOKUP($A719,NotaIndividualPorAlunoPROVAO,13,0)</f>
        <v/>
      </c>
      <c r="N719" s="10"/>
      <c r="O719" s="10"/>
    </row>
    <row r="720" spans="1:15" x14ac:dyDescent="0.3">
      <c r="N720" s="10"/>
      <c r="O720" s="10"/>
    </row>
    <row r="721" spans="1:15" x14ac:dyDescent="0.3">
      <c r="A721" s="72" t="str">
        <f>A719</f>
        <v/>
      </c>
      <c r="B721" s="73" t="s">
        <v>15</v>
      </c>
      <c r="C721" s="57" t="s">
        <v>2</v>
      </c>
      <c r="D721" s="57" t="s">
        <v>3</v>
      </c>
      <c r="E721" s="57" t="s">
        <v>4</v>
      </c>
      <c r="F721" s="57" t="s">
        <v>5</v>
      </c>
      <c r="G721" s="57" t="s">
        <v>6</v>
      </c>
      <c r="H721" s="57" t="s">
        <v>7</v>
      </c>
      <c r="I721" s="57" t="s">
        <v>8</v>
      </c>
      <c r="J721" s="57" t="s">
        <v>9</v>
      </c>
      <c r="K721" s="57" t="s">
        <v>10</v>
      </c>
      <c r="L721" s="57" t="s">
        <v>11</v>
      </c>
      <c r="M721" s="57" t="s">
        <v>13</v>
      </c>
      <c r="N721" s="10"/>
      <c r="O721" s="10"/>
    </row>
    <row r="722" spans="1:15" ht="15.6" x14ac:dyDescent="0.3">
      <c r="A722" s="72"/>
      <c r="B722" s="73"/>
      <c r="C722" s="5" t="str">
        <f t="shared" ref="C722:L722" si="126">VLOOKUP($A721,NotaIndividualPorAlunoMAT,RIGHT(C721,2)+1,0)</f>
        <v/>
      </c>
      <c r="D722" s="5" t="str">
        <f t="shared" si="126"/>
        <v/>
      </c>
      <c r="E722" s="5" t="str">
        <f t="shared" si="126"/>
        <v/>
      </c>
      <c r="F722" s="5" t="str">
        <f t="shared" si="126"/>
        <v/>
      </c>
      <c r="G722" s="5" t="str">
        <f t="shared" si="126"/>
        <v/>
      </c>
      <c r="H722" s="5" t="str">
        <f t="shared" si="126"/>
        <v/>
      </c>
      <c r="I722" s="5" t="str">
        <f t="shared" si="126"/>
        <v/>
      </c>
      <c r="J722" s="5" t="str">
        <f t="shared" si="126"/>
        <v/>
      </c>
      <c r="K722" s="5" t="str">
        <f t="shared" si="126"/>
        <v/>
      </c>
      <c r="L722" s="5" t="str">
        <f t="shared" si="126"/>
        <v/>
      </c>
      <c r="M722" s="19" t="str">
        <f>VLOOKUP($A721,NotaIndividualPorAlunoMAT,RIGHT(L721,2)+2,0)</f>
        <v/>
      </c>
      <c r="N722" s="10"/>
      <c r="O722" s="10"/>
    </row>
    <row r="723" spans="1:15" x14ac:dyDescent="0.3">
      <c r="A723" s="72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0"/>
      <c r="O723" s="10"/>
    </row>
    <row r="724" spans="1:15" x14ac:dyDescent="0.3">
      <c r="A724" s="72"/>
      <c r="B724" s="73" t="s">
        <v>14</v>
      </c>
      <c r="C724" s="57" t="s">
        <v>46</v>
      </c>
      <c r="D724" s="57" t="s">
        <v>47</v>
      </c>
      <c r="E724" s="57" t="s">
        <v>48</v>
      </c>
      <c r="F724" s="57" t="s">
        <v>49</v>
      </c>
      <c r="G724" s="57" t="s">
        <v>50</v>
      </c>
      <c r="H724" s="57" t="s">
        <v>51</v>
      </c>
      <c r="I724" s="57" t="s">
        <v>52</v>
      </c>
      <c r="J724" s="57" t="s">
        <v>53</v>
      </c>
      <c r="K724" s="57" t="s">
        <v>54</v>
      </c>
      <c r="L724" s="57" t="s">
        <v>55</v>
      </c>
      <c r="M724" s="57" t="s">
        <v>13</v>
      </c>
      <c r="N724" s="10"/>
      <c r="O724" s="10"/>
    </row>
    <row r="725" spans="1:15" ht="15.6" x14ac:dyDescent="0.3">
      <c r="A725" s="72"/>
      <c r="B725" s="73"/>
      <c r="C725" s="3" t="str">
        <f t="shared" ref="C725:L725" si="127">VLOOKUP($A721,NotaIndividualPorAlunoQUI,RIGHT(C724,2)-9,0)</f>
        <v/>
      </c>
      <c r="D725" s="3" t="str">
        <f t="shared" si="127"/>
        <v/>
      </c>
      <c r="E725" s="3" t="str">
        <f t="shared" si="127"/>
        <v/>
      </c>
      <c r="F725" s="3" t="str">
        <f t="shared" si="127"/>
        <v/>
      </c>
      <c r="G725" s="3" t="str">
        <f t="shared" si="127"/>
        <v/>
      </c>
      <c r="H725" s="3" t="str">
        <f t="shared" si="127"/>
        <v/>
      </c>
      <c r="I725" s="3" t="str">
        <f t="shared" si="127"/>
        <v/>
      </c>
      <c r="J725" s="3" t="str">
        <f t="shared" si="127"/>
        <v/>
      </c>
      <c r="K725" s="3" t="str">
        <f t="shared" si="127"/>
        <v/>
      </c>
      <c r="L725" s="3" t="str">
        <f t="shared" si="127"/>
        <v/>
      </c>
      <c r="M725" s="19" t="str">
        <f>VLOOKUP($A721,NotaIndividualPorAlunoQUI,RIGHT(L724,2)-8,0)</f>
        <v/>
      </c>
      <c r="N725" s="10"/>
      <c r="O725" s="10"/>
    </row>
    <row r="726" spans="1:15" x14ac:dyDescent="0.3">
      <c r="A726" s="72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0"/>
      <c r="O726" s="10"/>
    </row>
    <row r="727" spans="1:15" x14ac:dyDescent="0.3">
      <c r="A727" s="72"/>
      <c r="B727" s="73" t="s">
        <v>12</v>
      </c>
      <c r="C727" s="57" t="s">
        <v>2</v>
      </c>
      <c r="D727" s="57" t="s">
        <v>3</v>
      </c>
      <c r="E727" s="57" t="s">
        <v>4</v>
      </c>
      <c r="F727" s="57" t="s">
        <v>5</v>
      </c>
      <c r="G727" s="57" t="s">
        <v>6</v>
      </c>
      <c r="H727" s="57" t="s">
        <v>7</v>
      </c>
      <c r="I727" s="57" t="s">
        <v>8</v>
      </c>
      <c r="J727" s="57" t="s">
        <v>9</v>
      </c>
      <c r="K727" s="57" t="s">
        <v>10</v>
      </c>
      <c r="L727" s="57" t="s">
        <v>11</v>
      </c>
      <c r="M727" s="57" t="s">
        <v>13</v>
      </c>
      <c r="N727" s="10"/>
      <c r="O727" s="10"/>
    </row>
    <row r="728" spans="1:15" ht="15.6" x14ac:dyDescent="0.3">
      <c r="A728" s="72"/>
      <c r="B728" s="73"/>
      <c r="C728" s="3" t="str">
        <f t="shared" ref="C728:L728" si="128">VLOOKUP($A721,NotaIndividualPorAlunoFIS,RIGHT(C727,2)+1,0)</f>
        <v/>
      </c>
      <c r="D728" s="3" t="str">
        <f t="shared" si="128"/>
        <v/>
      </c>
      <c r="E728" s="3" t="str">
        <f t="shared" si="128"/>
        <v/>
      </c>
      <c r="F728" s="3" t="str">
        <f t="shared" si="128"/>
        <v/>
      </c>
      <c r="G728" s="3" t="str">
        <f t="shared" si="128"/>
        <v/>
      </c>
      <c r="H728" s="3" t="str">
        <f t="shared" si="128"/>
        <v/>
      </c>
      <c r="I728" s="3" t="str">
        <f t="shared" si="128"/>
        <v/>
      </c>
      <c r="J728" s="3" t="str">
        <f t="shared" si="128"/>
        <v/>
      </c>
      <c r="K728" s="3" t="str">
        <f t="shared" si="128"/>
        <v/>
      </c>
      <c r="L728" s="3" t="str">
        <f t="shared" si="128"/>
        <v/>
      </c>
      <c r="M728" s="19" t="str">
        <f>VLOOKUP($A721,NotaIndividualPorAlunoFIS,RIGHT(L727,2)+2,0)</f>
        <v/>
      </c>
      <c r="N728" s="10"/>
      <c r="O728" s="10"/>
    </row>
    <row r="729" spans="1:15" ht="15.6" x14ac:dyDescent="0.3">
      <c r="A729" s="72"/>
      <c r="B729" s="12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0"/>
      <c r="O729" s="10"/>
    </row>
    <row r="730" spans="1:15" ht="15.6" x14ac:dyDescent="0.3">
      <c r="A730" s="72"/>
      <c r="B730" s="73" t="s">
        <v>16</v>
      </c>
      <c r="C730" s="23" t="s">
        <v>41</v>
      </c>
      <c r="D730" s="58" t="s">
        <v>42</v>
      </c>
      <c r="E730" s="23" t="s">
        <v>43</v>
      </c>
      <c r="F730" s="58" t="s">
        <v>44</v>
      </c>
      <c r="G730" s="23" t="s">
        <v>63</v>
      </c>
      <c r="H730" s="58" t="s">
        <v>32</v>
      </c>
      <c r="I730" s="14"/>
      <c r="J730" s="14"/>
      <c r="K730" s="14"/>
      <c r="L730" s="14"/>
      <c r="M730" s="15" t="s">
        <v>18</v>
      </c>
      <c r="N730" s="10"/>
      <c r="O730" s="10"/>
    </row>
    <row r="731" spans="1:15" ht="15.6" x14ac:dyDescent="0.3">
      <c r="A731" s="72"/>
      <c r="B731" s="73"/>
      <c r="C731" s="26" t="str">
        <f>VLOOKUP($A721,NotaIndividualPorAlunoRED,2,0)</f>
        <v/>
      </c>
      <c r="D731" s="26" t="str">
        <f>VLOOKUP($A721,NotaIndividualPorAlunoRED,3,0)</f>
        <v/>
      </c>
      <c r="E731" s="26" t="str">
        <f>VLOOKUP($A721,NotaIndividualPorAlunoRED,4,0)</f>
        <v/>
      </c>
      <c r="F731" s="26" t="str">
        <f>VLOOKUP($A721,NotaIndividualPorAlunoRED,5,0)</f>
        <v/>
      </c>
      <c r="G731" s="26" t="str">
        <f>VLOOKUP($A721,NotaIndividualPorAlunoRED,6,0)</f>
        <v/>
      </c>
      <c r="H731" s="21" t="str">
        <f>VLOOKUP($A721,NotaIndividualPorAlunoRED,7,0)</f>
        <v/>
      </c>
      <c r="I731" s="14"/>
      <c r="J731" s="14"/>
      <c r="K731" s="14"/>
      <c r="L731" s="14"/>
      <c r="M731" s="20" t="str">
        <f>VLOOKUP(A721,NOTAS!C:I,7,0)</f>
        <v/>
      </c>
      <c r="N731" s="10"/>
      <c r="O731" s="10"/>
    </row>
    <row r="732" spans="1:15" x14ac:dyDescent="0.3">
      <c r="A732" s="72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0"/>
      <c r="O732" s="10"/>
    </row>
    <row r="733" spans="1:15" x14ac:dyDescent="0.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</row>
    <row r="734" spans="1:15" x14ac:dyDescent="0.3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</row>
    <row r="735" spans="1:15" x14ac:dyDescent="0.3">
      <c r="A735" s="58" t="s">
        <v>38</v>
      </c>
      <c r="B735" s="57" t="s">
        <v>35</v>
      </c>
      <c r="C735" s="57" t="s">
        <v>56</v>
      </c>
      <c r="D735" s="57" t="s">
        <v>57</v>
      </c>
      <c r="E735" s="57" t="s">
        <v>58</v>
      </c>
      <c r="F735" s="57" t="s">
        <v>59</v>
      </c>
      <c r="G735" s="57" t="s">
        <v>60</v>
      </c>
      <c r="H735" s="57" t="s">
        <v>36</v>
      </c>
      <c r="I735" s="57" t="s">
        <v>61</v>
      </c>
      <c r="J735" s="57" t="s">
        <v>34</v>
      </c>
      <c r="K735" s="57" t="s">
        <v>62</v>
      </c>
      <c r="L735" s="16" t="s">
        <v>33</v>
      </c>
      <c r="M735" s="57" t="s">
        <v>37</v>
      </c>
      <c r="N735" s="10"/>
      <c r="O735" s="10"/>
    </row>
    <row r="736" spans="1:15" ht="15.6" x14ac:dyDescent="0.3">
      <c r="A736" s="58" t="str" cm="1">
        <f t="array" ref="A736">IF(ISERROR(INDEX(ListaDeAlunos,(((ROW()-2)/17)+1),(COLUMN()+1))),"",INDEX(ListaDeAlunos,(((ROW()-2)/17)+1),(COLUMN()+1)))</f>
        <v/>
      </c>
      <c r="B736" s="17" t="str">
        <f>VLOOKUP($A736,NotaIndividualPorAlunoPROVAO,2,0)</f>
        <v/>
      </c>
      <c r="C736" s="18" t="str">
        <f>VLOOKUP($A736,NotaIndividualPorAlunoPROVAO,3,0)</f>
        <v/>
      </c>
      <c r="D736" s="17" t="str">
        <f>VLOOKUP($A736,NotaIndividualPorAlunoPROVAO,4,0)</f>
        <v/>
      </c>
      <c r="E736" s="18" t="str">
        <f>VLOOKUP($A736,NotaIndividualPorAlunoPROVAO,5,0)</f>
        <v/>
      </c>
      <c r="F736" s="17" t="str">
        <f>VLOOKUP($A736,NotaIndividualPorAlunoPROVAO,6,0)</f>
        <v/>
      </c>
      <c r="G736" s="18" t="str">
        <f>VLOOKUP($A736,NotaIndividualPorAlunoPROVAO,7,0)</f>
        <v/>
      </c>
      <c r="H736" s="17" t="str">
        <f>VLOOKUP($A736,NotaIndividualPorAlunoPROVAO,8,0)</f>
        <v/>
      </c>
      <c r="I736" s="18" t="str">
        <f>VLOOKUP($A736,NotaIndividualPorAlunoPROVAO,9,0)</f>
        <v/>
      </c>
      <c r="J736" s="17" t="str">
        <f>VLOOKUP($A736,NotaIndividualPorAlunoPROVAO,10,0)</f>
        <v/>
      </c>
      <c r="K736" s="18" t="str">
        <f>VLOOKUP($A736,NotaIndividualPorAlunoPROVAO,11,0)</f>
        <v/>
      </c>
      <c r="L736" s="15" t="str">
        <f>VLOOKUP($A736,NotaIndividualPorAlunoPROVAO,12,0)</f>
        <v/>
      </c>
      <c r="M736" s="25" t="str">
        <f>VLOOKUP($A736,NotaIndividualPorAlunoPROVAO,13,0)</f>
        <v/>
      </c>
      <c r="N736" s="10"/>
      <c r="O736" s="10"/>
    </row>
    <row r="737" spans="1:15" x14ac:dyDescent="0.3">
      <c r="N737" s="10"/>
      <c r="O737" s="10"/>
    </row>
    <row r="738" spans="1:15" x14ac:dyDescent="0.3">
      <c r="A738" s="72" t="str">
        <f>A736</f>
        <v/>
      </c>
      <c r="B738" s="73" t="s">
        <v>15</v>
      </c>
      <c r="C738" s="57" t="s">
        <v>2</v>
      </c>
      <c r="D738" s="57" t="s">
        <v>3</v>
      </c>
      <c r="E738" s="57" t="s">
        <v>4</v>
      </c>
      <c r="F738" s="57" t="s">
        <v>5</v>
      </c>
      <c r="G738" s="57" t="s">
        <v>6</v>
      </c>
      <c r="H738" s="57" t="s">
        <v>7</v>
      </c>
      <c r="I738" s="57" t="s">
        <v>8</v>
      </c>
      <c r="J738" s="57" t="s">
        <v>9</v>
      </c>
      <c r="K738" s="57" t="s">
        <v>10</v>
      </c>
      <c r="L738" s="57" t="s">
        <v>11</v>
      </c>
      <c r="M738" s="57" t="s">
        <v>13</v>
      </c>
      <c r="N738" s="10"/>
      <c r="O738" s="10"/>
    </row>
    <row r="739" spans="1:15" ht="15.6" x14ac:dyDescent="0.3">
      <c r="A739" s="72"/>
      <c r="B739" s="73"/>
      <c r="C739" s="5" t="str">
        <f t="shared" ref="C739:L739" si="129">VLOOKUP($A738,NotaIndividualPorAlunoMAT,RIGHT(C738,2)+1,0)</f>
        <v/>
      </c>
      <c r="D739" s="5" t="str">
        <f t="shared" si="129"/>
        <v/>
      </c>
      <c r="E739" s="5" t="str">
        <f t="shared" si="129"/>
        <v/>
      </c>
      <c r="F739" s="5" t="str">
        <f t="shared" si="129"/>
        <v/>
      </c>
      <c r="G739" s="5" t="str">
        <f t="shared" si="129"/>
        <v/>
      </c>
      <c r="H739" s="5" t="str">
        <f t="shared" si="129"/>
        <v/>
      </c>
      <c r="I739" s="5" t="str">
        <f t="shared" si="129"/>
        <v/>
      </c>
      <c r="J739" s="5" t="str">
        <f t="shared" si="129"/>
        <v/>
      </c>
      <c r="K739" s="5" t="str">
        <f t="shared" si="129"/>
        <v/>
      </c>
      <c r="L739" s="5" t="str">
        <f t="shared" si="129"/>
        <v/>
      </c>
      <c r="M739" s="19" t="str">
        <f>VLOOKUP($A738,NotaIndividualPorAlunoMAT,RIGHT(L738,2)+2,0)</f>
        <v/>
      </c>
      <c r="N739" s="10"/>
      <c r="O739" s="10"/>
    </row>
    <row r="740" spans="1:15" x14ac:dyDescent="0.3">
      <c r="A740" s="72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0"/>
      <c r="O740" s="10"/>
    </row>
    <row r="741" spans="1:15" x14ac:dyDescent="0.3">
      <c r="A741" s="72"/>
      <c r="B741" s="73" t="s">
        <v>14</v>
      </c>
      <c r="C741" s="57" t="s">
        <v>46</v>
      </c>
      <c r="D741" s="57" t="s">
        <v>47</v>
      </c>
      <c r="E741" s="57" t="s">
        <v>48</v>
      </c>
      <c r="F741" s="57" t="s">
        <v>49</v>
      </c>
      <c r="G741" s="57" t="s">
        <v>50</v>
      </c>
      <c r="H741" s="57" t="s">
        <v>51</v>
      </c>
      <c r="I741" s="57" t="s">
        <v>52</v>
      </c>
      <c r="J741" s="57" t="s">
        <v>53</v>
      </c>
      <c r="K741" s="57" t="s">
        <v>54</v>
      </c>
      <c r="L741" s="57" t="s">
        <v>55</v>
      </c>
      <c r="M741" s="57" t="s">
        <v>13</v>
      </c>
      <c r="N741" s="10"/>
      <c r="O741" s="10"/>
    </row>
    <row r="742" spans="1:15" ht="15.6" x14ac:dyDescent="0.3">
      <c r="A742" s="72"/>
      <c r="B742" s="73"/>
      <c r="C742" s="3" t="str">
        <f t="shared" ref="C742:L742" si="130">VLOOKUP($A738,NotaIndividualPorAlunoQUI,RIGHT(C741,2)-9,0)</f>
        <v/>
      </c>
      <c r="D742" s="3" t="str">
        <f t="shared" si="130"/>
        <v/>
      </c>
      <c r="E742" s="3" t="str">
        <f t="shared" si="130"/>
        <v/>
      </c>
      <c r="F742" s="3" t="str">
        <f t="shared" si="130"/>
        <v/>
      </c>
      <c r="G742" s="3" t="str">
        <f t="shared" si="130"/>
        <v/>
      </c>
      <c r="H742" s="3" t="str">
        <f t="shared" si="130"/>
        <v/>
      </c>
      <c r="I742" s="3" t="str">
        <f t="shared" si="130"/>
        <v/>
      </c>
      <c r="J742" s="3" t="str">
        <f t="shared" si="130"/>
        <v/>
      </c>
      <c r="K742" s="3" t="str">
        <f t="shared" si="130"/>
        <v/>
      </c>
      <c r="L742" s="3" t="str">
        <f t="shared" si="130"/>
        <v/>
      </c>
      <c r="M742" s="19" t="str">
        <f>VLOOKUP($A738,NotaIndividualPorAlunoQUI,RIGHT(L741,2)-8,0)</f>
        <v/>
      </c>
      <c r="N742" s="10"/>
      <c r="O742" s="10"/>
    </row>
    <row r="743" spans="1:15" x14ac:dyDescent="0.3">
      <c r="A743" s="72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0"/>
      <c r="O743" s="10"/>
    </row>
    <row r="744" spans="1:15" x14ac:dyDescent="0.3">
      <c r="A744" s="72"/>
      <c r="B744" s="73" t="s">
        <v>12</v>
      </c>
      <c r="C744" s="57" t="s">
        <v>2</v>
      </c>
      <c r="D744" s="57" t="s">
        <v>3</v>
      </c>
      <c r="E744" s="57" t="s">
        <v>4</v>
      </c>
      <c r="F744" s="57" t="s">
        <v>5</v>
      </c>
      <c r="G744" s="57" t="s">
        <v>6</v>
      </c>
      <c r="H744" s="57" t="s">
        <v>7</v>
      </c>
      <c r="I744" s="57" t="s">
        <v>8</v>
      </c>
      <c r="J744" s="57" t="s">
        <v>9</v>
      </c>
      <c r="K744" s="57" t="s">
        <v>10</v>
      </c>
      <c r="L744" s="57" t="s">
        <v>11</v>
      </c>
      <c r="M744" s="57" t="s">
        <v>13</v>
      </c>
      <c r="N744" s="10"/>
      <c r="O744" s="10"/>
    </row>
    <row r="745" spans="1:15" ht="15.6" x14ac:dyDescent="0.3">
      <c r="A745" s="72"/>
      <c r="B745" s="73"/>
      <c r="C745" s="3" t="str">
        <f t="shared" ref="C745:L745" si="131">VLOOKUP($A738,NotaIndividualPorAlunoFIS,RIGHT(C744,2)+1,0)</f>
        <v/>
      </c>
      <c r="D745" s="3" t="str">
        <f t="shared" si="131"/>
        <v/>
      </c>
      <c r="E745" s="3" t="str">
        <f t="shared" si="131"/>
        <v/>
      </c>
      <c r="F745" s="3" t="str">
        <f t="shared" si="131"/>
        <v/>
      </c>
      <c r="G745" s="3" t="str">
        <f t="shared" si="131"/>
        <v/>
      </c>
      <c r="H745" s="3" t="str">
        <f t="shared" si="131"/>
        <v/>
      </c>
      <c r="I745" s="3" t="str">
        <f t="shared" si="131"/>
        <v/>
      </c>
      <c r="J745" s="3" t="str">
        <f t="shared" si="131"/>
        <v/>
      </c>
      <c r="K745" s="3" t="str">
        <f t="shared" si="131"/>
        <v/>
      </c>
      <c r="L745" s="3" t="str">
        <f t="shared" si="131"/>
        <v/>
      </c>
      <c r="M745" s="19" t="str">
        <f>VLOOKUP($A738,NotaIndividualPorAlunoFIS,RIGHT(L744,2)+2,0)</f>
        <v/>
      </c>
      <c r="N745" s="10"/>
      <c r="O745" s="10"/>
    </row>
    <row r="746" spans="1:15" ht="15.6" x14ac:dyDescent="0.3">
      <c r="A746" s="72"/>
      <c r="B746" s="12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0"/>
      <c r="O746" s="10"/>
    </row>
    <row r="747" spans="1:15" ht="15.6" x14ac:dyDescent="0.3">
      <c r="A747" s="72"/>
      <c r="B747" s="73" t="s">
        <v>16</v>
      </c>
      <c r="C747" s="23" t="s">
        <v>41</v>
      </c>
      <c r="D747" s="58" t="s">
        <v>42</v>
      </c>
      <c r="E747" s="23" t="s">
        <v>43</v>
      </c>
      <c r="F747" s="58" t="s">
        <v>44</v>
      </c>
      <c r="G747" s="23" t="s">
        <v>63</v>
      </c>
      <c r="H747" s="58" t="s">
        <v>32</v>
      </c>
      <c r="I747" s="14"/>
      <c r="J747" s="14"/>
      <c r="K747" s="14"/>
      <c r="L747" s="14"/>
      <c r="M747" s="15" t="s">
        <v>18</v>
      </c>
      <c r="N747" s="10"/>
      <c r="O747" s="10"/>
    </row>
    <row r="748" spans="1:15" ht="15.6" x14ac:dyDescent="0.3">
      <c r="A748" s="72"/>
      <c r="B748" s="73"/>
      <c r="C748" s="26" t="str">
        <f>VLOOKUP($A738,NotaIndividualPorAlunoRED,2,0)</f>
        <v/>
      </c>
      <c r="D748" s="26" t="str">
        <f>VLOOKUP($A738,NotaIndividualPorAlunoRED,3,0)</f>
        <v/>
      </c>
      <c r="E748" s="26" t="str">
        <f>VLOOKUP($A738,NotaIndividualPorAlunoRED,4,0)</f>
        <v/>
      </c>
      <c r="F748" s="26" t="str">
        <f>VLOOKUP($A738,NotaIndividualPorAlunoRED,5,0)</f>
        <v/>
      </c>
      <c r="G748" s="26" t="str">
        <f>VLOOKUP($A738,NotaIndividualPorAlunoRED,6,0)</f>
        <v/>
      </c>
      <c r="H748" s="21" t="str">
        <f>VLOOKUP($A738,NotaIndividualPorAlunoRED,7,0)</f>
        <v/>
      </c>
      <c r="I748" s="14"/>
      <c r="J748" s="14"/>
      <c r="K748" s="14"/>
      <c r="L748" s="14"/>
      <c r="M748" s="20" t="str">
        <f>VLOOKUP(A738,NOTAS!C:I,7,0)</f>
        <v/>
      </c>
      <c r="N748" s="10"/>
      <c r="O748" s="10"/>
    </row>
    <row r="749" spans="1:15" x14ac:dyDescent="0.3">
      <c r="A749" s="72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0"/>
      <c r="O749" s="10"/>
    </row>
    <row r="750" spans="1:15" x14ac:dyDescent="0.3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</row>
    <row r="751" spans="1:15" x14ac:dyDescent="0.3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</row>
    <row r="752" spans="1:15" x14ac:dyDescent="0.3">
      <c r="A752" s="58" t="s">
        <v>38</v>
      </c>
      <c r="B752" s="57" t="s">
        <v>35</v>
      </c>
      <c r="C752" s="57" t="s">
        <v>56</v>
      </c>
      <c r="D752" s="57" t="s">
        <v>57</v>
      </c>
      <c r="E752" s="57" t="s">
        <v>58</v>
      </c>
      <c r="F752" s="57" t="s">
        <v>59</v>
      </c>
      <c r="G752" s="57" t="s">
        <v>60</v>
      </c>
      <c r="H752" s="57" t="s">
        <v>36</v>
      </c>
      <c r="I752" s="57" t="s">
        <v>61</v>
      </c>
      <c r="J752" s="57" t="s">
        <v>34</v>
      </c>
      <c r="K752" s="57" t="s">
        <v>62</v>
      </c>
      <c r="L752" s="16" t="s">
        <v>33</v>
      </c>
      <c r="M752" s="57" t="s">
        <v>37</v>
      </c>
      <c r="N752" s="10"/>
      <c r="O752" s="10"/>
    </row>
    <row r="753" spans="1:15" ht="15.6" x14ac:dyDescent="0.3">
      <c r="A753" s="58" t="str" cm="1">
        <f t="array" ref="A753">IF(ISERROR(INDEX(ListaDeAlunos,(((ROW()-2)/17)+1),(COLUMN()+1))),"",INDEX(ListaDeAlunos,(((ROW()-2)/17)+1),(COLUMN()+1)))</f>
        <v/>
      </c>
      <c r="B753" s="17" t="str">
        <f>VLOOKUP($A753,NotaIndividualPorAlunoPROVAO,2,0)</f>
        <v/>
      </c>
      <c r="C753" s="18" t="str">
        <f>VLOOKUP($A753,NotaIndividualPorAlunoPROVAO,3,0)</f>
        <v/>
      </c>
      <c r="D753" s="17" t="str">
        <f>VLOOKUP($A753,NotaIndividualPorAlunoPROVAO,4,0)</f>
        <v/>
      </c>
      <c r="E753" s="18" t="str">
        <f>VLOOKUP($A753,NotaIndividualPorAlunoPROVAO,5,0)</f>
        <v/>
      </c>
      <c r="F753" s="17" t="str">
        <f>VLOOKUP($A753,NotaIndividualPorAlunoPROVAO,6,0)</f>
        <v/>
      </c>
      <c r="G753" s="18" t="str">
        <f>VLOOKUP($A753,NotaIndividualPorAlunoPROVAO,7,0)</f>
        <v/>
      </c>
      <c r="H753" s="17" t="str">
        <f>VLOOKUP($A753,NotaIndividualPorAlunoPROVAO,8,0)</f>
        <v/>
      </c>
      <c r="I753" s="18" t="str">
        <f>VLOOKUP($A753,NotaIndividualPorAlunoPROVAO,9,0)</f>
        <v/>
      </c>
      <c r="J753" s="17" t="str">
        <f>VLOOKUP($A753,NotaIndividualPorAlunoPROVAO,10,0)</f>
        <v/>
      </c>
      <c r="K753" s="18" t="str">
        <f>VLOOKUP($A753,NotaIndividualPorAlunoPROVAO,11,0)</f>
        <v/>
      </c>
      <c r="L753" s="15" t="str">
        <f>VLOOKUP($A753,NotaIndividualPorAlunoPROVAO,12,0)</f>
        <v/>
      </c>
      <c r="M753" s="25" t="str">
        <f>VLOOKUP($A753,NotaIndividualPorAlunoPROVAO,13,0)</f>
        <v/>
      </c>
      <c r="N753" s="10"/>
      <c r="O753" s="10"/>
    </row>
    <row r="754" spans="1:15" x14ac:dyDescent="0.3">
      <c r="N754" s="10"/>
      <c r="O754" s="10"/>
    </row>
    <row r="755" spans="1:15" x14ac:dyDescent="0.3">
      <c r="A755" s="72" t="str">
        <f>A753</f>
        <v/>
      </c>
      <c r="B755" s="73" t="s">
        <v>15</v>
      </c>
      <c r="C755" s="57" t="s">
        <v>2</v>
      </c>
      <c r="D755" s="57" t="s">
        <v>3</v>
      </c>
      <c r="E755" s="57" t="s">
        <v>4</v>
      </c>
      <c r="F755" s="57" t="s">
        <v>5</v>
      </c>
      <c r="G755" s="57" t="s">
        <v>6</v>
      </c>
      <c r="H755" s="57" t="s">
        <v>7</v>
      </c>
      <c r="I755" s="57" t="s">
        <v>8</v>
      </c>
      <c r="J755" s="57" t="s">
        <v>9</v>
      </c>
      <c r="K755" s="57" t="s">
        <v>10</v>
      </c>
      <c r="L755" s="57" t="s">
        <v>11</v>
      </c>
      <c r="M755" s="57" t="s">
        <v>13</v>
      </c>
      <c r="N755" s="10"/>
      <c r="O755" s="10"/>
    </row>
    <row r="756" spans="1:15" ht="15.6" x14ac:dyDescent="0.3">
      <c r="A756" s="72"/>
      <c r="B756" s="73"/>
      <c r="C756" s="5" t="str">
        <f t="shared" ref="C756:L756" si="132">VLOOKUP($A755,NotaIndividualPorAlunoMAT,RIGHT(C755,2)+1,0)</f>
        <v/>
      </c>
      <c r="D756" s="5" t="str">
        <f t="shared" si="132"/>
        <v/>
      </c>
      <c r="E756" s="5" t="str">
        <f t="shared" si="132"/>
        <v/>
      </c>
      <c r="F756" s="5" t="str">
        <f t="shared" si="132"/>
        <v/>
      </c>
      <c r="G756" s="5" t="str">
        <f t="shared" si="132"/>
        <v/>
      </c>
      <c r="H756" s="5" t="str">
        <f t="shared" si="132"/>
        <v/>
      </c>
      <c r="I756" s="5" t="str">
        <f t="shared" si="132"/>
        <v/>
      </c>
      <c r="J756" s="5" t="str">
        <f t="shared" si="132"/>
        <v/>
      </c>
      <c r="K756" s="5" t="str">
        <f t="shared" si="132"/>
        <v/>
      </c>
      <c r="L756" s="5" t="str">
        <f t="shared" si="132"/>
        <v/>
      </c>
      <c r="M756" s="19" t="str">
        <f>VLOOKUP($A755,NotaIndividualPorAlunoMAT,RIGHT(L755,2)+2,0)</f>
        <v/>
      </c>
      <c r="N756" s="10"/>
      <c r="O756" s="10"/>
    </row>
    <row r="757" spans="1:15" x14ac:dyDescent="0.3">
      <c r="A757" s="72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0"/>
      <c r="O757" s="10"/>
    </row>
    <row r="758" spans="1:15" x14ac:dyDescent="0.3">
      <c r="A758" s="72"/>
      <c r="B758" s="73" t="s">
        <v>14</v>
      </c>
      <c r="C758" s="57" t="s">
        <v>46</v>
      </c>
      <c r="D758" s="57" t="s">
        <v>47</v>
      </c>
      <c r="E758" s="57" t="s">
        <v>48</v>
      </c>
      <c r="F758" s="57" t="s">
        <v>49</v>
      </c>
      <c r="G758" s="57" t="s">
        <v>50</v>
      </c>
      <c r="H758" s="57" t="s">
        <v>51</v>
      </c>
      <c r="I758" s="57" t="s">
        <v>52</v>
      </c>
      <c r="J758" s="57" t="s">
        <v>53</v>
      </c>
      <c r="K758" s="57" t="s">
        <v>54</v>
      </c>
      <c r="L758" s="57" t="s">
        <v>55</v>
      </c>
      <c r="M758" s="57" t="s">
        <v>13</v>
      </c>
      <c r="N758" s="10"/>
      <c r="O758" s="10"/>
    </row>
    <row r="759" spans="1:15" ht="15.6" x14ac:dyDescent="0.3">
      <c r="A759" s="72"/>
      <c r="B759" s="73"/>
      <c r="C759" s="3" t="str">
        <f t="shared" ref="C759:L759" si="133">VLOOKUP($A755,NotaIndividualPorAlunoQUI,RIGHT(C758,2)-9,0)</f>
        <v/>
      </c>
      <c r="D759" s="3" t="str">
        <f t="shared" si="133"/>
        <v/>
      </c>
      <c r="E759" s="3" t="str">
        <f t="shared" si="133"/>
        <v/>
      </c>
      <c r="F759" s="3" t="str">
        <f t="shared" si="133"/>
        <v/>
      </c>
      <c r="G759" s="3" t="str">
        <f t="shared" si="133"/>
        <v/>
      </c>
      <c r="H759" s="3" t="str">
        <f t="shared" si="133"/>
        <v/>
      </c>
      <c r="I759" s="3" t="str">
        <f t="shared" si="133"/>
        <v/>
      </c>
      <c r="J759" s="3" t="str">
        <f t="shared" si="133"/>
        <v/>
      </c>
      <c r="K759" s="3" t="str">
        <f t="shared" si="133"/>
        <v/>
      </c>
      <c r="L759" s="3" t="str">
        <f t="shared" si="133"/>
        <v/>
      </c>
      <c r="M759" s="19" t="str">
        <f>VLOOKUP($A755,NotaIndividualPorAlunoQUI,RIGHT(L758,2)-8,0)</f>
        <v/>
      </c>
      <c r="N759" s="10"/>
      <c r="O759" s="10"/>
    </row>
    <row r="760" spans="1:15" x14ac:dyDescent="0.3">
      <c r="A760" s="72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0"/>
      <c r="O760" s="10"/>
    </row>
    <row r="761" spans="1:15" x14ac:dyDescent="0.3">
      <c r="A761" s="72"/>
      <c r="B761" s="73" t="s">
        <v>12</v>
      </c>
      <c r="C761" s="57" t="s">
        <v>2</v>
      </c>
      <c r="D761" s="57" t="s">
        <v>3</v>
      </c>
      <c r="E761" s="57" t="s">
        <v>4</v>
      </c>
      <c r="F761" s="57" t="s">
        <v>5</v>
      </c>
      <c r="G761" s="57" t="s">
        <v>6</v>
      </c>
      <c r="H761" s="57" t="s">
        <v>7</v>
      </c>
      <c r="I761" s="57" t="s">
        <v>8</v>
      </c>
      <c r="J761" s="57" t="s">
        <v>9</v>
      </c>
      <c r="K761" s="57" t="s">
        <v>10</v>
      </c>
      <c r="L761" s="57" t="s">
        <v>11</v>
      </c>
      <c r="M761" s="57" t="s">
        <v>13</v>
      </c>
      <c r="N761" s="10"/>
      <c r="O761" s="10"/>
    </row>
    <row r="762" spans="1:15" ht="15.6" x14ac:dyDescent="0.3">
      <c r="A762" s="72"/>
      <c r="B762" s="73"/>
      <c r="C762" s="3" t="str">
        <f t="shared" ref="C762:L762" si="134">VLOOKUP($A755,NotaIndividualPorAlunoFIS,RIGHT(C761,2)+1,0)</f>
        <v/>
      </c>
      <c r="D762" s="3" t="str">
        <f t="shared" si="134"/>
        <v/>
      </c>
      <c r="E762" s="3" t="str">
        <f t="shared" si="134"/>
        <v/>
      </c>
      <c r="F762" s="3" t="str">
        <f t="shared" si="134"/>
        <v/>
      </c>
      <c r="G762" s="3" t="str">
        <f t="shared" si="134"/>
        <v/>
      </c>
      <c r="H762" s="3" t="str">
        <f t="shared" si="134"/>
        <v/>
      </c>
      <c r="I762" s="3" t="str">
        <f t="shared" si="134"/>
        <v/>
      </c>
      <c r="J762" s="3" t="str">
        <f t="shared" si="134"/>
        <v/>
      </c>
      <c r="K762" s="3" t="str">
        <f t="shared" si="134"/>
        <v/>
      </c>
      <c r="L762" s="3" t="str">
        <f t="shared" si="134"/>
        <v/>
      </c>
      <c r="M762" s="19" t="str">
        <f>VLOOKUP($A755,NotaIndividualPorAlunoFIS,RIGHT(L761,2)+2,0)</f>
        <v/>
      </c>
      <c r="N762" s="10"/>
      <c r="O762" s="10"/>
    </row>
    <row r="763" spans="1:15" ht="15.6" x14ac:dyDescent="0.3">
      <c r="A763" s="72"/>
      <c r="B763" s="12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0"/>
      <c r="O763" s="10"/>
    </row>
    <row r="764" spans="1:15" ht="15.6" x14ac:dyDescent="0.3">
      <c r="A764" s="72"/>
      <c r="B764" s="73" t="s">
        <v>16</v>
      </c>
      <c r="C764" s="23" t="s">
        <v>41</v>
      </c>
      <c r="D764" s="58" t="s">
        <v>42</v>
      </c>
      <c r="E764" s="23" t="s">
        <v>43</v>
      </c>
      <c r="F764" s="58" t="s">
        <v>44</v>
      </c>
      <c r="G764" s="23" t="s">
        <v>63</v>
      </c>
      <c r="H764" s="58" t="s">
        <v>32</v>
      </c>
      <c r="I764" s="14"/>
      <c r="J764" s="14"/>
      <c r="K764" s="14"/>
      <c r="L764" s="14"/>
      <c r="M764" s="15" t="s">
        <v>18</v>
      </c>
      <c r="N764" s="10"/>
      <c r="O764" s="10"/>
    </row>
    <row r="765" spans="1:15" ht="15.6" x14ac:dyDescent="0.3">
      <c r="A765" s="72"/>
      <c r="B765" s="73"/>
      <c r="C765" s="26" t="str">
        <f>VLOOKUP($A755,NotaIndividualPorAlunoRED,2,0)</f>
        <v/>
      </c>
      <c r="D765" s="26" t="str">
        <f>VLOOKUP($A755,NotaIndividualPorAlunoRED,3,0)</f>
        <v/>
      </c>
      <c r="E765" s="26" t="str">
        <f>VLOOKUP($A755,NotaIndividualPorAlunoRED,4,0)</f>
        <v/>
      </c>
      <c r="F765" s="26" t="str">
        <f>VLOOKUP($A755,NotaIndividualPorAlunoRED,5,0)</f>
        <v/>
      </c>
      <c r="G765" s="26" t="str">
        <f>VLOOKUP($A755,NotaIndividualPorAlunoRED,6,0)</f>
        <v/>
      </c>
      <c r="H765" s="21" t="str">
        <f>VLOOKUP($A755,NotaIndividualPorAlunoRED,7,0)</f>
        <v/>
      </c>
      <c r="I765" s="14"/>
      <c r="J765" s="14"/>
      <c r="K765" s="14"/>
      <c r="L765" s="14"/>
      <c r="M765" s="20" t="str">
        <f>VLOOKUP(A755,NOTAS!C:I,7,0)</f>
        <v/>
      </c>
      <c r="N765" s="10"/>
      <c r="O765" s="10"/>
    </row>
    <row r="766" spans="1:15" x14ac:dyDescent="0.3">
      <c r="A766" s="72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0"/>
      <c r="O766" s="10"/>
    </row>
    <row r="767" spans="1:15" x14ac:dyDescent="0.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</row>
    <row r="768" spans="1:15" x14ac:dyDescent="0.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</row>
    <row r="769" spans="1:15" x14ac:dyDescent="0.3">
      <c r="A769" s="58" t="s">
        <v>38</v>
      </c>
      <c r="B769" s="57" t="s">
        <v>35</v>
      </c>
      <c r="C769" s="57" t="s">
        <v>56</v>
      </c>
      <c r="D769" s="57" t="s">
        <v>57</v>
      </c>
      <c r="E769" s="57" t="s">
        <v>58</v>
      </c>
      <c r="F769" s="57" t="s">
        <v>59</v>
      </c>
      <c r="G769" s="57" t="s">
        <v>60</v>
      </c>
      <c r="H769" s="57" t="s">
        <v>36</v>
      </c>
      <c r="I769" s="57" t="s">
        <v>61</v>
      </c>
      <c r="J769" s="57" t="s">
        <v>34</v>
      </c>
      <c r="K769" s="57" t="s">
        <v>62</v>
      </c>
      <c r="L769" s="16" t="s">
        <v>33</v>
      </c>
      <c r="M769" s="57" t="s">
        <v>37</v>
      </c>
      <c r="N769" s="10"/>
      <c r="O769" s="10"/>
    </row>
    <row r="770" spans="1:15" ht="15.6" x14ac:dyDescent="0.3">
      <c r="A770" s="58" t="str" cm="1">
        <f t="array" ref="A770">IF(ISERROR(INDEX(ListaDeAlunos,(((ROW()-2)/17)+1),(COLUMN()+1))),"",INDEX(ListaDeAlunos,(((ROW()-2)/17)+1),(COLUMN()+1)))</f>
        <v/>
      </c>
      <c r="B770" s="17" t="str">
        <f>VLOOKUP($A770,NotaIndividualPorAlunoPROVAO,2,0)</f>
        <v/>
      </c>
      <c r="C770" s="18" t="str">
        <f>VLOOKUP($A770,NotaIndividualPorAlunoPROVAO,3,0)</f>
        <v/>
      </c>
      <c r="D770" s="17" t="str">
        <f>VLOOKUP($A770,NotaIndividualPorAlunoPROVAO,4,0)</f>
        <v/>
      </c>
      <c r="E770" s="18" t="str">
        <f>VLOOKUP($A770,NotaIndividualPorAlunoPROVAO,5,0)</f>
        <v/>
      </c>
      <c r="F770" s="17" t="str">
        <f>VLOOKUP($A770,NotaIndividualPorAlunoPROVAO,6,0)</f>
        <v/>
      </c>
      <c r="G770" s="18" t="str">
        <f>VLOOKUP($A770,NotaIndividualPorAlunoPROVAO,7,0)</f>
        <v/>
      </c>
      <c r="H770" s="17" t="str">
        <f>VLOOKUP($A770,NotaIndividualPorAlunoPROVAO,8,0)</f>
        <v/>
      </c>
      <c r="I770" s="18" t="str">
        <f>VLOOKUP($A770,NotaIndividualPorAlunoPROVAO,9,0)</f>
        <v/>
      </c>
      <c r="J770" s="17" t="str">
        <f>VLOOKUP($A770,NotaIndividualPorAlunoPROVAO,10,0)</f>
        <v/>
      </c>
      <c r="K770" s="18" t="str">
        <f>VLOOKUP($A770,NotaIndividualPorAlunoPROVAO,11,0)</f>
        <v/>
      </c>
      <c r="L770" s="15" t="str">
        <f>VLOOKUP($A770,NotaIndividualPorAlunoPROVAO,12,0)</f>
        <v/>
      </c>
      <c r="M770" s="25" t="str">
        <f>VLOOKUP($A770,NotaIndividualPorAlunoPROVAO,13,0)</f>
        <v/>
      </c>
      <c r="N770" s="10"/>
      <c r="O770" s="10"/>
    </row>
    <row r="771" spans="1:15" x14ac:dyDescent="0.3">
      <c r="N771" s="10"/>
      <c r="O771" s="10"/>
    </row>
    <row r="772" spans="1:15" x14ac:dyDescent="0.3">
      <c r="A772" s="72" t="str">
        <f>A770</f>
        <v/>
      </c>
      <c r="B772" s="73" t="s">
        <v>15</v>
      </c>
      <c r="C772" s="57" t="s">
        <v>2</v>
      </c>
      <c r="D772" s="57" t="s">
        <v>3</v>
      </c>
      <c r="E772" s="57" t="s">
        <v>4</v>
      </c>
      <c r="F772" s="57" t="s">
        <v>5</v>
      </c>
      <c r="G772" s="57" t="s">
        <v>6</v>
      </c>
      <c r="H772" s="57" t="s">
        <v>7</v>
      </c>
      <c r="I772" s="57" t="s">
        <v>8</v>
      </c>
      <c r="J772" s="57" t="s">
        <v>9</v>
      </c>
      <c r="K772" s="57" t="s">
        <v>10</v>
      </c>
      <c r="L772" s="57" t="s">
        <v>11</v>
      </c>
      <c r="M772" s="57" t="s">
        <v>13</v>
      </c>
      <c r="N772" s="10"/>
      <c r="O772" s="10"/>
    </row>
    <row r="773" spans="1:15" ht="15.6" x14ac:dyDescent="0.3">
      <c r="A773" s="72"/>
      <c r="B773" s="73"/>
      <c r="C773" s="5" t="str">
        <f t="shared" ref="C773:L773" si="135">VLOOKUP($A772,NotaIndividualPorAlunoMAT,RIGHT(C772,2)+1,0)</f>
        <v/>
      </c>
      <c r="D773" s="5" t="str">
        <f t="shared" si="135"/>
        <v/>
      </c>
      <c r="E773" s="5" t="str">
        <f t="shared" si="135"/>
        <v/>
      </c>
      <c r="F773" s="5" t="str">
        <f t="shared" si="135"/>
        <v/>
      </c>
      <c r="G773" s="5" t="str">
        <f t="shared" si="135"/>
        <v/>
      </c>
      <c r="H773" s="5" t="str">
        <f t="shared" si="135"/>
        <v/>
      </c>
      <c r="I773" s="5" t="str">
        <f t="shared" si="135"/>
        <v/>
      </c>
      <c r="J773" s="5" t="str">
        <f t="shared" si="135"/>
        <v/>
      </c>
      <c r="K773" s="5" t="str">
        <f t="shared" si="135"/>
        <v/>
      </c>
      <c r="L773" s="5" t="str">
        <f t="shared" si="135"/>
        <v/>
      </c>
      <c r="M773" s="19" t="str">
        <f>VLOOKUP($A772,NotaIndividualPorAlunoMAT,RIGHT(L772,2)+2,0)</f>
        <v/>
      </c>
      <c r="N773" s="10"/>
      <c r="O773" s="10"/>
    </row>
    <row r="774" spans="1:15" x14ac:dyDescent="0.3">
      <c r="A774" s="72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0"/>
      <c r="O774" s="10"/>
    </row>
    <row r="775" spans="1:15" x14ac:dyDescent="0.3">
      <c r="A775" s="72"/>
      <c r="B775" s="73" t="s">
        <v>14</v>
      </c>
      <c r="C775" s="57" t="s">
        <v>46</v>
      </c>
      <c r="D775" s="57" t="s">
        <v>47</v>
      </c>
      <c r="E775" s="57" t="s">
        <v>48</v>
      </c>
      <c r="F775" s="57" t="s">
        <v>49</v>
      </c>
      <c r="G775" s="57" t="s">
        <v>50</v>
      </c>
      <c r="H775" s="57" t="s">
        <v>51</v>
      </c>
      <c r="I775" s="57" t="s">
        <v>52</v>
      </c>
      <c r="J775" s="57" t="s">
        <v>53</v>
      </c>
      <c r="K775" s="57" t="s">
        <v>54</v>
      </c>
      <c r="L775" s="57" t="s">
        <v>55</v>
      </c>
      <c r="M775" s="57" t="s">
        <v>13</v>
      </c>
      <c r="N775" s="10"/>
      <c r="O775" s="10"/>
    </row>
    <row r="776" spans="1:15" ht="15.6" x14ac:dyDescent="0.3">
      <c r="A776" s="72"/>
      <c r="B776" s="73"/>
      <c r="C776" s="3" t="str">
        <f t="shared" ref="C776:L776" si="136">VLOOKUP($A772,NotaIndividualPorAlunoQUI,RIGHT(C775,2)-9,0)</f>
        <v/>
      </c>
      <c r="D776" s="3" t="str">
        <f t="shared" si="136"/>
        <v/>
      </c>
      <c r="E776" s="3" t="str">
        <f t="shared" si="136"/>
        <v/>
      </c>
      <c r="F776" s="3" t="str">
        <f t="shared" si="136"/>
        <v/>
      </c>
      <c r="G776" s="3" t="str">
        <f t="shared" si="136"/>
        <v/>
      </c>
      <c r="H776" s="3" t="str">
        <f t="shared" si="136"/>
        <v/>
      </c>
      <c r="I776" s="3" t="str">
        <f t="shared" si="136"/>
        <v/>
      </c>
      <c r="J776" s="3" t="str">
        <f t="shared" si="136"/>
        <v/>
      </c>
      <c r="K776" s="3" t="str">
        <f t="shared" si="136"/>
        <v/>
      </c>
      <c r="L776" s="3" t="str">
        <f t="shared" si="136"/>
        <v/>
      </c>
      <c r="M776" s="19" t="str">
        <f>VLOOKUP($A772,NotaIndividualPorAlunoQUI,RIGHT(L775,2)-8,0)</f>
        <v/>
      </c>
      <c r="N776" s="10"/>
      <c r="O776" s="10"/>
    </row>
    <row r="777" spans="1:15" x14ac:dyDescent="0.3">
      <c r="A777" s="72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0"/>
      <c r="O777" s="10"/>
    </row>
    <row r="778" spans="1:15" x14ac:dyDescent="0.3">
      <c r="A778" s="72"/>
      <c r="B778" s="73" t="s">
        <v>12</v>
      </c>
      <c r="C778" s="57" t="s">
        <v>2</v>
      </c>
      <c r="D778" s="57" t="s">
        <v>3</v>
      </c>
      <c r="E778" s="57" t="s">
        <v>4</v>
      </c>
      <c r="F778" s="57" t="s">
        <v>5</v>
      </c>
      <c r="G778" s="57" t="s">
        <v>6</v>
      </c>
      <c r="H778" s="57" t="s">
        <v>7</v>
      </c>
      <c r="I778" s="57" t="s">
        <v>8</v>
      </c>
      <c r="J778" s="57" t="s">
        <v>9</v>
      </c>
      <c r="K778" s="57" t="s">
        <v>10</v>
      </c>
      <c r="L778" s="57" t="s">
        <v>11</v>
      </c>
      <c r="M778" s="57" t="s">
        <v>13</v>
      </c>
      <c r="N778" s="10"/>
      <c r="O778" s="10"/>
    </row>
    <row r="779" spans="1:15" ht="15.6" x14ac:dyDescent="0.3">
      <c r="A779" s="72"/>
      <c r="B779" s="73"/>
      <c r="C779" s="3" t="str">
        <f t="shared" ref="C779:L779" si="137">VLOOKUP($A772,NotaIndividualPorAlunoFIS,RIGHT(C778,2)+1,0)</f>
        <v/>
      </c>
      <c r="D779" s="3" t="str">
        <f t="shared" si="137"/>
        <v/>
      </c>
      <c r="E779" s="3" t="str">
        <f t="shared" si="137"/>
        <v/>
      </c>
      <c r="F779" s="3" t="str">
        <f t="shared" si="137"/>
        <v/>
      </c>
      <c r="G779" s="3" t="str">
        <f t="shared" si="137"/>
        <v/>
      </c>
      <c r="H779" s="3" t="str">
        <f t="shared" si="137"/>
        <v/>
      </c>
      <c r="I779" s="3" t="str">
        <f t="shared" si="137"/>
        <v/>
      </c>
      <c r="J779" s="3" t="str">
        <f t="shared" si="137"/>
        <v/>
      </c>
      <c r="K779" s="3" t="str">
        <f t="shared" si="137"/>
        <v/>
      </c>
      <c r="L779" s="3" t="str">
        <f t="shared" si="137"/>
        <v/>
      </c>
      <c r="M779" s="19" t="str">
        <f>VLOOKUP($A772,NotaIndividualPorAlunoFIS,RIGHT(L778,2)+2,0)</f>
        <v/>
      </c>
      <c r="N779" s="10"/>
      <c r="O779" s="10"/>
    </row>
    <row r="780" spans="1:15" ht="15.6" x14ac:dyDescent="0.3">
      <c r="A780" s="72"/>
      <c r="B780" s="12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0"/>
      <c r="O780" s="10"/>
    </row>
    <row r="781" spans="1:15" ht="15.6" x14ac:dyDescent="0.3">
      <c r="A781" s="72"/>
      <c r="B781" s="73" t="s">
        <v>16</v>
      </c>
      <c r="C781" s="23" t="s">
        <v>41</v>
      </c>
      <c r="D781" s="58" t="s">
        <v>42</v>
      </c>
      <c r="E781" s="23" t="s">
        <v>43</v>
      </c>
      <c r="F781" s="58" t="s">
        <v>44</v>
      </c>
      <c r="G781" s="23" t="s">
        <v>63</v>
      </c>
      <c r="H781" s="58" t="s">
        <v>32</v>
      </c>
      <c r="I781" s="14"/>
      <c r="J781" s="14"/>
      <c r="K781" s="14"/>
      <c r="L781" s="14"/>
      <c r="M781" s="15" t="s">
        <v>18</v>
      </c>
      <c r="N781" s="10"/>
      <c r="O781" s="10"/>
    </row>
    <row r="782" spans="1:15" ht="15.6" x14ac:dyDescent="0.3">
      <c r="A782" s="72"/>
      <c r="B782" s="73"/>
      <c r="C782" s="26" t="str">
        <f>VLOOKUP($A772,NotaIndividualPorAlunoRED,2,0)</f>
        <v/>
      </c>
      <c r="D782" s="26" t="str">
        <f>VLOOKUP($A772,NotaIndividualPorAlunoRED,3,0)</f>
        <v/>
      </c>
      <c r="E782" s="26" t="str">
        <f>VLOOKUP($A772,NotaIndividualPorAlunoRED,4,0)</f>
        <v/>
      </c>
      <c r="F782" s="26" t="str">
        <f>VLOOKUP($A772,NotaIndividualPorAlunoRED,5,0)</f>
        <v/>
      </c>
      <c r="G782" s="26" t="str">
        <f>VLOOKUP($A772,NotaIndividualPorAlunoRED,6,0)</f>
        <v/>
      </c>
      <c r="H782" s="21" t="str">
        <f>VLOOKUP($A772,NotaIndividualPorAlunoRED,7,0)</f>
        <v/>
      </c>
      <c r="I782" s="14"/>
      <c r="J782" s="14"/>
      <c r="K782" s="14"/>
      <c r="L782" s="14"/>
      <c r="M782" s="20" t="str">
        <f>VLOOKUP(A772,NOTAS!C:I,7,0)</f>
        <v/>
      </c>
      <c r="N782" s="10"/>
      <c r="O782" s="10"/>
    </row>
    <row r="783" spans="1:15" x14ac:dyDescent="0.3">
      <c r="A783" s="72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0"/>
      <c r="O783" s="10"/>
    </row>
    <row r="784" spans="1:15" x14ac:dyDescent="0.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</row>
    <row r="785" spans="1:15" x14ac:dyDescent="0.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</row>
    <row r="786" spans="1:15" x14ac:dyDescent="0.3">
      <c r="A786" s="58" t="s">
        <v>38</v>
      </c>
      <c r="B786" s="57" t="s">
        <v>35</v>
      </c>
      <c r="C786" s="57" t="s">
        <v>56</v>
      </c>
      <c r="D786" s="57" t="s">
        <v>57</v>
      </c>
      <c r="E786" s="57" t="s">
        <v>58</v>
      </c>
      <c r="F786" s="57" t="s">
        <v>59</v>
      </c>
      <c r="G786" s="57" t="s">
        <v>60</v>
      </c>
      <c r="H786" s="57" t="s">
        <v>36</v>
      </c>
      <c r="I786" s="57" t="s">
        <v>61</v>
      </c>
      <c r="J786" s="57" t="s">
        <v>34</v>
      </c>
      <c r="K786" s="57" t="s">
        <v>62</v>
      </c>
      <c r="L786" s="16" t="s">
        <v>33</v>
      </c>
      <c r="M786" s="57" t="s">
        <v>37</v>
      </c>
      <c r="N786" s="10"/>
      <c r="O786" s="10"/>
    </row>
    <row r="787" spans="1:15" ht="15.6" x14ac:dyDescent="0.3">
      <c r="A787" s="58" t="str" cm="1">
        <f t="array" ref="A787">IF(ISERROR(INDEX(ListaDeAlunos,(((ROW()-2)/17)+1),(COLUMN()+1))),"",INDEX(ListaDeAlunos,(((ROW()-2)/17)+1),(COLUMN()+1)))</f>
        <v/>
      </c>
      <c r="B787" s="17" t="str">
        <f>VLOOKUP($A787,NotaIndividualPorAlunoPROVAO,2,0)</f>
        <v/>
      </c>
      <c r="C787" s="18" t="str">
        <f>VLOOKUP($A787,NotaIndividualPorAlunoPROVAO,3,0)</f>
        <v/>
      </c>
      <c r="D787" s="17" t="str">
        <f>VLOOKUP($A787,NotaIndividualPorAlunoPROVAO,4,0)</f>
        <v/>
      </c>
      <c r="E787" s="18" t="str">
        <f>VLOOKUP($A787,NotaIndividualPorAlunoPROVAO,5,0)</f>
        <v/>
      </c>
      <c r="F787" s="17" t="str">
        <f>VLOOKUP($A787,NotaIndividualPorAlunoPROVAO,6,0)</f>
        <v/>
      </c>
      <c r="G787" s="18" t="str">
        <f>VLOOKUP($A787,NotaIndividualPorAlunoPROVAO,7,0)</f>
        <v/>
      </c>
      <c r="H787" s="17" t="str">
        <f>VLOOKUP($A787,NotaIndividualPorAlunoPROVAO,8,0)</f>
        <v/>
      </c>
      <c r="I787" s="18" t="str">
        <f>VLOOKUP($A787,NotaIndividualPorAlunoPROVAO,9,0)</f>
        <v/>
      </c>
      <c r="J787" s="17" t="str">
        <f>VLOOKUP($A787,NotaIndividualPorAlunoPROVAO,10,0)</f>
        <v/>
      </c>
      <c r="K787" s="18" t="str">
        <f>VLOOKUP($A787,NotaIndividualPorAlunoPROVAO,11,0)</f>
        <v/>
      </c>
      <c r="L787" s="15" t="str">
        <f>VLOOKUP($A787,NotaIndividualPorAlunoPROVAO,12,0)</f>
        <v/>
      </c>
      <c r="M787" s="25" t="str">
        <f>VLOOKUP($A787,NotaIndividualPorAlunoPROVAO,13,0)</f>
        <v/>
      </c>
      <c r="N787" s="10"/>
      <c r="O787" s="10"/>
    </row>
    <row r="788" spans="1:15" x14ac:dyDescent="0.3">
      <c r="N788" s="10"/>
      <c r="O788" s="10"/>
    </row>
    <row r="789" spans="1:15" x14ac:dyDescent="0.3">
      <c r="A789" s="72" t="str">
        <f>A787</f>
        <v/>
      </c>
      <c r="B789" s="73" t="s">
        <v>15</v>
      </c>
      <c r="C789" s="57" t="s">
        <v>2</v>
      </c>
      <c r="D789" s="57" t="s">
        <v>3</v>
      </c>
      <c r="E789" s="57" t="s">
        <v>4</v>
      </c>
      <c r="F789" s="57" t="s">
        <v>5</v>
      </c>
      <c r="G789" s="57" t="s">
        <v>6</v>
      </c>
      <c r="H789" s="57" t="s">
        <v>7</v>
      </c>
      <c r="I789" s="57" t="s">
        <v>8</v>
      </c>
      <c r="J789" s="57" t="s">
        <v>9</v>
      </c>
      <c r="K789" s="57" t="s">
        <v>10</v>
      </c>
      <c r="L789" s="57" t="s">
        <v>11</v>
      </c>
      <c r="M789" s="57" t="s">
        <v>13</v>
      </c>
      <c r="N789" s="10"/>
      <c r="O789" s="10"/>
    </row>
    <row r="790" spans="1:15" ht="15.6" x14ac:dyDescent="0.3">
      <c r="A790" s="72"/>
      <c r="B790" s="73"/>
      <c r="C790" s="5" t="str">
        <f t="shared" ref="C790:L790" si="138">VLOOKUP($A789,NotaIndividualPorAlunoMAT,RIGHT(C789,2)+1,0)</f>
        <v/>
      </c>
      <c r="D790" s="5" t="str">
        <f t="shared" si="138"/>
        <v/>
      </c>
      <c r="E790" s="5" t="str">
        <f t="shared" si="138"/>
        <v/>
      </c>
      <c r="F790" s="5" t="str">
        <f t="shared" si="138"/>
        <v/>
      </c>
      <c r="G790" s="5" t="str">
        <f t="shared" si="138"/>
        <v/>
      </c>
      <c r="H790" s="5" t="str">
        <f t="shared" si="138"/>
        <v/>
      </c>
      <c r="I790" s="5" t="str">
        <f t="shared" si="138"/>
        <v/>
      </c>
      <c r="J790" s="5" t="str">
        <f t="shared" si="138"/>
        <v/>
      </c>
      <c r="K790" s="5" t="str">
        <f t="shared" si="138"/>
        <v/>
      </c>
      <c r="L790" s="5" t="str">
        <f t="shared" si="138"/>
        <v/>
      </c>
      <c r="M790" s="19" t="str">
        <f>VLOOKUP($A789,NotaIndividualPorAlunoMAT,RIGHT(L789,2)+2,0)</f>
        <v/>
      </c>
      <c r="N790" s="10"/>
      <c r="O790" s="10"/>
    </row>
    <row r="791" spans="1:15" x14ac:dyDescent="0.3">
      <c r="A791" s="72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0"/>
      <c r="O791" s="10"/>
    </row>
    <row r="792" spans="1:15" x14ac:dyDescent="0.3">
      <c r="A792" s="72"/>
      <c r="B792" s="73" t="s">
        <v>14</v>
      </c>
      <c r="C792" s="57" t="s">
        <v>46</v>
      </c>
      <c r="D792" s="57" t="s">
        <v>47</v>
      </c>
      <c r="E792" s="57" t="s">
        <v>48</v>
      </c>
      <c r="F792" s="57" t="s">
        <v>49</v>
      </c>
      <c r="G792" s="57" t="s">
        <v>50</v>
      </c>
      <c r="H792" s="57" t="s">
        <v>51</v>
      </c>
      <c r="I792" s="57" t="s">
        <v>52</v>
      </c>
      <c r="J792" s="57" t="s">
        <v>53</v>
      </c>
      <c r="K792" s="57" t="s">
        <v>54</v>
      </c>
      <c r="L792" s="57" t="s">
        <v>55</v>
      </c>
      <c r="M792" s="57" t="s">
        <v>13</v>
      </c>
      <c r="N792" s="10"/>
      <c r="O792" s="10"/>
    </row>
    <row r="793" spans="1:15" ht="15.6" x14ac:dyDescent="0.3">
      <c r="A793" s="72"/>
      <c r="B793" s="73"/>
      <c r="C793" s="3" t="str">
        <f t="shared" ref="C793:L793" si="139">VLOOKUP($A789,NotaIndividualPorAlunoQUI,RIGHT(C792,2)-9,0)</f>
        <v/>
      </c>
      <c r="D793" s="3" t="str">
        <f t="shared" si="139"/>
        <v/>
      </c>
      <c r="E793" s="3" t="str">
        <f t="shared" si="139"/>
        <v/>
      </c>
      <c r="F793" s="3" t="str">
        <f t="shared" si="139"/>
        <v/>
      </c>
      <c r="G793" s="3" t="str">
        <f t="shared" si="139"/>
        <v/>
      </c>
      <c r="H793" s="3" t="str">
        <f t="shared" si="139"/>
        <v/>
      </c>
      <c r="I793" s="3" t="str">
        <f t="shared" si="139"/>
        <v/>
      </c>
      <c r="J793" s="3" t="str">
        <f t="shared" si="139"/>
        <v/>
      </c>
      <c r="K793" s="3" t="str">
        <f t="shared" si="139"/>
        <v/>
      </c>
      <c r="L793" s="3" t="str">
        <f t="shared" si="139"/>
        <v/>
      </c>
      <c r="M793" s="19" t="str">
        <f>VLOOKUP($A789,NotaIndividualPorAlunoQUI,RIGHT(L792,2)-8,0)</f>
        <v/>
      </c>
      <c r="N793" s="10"/>
      <c r="O793" s="10"/>
    </row>
    <row r="794" spans="1:15" x14ac:dyDescent="0.3">
      <c r="A794" s="72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0"/>
      <c r="O794" s="10"/>
    </row>
    <row r="795" spans="1:15" x14ac:dyDescent="0.3">
      <c r="A795" s="72"/>
      <c r="B795" s="73" t="s">
        <v>12</v>
      </c>
      <c r="C795" s="57" t="s">
        <v>2</v>
      </c>
      <c r="D795" s="57" t="s">
        <v>3</v>
      </c>
      <c r="E795" s="57" t="s">
        <v>4</v>
      </c>
      <c r="F795" s="57" t="s">
        <v>5</v>
      </c>
      <c r="G795" s="57" t="s">
        <v>6</v>
      </c>
      <c r="H795" s="57" t="s">
        <v>7</v>
      </c>
      <c r="I795" s="57" t="s">
        <v>8</v>
      </c>
      <c r="J795" s="57" t="s">
        <v>9</v>
      </c>
      <c r="K795" s="57" t="s">
        <v>10</v>
      </c>
      <c r="L795" s="57" t="s">
        <v>11</v>
      </c>
      <c r="M795" s="57" t="s">
        <v>13</v>
      </c>
      <c r="N795" s="10"/>
      <c r="O795" s="10"/>
    </row>
    <row r="796" spans="1:15" ht="15.6" x14ac:dyDescent="0.3">
      <c r="A796" s="72"/>
      <c r="B796" s="73"/>
      <c r="C796" s="3" t="str">
        <f t="shared" ref="C796:L796" si="140">VLOOKUP($A789,NotaIndividualPorAlunoFIS,RIGHT(C795,2)+1,0)</f>
        <v/>
      </c>
      <c r="D796" s="3" t="str">
        <f t="shared" si="140"/>
        <v/>
      </c>
      <c r="E796" s="3" t="str">
        <f t="shared" si="140"/>
        <v/>
      </c>
      <c r="F796" s="3" t="str">
        <f t="shared" si="140"/>
        <v/>
      </c>
      <c r="G796" s="3" t="str">
        <f t="shared" si="140"/>
        <v/>
      </c>
      <c r="H796" s="3" t="str">
        <f t="shared" si="140"/>
        <v/>
      </c>
      <c r="I796" s="3" t="str">
        <f t="shared" si="140"/>
        <v/>
      </c>
      <c r="J796" s="3" t="str">
        <f t="shared" si="140"/>
        <v/>
      </c>
      <c r="K796" s="3" t="str">
        <f t="shared" si="140"/>
        <v/>
      </c>
      <c r="L796" s="3" t="str">
        <f t="shared" si="140"/>
        <v/>
      </c>
      <c r="M796" s="19" t="str">
        <f>VLOOKUP($A789,NotaIndividualPorAlunoFIS,RIGHT(L795,2)+2,0)</f>
        <v/>
      </c>
      <c r="N796" s="10"/>
      <c r="O796" s="10"/>
    </row>
    <row r="797" spans="1:15" ht="15.6" x14ac:dyDescent="0.3">
      <c r="A797" s="72"/>
      <c r="B797" s="12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0"/>
      <c r="O797" s="10"/>
    </row>
    <row r="798" spans="1:15" ht="15.6" x14ac:dyDescent="0.3">
      <c r="A798" s="72"/>
      <c r="B798" s="73" t="s">
        <v>16</v>
      </c>
      <c r="C798" s="23" t="s">
        <v>41</v>
      </c>
      <c r="D798" s="58" t="s">
        <v>42</v>
      </c>
      <c r="E798" s="23" t="s">
        <v>43</v>
      </c>
      <c r="F798" s="58" t="s">
        <v>44</v>
      </c>
      <c r="G798" s="23" t="s">
        <v>63</v>
      </c>
      <c r="H798" s="58" t="s">
        <v>32</v>
      </c>
      <c r="I798" s="14"/>
      <c r="J798" s="14"/>
      <c r="K798" s="14"/>
      <c r="L798" s="14"/>
      <c r="M798" s="15" t="s">
        <v>18</v>
      </c>
      <c r="N798" s="10"/>
      <c r="O798" s="10"/>
    </row>
    <row r="799" spans="1:15" ht="15.6" x14ac:dyDescent="0.3">
      <c r="A799" s="72"/>
      <c r="B799" s="73"/>
      <c r="C799" s="26" t="str">
        <f>VLOOKUP($A789,NotaIndividualPorAlunoRED,2,0)</f>
        <v/>
      </c>
      <c r="D799" s="26" t="str">
        <f>VLOOKUP($A789,NotaIndividualPorAlunoRED,3,0)</f>
        <v/>
      </c>
      <c r="E799" s="26" t="str">
        <f>VLOOKUP($A789,NotaIndividualPorAlunoRED,4,0)</f>
        <v/>
      </c>
      <c r="F799" s="26" t="str">
        <f>VLOOKUP($A789,NotaIndividualPorAlunoRED,5,0)</f>
        <v/>
      </c>
      <c r="G799" s="26" t="str">
        <f>VLOOKUP($A789,NotaIndividualPorAlunoRED,6,0)</f>
        <v/>
      </c>
      <c r="H799" s="21" t="str">
        <f>VLOOKUP($A789,NotaIndividualPorAlunoRED,7,0)</f>
        <v/>
      </c>
      <c r="I799" s="14"/>
      <c r="J799" s="14"/>
      <c r="K799" s="14"/>
      <c r="L799" s="14"/>
      <c r="M799" s="20" t="str">
        <f>VLOOKUP(A789,NOTAS!C:I,7,0)</f>
        <v/>
      </c>
      <c r="N799" s="10"/>
      <c r="O799" s="10"/>
    </row>
    <row r="800" spans="1:15" x14ac:dyDescent="0.3">
      <c r="A800" s="72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0"/>
      <c r="O800" s="10"/>
    </row>
    <row r="801" spans="1:15" x14ac:dyDescent="0.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</row>
    <row r="802" spans="1:15" x14ac:dyDescent="0.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</row>
    <row r="803" spans="1:15" x14ac:dyDescent="0.3">
      <c r="A803" s="58" t="s">
        <v>38</v>
      </c>
      <c r="B803" s="57" t="s">
        <v>35</v>
      </c>
      <c r="C803" s="57" t="s">
        <v>56</v>
      </c>
      <c r="D803" s="57" t="s">
        <v>57</v>
      </c>
      <c r="E803" s="57" t="s">
        <v>58</v>
      </c>
      <c r="F803" s="57" t="s">
        <v>59</v>
      </c>
      <c r="G803" s="57" t="s">
        <v>60</v>
      </c>
      <c r="H803" s="57" t="s">
        <v>36</v>
      </c>
      <c r="I803" s="57" t="s">
        <v>61</v>
      </c>
      <c r="J803" s="57" t="s">
        <v>34</v>
      </c>
      <c r="K803" s="57" t="s">
        <v>62</v>
      </c>
      <c r="L803" s="16" t="s">
        <v>33</v>
      </c>
      <c r="M803" s="57" t="s">
        <v>37</v>
      </c>
      <c r="N803" s="10"/>
      <c r="O803" s="10"/>
    </row>
    <row r="804" spans="1:15" ht="15.6" x14ac:dyDescent="0.3">
      <c r="A804" s="58" t="str" cm="1">
        <f t="array" ref="A804">IF(ISERROR(INDEX(ListaDeAlunos,(((ROW()-2)/17)+1),(COLUMN()+1))),"",INDEX(ListaDeAlunos,(((ROW()-2)/17)+1),(COLUMN()+1)))</f>
        <v/>
      </c>
      <c r="B804" s="17" t="str">
        <f>VLOOKUP($A804,NotaIndividualPorAlunoPROVAO,2,0)</f>
        <v/>
      </c>
      <c r="C804" s="18" t="str">
        <f>VLOOKUP($A804,NotaIndividualPorAlunoPROVAO,3,0)</f>
        <v/>
      </c>
      <c r="D804" s="17" t="str">
        <f>VLOOKUP($A804,NotaIndividualPorAlunoPROVAO,4,0)</f>
        <v/>
      </c>
      <c r="E804" s="18" t="str">
        <f>VLOOKUP($A804,NotaIndividualPorAlunoPROVAO,5,0)</f>
        <v/>
      </c>
      <c r="F804" s="17" t="str">
        <f>VLOOKUP($A804,NotaIndividualPorAlunoPROVAO,6,0)</f>
        <v/>
      </c>
      <c r="G804" s="18" t="str">
        <f>VLOOKUP($A804,NotaIndividualPorAlunoPROVAO,7,0)</f>
        <v/>
      </c>
      <c r="H804" s="17" t="str">
        <f>VLOOKUP($A804,NotaIndividualPorAlunoPROVAO,8,0)</f>
        <v/>
      </c>
      <c r="I804" s="18" t="str">
        <f>VLOOKUP($A804,NotaIndividualPorAlunoPROVAO,9,0)</f>
        <v/>
      </c>
      <c r="J804" s="17" t="str">
        <f>VLOOKUP($A804,NotaIndividualPorAlunoPROVAO,10,0)</f>
        <v/>
      </c>
      <c r="K804" s="18" t="str">
        <f>VLOOKUP($A804,NotaIndividualPorAlunoPROVAO,11,0)</f>
        <v/>
      </c>
      <c r="L804" s="15" t="str">
        <f>VLOOKUP($A804,NotaIndividualPorAlunoPROVAO,12,0)</f>
        <v/>
      </c>
      <c r="M804" s="25" t="str">
        <f>VLOOKUP($A804,NotaIndividualPorAlunoPROVAO,13,0)</f>
        <v/>
      </c>
      <c r="N804" s="10"/>
      <c r="O804" s="10"/>
    </row>
    <row r="805" spans="1:15" x14ac:dyDescent="0.3">
      <c r="N805" s="10"/>
      <c r="O805" s="10"/>
    </row>
    <row r="806" spans="1:15" x14ac:dyDescent="0.3">
      <c r="A806" s="72" t="str">
        <f>A804</f>
        <v/>
      </c>
      <c r="B806" s="73" t="s">
        <v>15</v>
      </c>
      <c r="C806" s="57" t="s">
        <v>2</v>
      </c>
      <c r="D806" s="57" t="s">
        <v>3</v>
      </c>
      <c r="E806" s="57" t="s">
        <v>4</v>
      </c>
      <c r="F806" s="57" t="s">
        <v>5</v>
      </c>
      <c r="G806" s="57" t="s">
        <v>6</v>
      </c>
      <c r="H806" s="57" t="s">
        <v>7</v>
      </c>
      <c r="I806" s="57" t="s">
        <v>8</v>
      </c>
      <c r="J806" s="57" t="s">
        <v>9</v>
      </c>
      <c r="K806" s="57" t="s">
        <v>10</v>
      </c>
      <c r="L806" s="57" t="s">
        <v>11</v>
      </c>
      <c r="M806" s="57" t="s">
        <v>13</v>
      </c>
      <c r="N806" s="10"/>
      <c r="O806" s="10"/>
    </row>
    <row r="807" spans="1:15" ht="15.6" x14ac:dyDescent="0.3">
      <c r="A807" s="72"/>
      <c r="B807" s="73"/>
      <c r="C807" s="5" t="str">
        <f t="shared" ref="C807:L807" si="141">VLOOKUP($A806,NotaIndividualPorAlunoMAT,RIGHT(C806,2)+1,0)</f>
        <v/>
      </c>
      <c r="D807" s="5" t="str">
        <f t="shared" si="141"/>
        <v/>
      </c>
      <c r="E807" s="5" t="str">
        <f t="shared" si="141"/>
        <v/>
      </c>
      <c r="F807" s="5" t="str">
        <f t="shared" si="141"/>
        <v/>
      </c>
      <c r="G807" s="5" t="str">
        <f t="shared" si="141"/>
        <v/>
      </c>
      <c r="H807" s="5" t="str">
        <f t="shared" si="141"/>
        <v/>
      </c>
      <c r="I807" s="5" t="str">
        <f t="shared" si="141"/>
        <v/>
      </c>
      <c r="J807" s="5" t="str">
        <f t="shared" si="141"/>
        <v/>
      </c>
      <c r="K807" s="5" t="str">
        <f t="shared" si="141"/>
        <v/>
      </c>
      <c r="L807" s="5" t="str">
        <f t="shared" si="141"/>
        <v/>
      </c>
      <c r="M807" s="19" t="str">
        <f>VLOOKUP($A806,NotaIndividualPorAlunoMAT,RIGHT(L806,2)+2,0)</f>
        <v/>
      </c>
      <c r="N807" s="10"/>
      <c r="O807" s="10"/>
    </row>
    <row r="808" spans="1:15" x14ac:dyDescent="0.3">
      <c r="A808" s="72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0"/>
      <c r="O808" s="10"/>
    </row>
    <row r="809" spans="1:15" x14ac:dyDescent="0.3">
      <c r="A809" s="72"/>
      <c r="B809" s="73" t="s">
        <v>14</v>
      </c>
      <c r="C809" s="57" t="s">
        <v>46</v>
      </c>
      <c r="D809" s="57" t="s">
        <v>47</v>
      </c>
      <c r="E809" s="57" t="s">
        <v>48</v>
      </c>
      <c r="F809" s="57" t="s">
        <v>49</v>
      </c>
      <c r="G809" s="57" t="s">
        <v>50</v>
      </c>
      <c r="H809" s="57" t="s">
        <v>51</v>
      </c>
      <c r="I809" s="57" t="s">
        <v>52</v>
      </c>
      <c r="J809" s="57" t="s">
        <v>53</v>
      </c>
      <c r="K809" s="57" t="s">
        <v>54</v>
      </c>
      <c r="L809" s="57" t="s">
        <v>55</v>
      </c>
      <c r="M809" s="57" t="s">
        <v>13</v>
      </c>
      <c r="N809" s="10"/>
      <c r="O809" s="10"/>
    </row>
    <row r="810" spans="1:15" ht="15.6" x14ac:dyDescent="0.3">
      <c r="A810" s="72"/>
      <c r="B810" s="73"/>
      <c r="C810" s="3" t="str">
        <f t="shared" ref="C810:L810" si="142">VLOOKUP($A806,NotaIndividualPorAlunoQUI,RIGHT(C809,2)-9,0)</f>
        <v/>
      </c>
      <c r="D810" s="3" t="str">
        <f t="shared" si="142"/>
        <v/>
      </c>
      <c r="E810" s="3" t="str">
        <f t="shared" si="142"/>
        <v/>
      </c>
      <c r="F810" s="3" t="str">
        <f t="shared" si="142"/>
        <v/>
      </c>
      <c r="G810" s="3" t="str">
        <f t="shared" si="142"/>
        <v/>
      </c>
      <c r="H810" s="3" t="str">
        <f t="shared" si="142"/>
        <v/>
      </c>
      <c r="I810" s="3" t="str">
        <f t="shared" si="142"/>
        <v/>
      </c>
      <c r="J810" s="3" t="str">
        <f t="shared" si="142"/>
        <v/>
      </c>
      <c r="K810" s="3" t="str">
        <f t="shared" si="142"/>
        <v/>
      </c>
      <c r="L810" s="3" t="str">
        <f t="shared" si="142"/>
        <v/>
      </c>
      <c r="M810" s="19" t="str">
        <f>VLOOKUP($A806,NotaIndividualPorAlunoQUI,RIGHT(L809,2)-8,0)</f>
        <v/>
      </c>
      <c r="N810" s="10"/>
      <c r="O810" s="10"/>
    </row>
    <row r="811" spans="1:15" x14ac:dyDescent="0.3">
      <c r="A811" s="72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0"/>
      <c r="O811" s="10"/>
    </row>
    <row r="812" spans="1:15" x14ac:dyDescent="0.3">
      <c r="A812" s="72"/>
      <c r="B812" s="73" t="s">
        <v>12</v>
      </c>
      <c r="C812" s="57" t="s">
        <v>2</v>
      </c>
      <c r="D812" s="57" t="s">
        <v>3</v>
      </c>
      <c r="E812" s="57" t="s">
        <v>4</v>
      </c>
      <c r="F812" s="57" t="s">
        <v>5</v>
      </c>
      <c r="G812" s="57" t="s">
        <v>6</v>
      </c>
      <c r="H812" s="57" t="s">
        <v>7</v>
      </c>
      <c r="I812" s="57" t="s">
        <v>8</v>
      </c>
      <c r="J812" s="57" t="s">
        <v>9</v>
      </c>
      <c r="K812" s="57" t="s">
        <v>10</v>
      </c>
      <c r="L812" s="57" t="s">
        <v>11</v>
      </c>
      <c r="M812" s="57" t="s">
        <v>13</v>
      </c>
      <c r="N812" s="10"/>
      <c r="O812" s="10"/>
    </row>
    <row r="813" spans="1:15" ht="15.6" x14ac:dyDescent="0.3">
      <c r="A813" s="72"/>
      <c r="B813" s="73"/>
      <c r="C813" s="3" t="str">
        <f t="shared" ref="C813:L813" si="143">VLOOKUP($A806,NotaIndividualPorAlunoFIS,RIGHT(C812,2)+1,0)</f>
        <v/>
      </c>
      <c r="D813" s="3" t="str">
        <f t="shared" si="143"/>
        <v/>
      </c>
      <c r="E813" s="3" t="str">
        <f t="shared" si="143"/>
        <v/>
      </c>
      <c r="F813" s="3" t="str">
        <f t="shared" si="143"/>
        <v/>
      </c>
      <c r="G813" s="3" t="str">
        <f t="shared" si="143"/>
        <v/>
      </c>
      <c r="H813" s="3" t="str">
        <f t="shared" si="143"/>
        <v/>
      </c>
      <c r="I813" s="3" t="str">
        <f t="shared" si="143"/>
        <v/>
      </c>
      <c r="J813" s="3" t="str">
        <f t="shared" si="143"/>
        <v/>
      </c>
      <c r="K813" s="3" t="str">
        <f t="shared" si="143"/>
        <v/>
      </c>
      <c r="L813" s="3" t="str">
        <f t="shared" si="143"/>
        <v/>
      </c>
      <c r="M813" s="19" t="str">
        <f>VLOOKUP($A806,NotaIndividualPorAlunoFIS,RIGHT(L812,2)+2,0)</f>
        <v/>
      </c>
      <c r="N813" s="10"/>
      <c r="O813" s="10"/>
    </row>
    <row r="814" spans="1:15" ht="15.6" x14ac:dyDescent="0.3">
      <c r="A814" s="72"/>
      <c r="B814" s="12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0"/>
      <c r="O814" s="10"/>
    </row>
    <row r="815" spans="1:15" ht="15.6" x14ac:dyDescent="0.3">
      <c r="A815" s="72"/>
      <c r="B815" s="73" t="s">
        <v>16</v>
      </c>
      <c r="C815" s="23" t="s">
        <v>41</v>
      </c>
      <c r="D815" s="58" t="s">
        <v>42</v>
      </c>
      <c r="E815" s="23" t="s">
        <v>43</v>
      </c>
      <c r="F815" s="58" t="s">
        <v>44</v>
      </c>
      <c r="G815" s="23" t="s">
        <v>63</v>
      </c>
      <c r="H815" s="58" t="s">
        <v>32</v>
      </c>
      <c r="I815" s="14"/>
      <c r="J815" s="14"/>
      <c r="K815" s="14"/>
      <c r="L815" s="14"/>
      <c r="M815" s="15" t="s">
        <v>18</v>
      </c>
      <c r="N815" s="10"/>
      <c r="O815" s="10"/>
    </row>
    <row r="816" spans="1:15" ht="15.6" x14ac:dyDescent="0.3">
      <c r="A816" s="72"/>
      <c r="B816" s="73"/>
      <c r="C816" s="26" t="str">
        <f>VLOOKUP($A806,NotaIndividualPorAlunoRED,2,0)</f>
        <v/>
      </c>
      <c r="D816" s="26" t="str">
        <f>VLOOKUP($A806,NotaIndividualPorAlunoRED,3,0)</f>
        <v/>
      </c>
      <c r="E816" s="26" t="str">
        <f>VLOOKUP($A806,NotaIndividualPorAlunoRED,4,0)</f>
        <v/>
      </c>
      <c r="F816" s="26" t="str">
        <f>VLOOKUP($A806,NotaIndividualPorAlunoRED,5,0)</f>
        <v/>
      </c>
      <c r="G816" s="26" t="str">
        <f>VLOOKUP($A806,NotaIndividualPorAlunoRED,6,0)</f>
        <v/>
      </c>
      <c r="H816" s="21" t="str">
        <f>VLOOKUP($A806,NotaIndividualPorAlunoRED,7,0)</f>
        <v/>
      </c>
      <c r="I816" s="14"/>
      <c r="J816" s="14"/>
      <c r="K816" s="14"/>
      <c r="L816" s="14"/>
      <c r="M816" s="20" t="str">
        <f>VLOOKUP(A806,NOTAS!C:I,7,0)</f>
        <v/>
      </c>
      <c r="N816" s="10"/>
      <c r="O816" s="10"/>
    </row>
    <row r="817" spans="1:15" x14ac:dyDescent="0.3">
      <c r="A817" s="72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0"/>
      <c r="O817" s="10"/>
    </row>
    <row r="818" spans="1:15" x14ac:dyDescent="0.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</row>
    <row r="819" spans="1:15" x14ac:dyDescent="0.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</row>
    <row r="820" spans="1:15" x14ac:dyDescent="0.3">
      <c r="A820" s="58" t="s">
        <v>38</v>
      </c>
      <c r="B820" s="57" t="s">
        <v>35</v>
      </c>
      <c r="C820" s="57" t="s">
        <v>56</v>
      </c>
      <c r="D820" s="57" t="s">
        <v>57</v>
      </c>
      <c r="E820" s="57" t="s">
        <v>58</v>
      </c>
      <c r="F820" s="57" t="s">
        <v>59</v>
      </c>
      <c r="G820" s="57" t="s">
        <v>60</v>
      </c>
      <c r="H820" s="57" t="s">
        <v>36</v>
      </c>
      <c r="I820" s="57" t="s">
        <v>61</v>
      </c>
      <c r="J820" s="57" t="s">
        <v>34</v>
      </c>
      <c r="K820" s="57" t="s">
        <v>62</v>
      </c>
      <c r="L820" s="16" t="s">
        <v>33</v>
      </c>
      <c r="M820" s="57" t="s">
        <v>37</v>
      </c>
      <c r="N820" s="10"/>
      <c r="O820" s="10"/>
    </row>
    <row r="821" spans="1:15" ht="15.6" x14ac:dyDescent="0.3">
      <c r="A821" s="58" t="str" cm="1">
        <f t="array" ref="A821">IF(ISERROR(INDEX(ListaDeAlunos,(((ROW()-2)/17)+1),(COLUMN()+1))),"",INDEX(ListaDeAlunos,(((ROW()-2)/17)+1),(COLUMN()+1)))</f>
        <v/>
      </c>
      <c r="B821" s="17" t="str">
        <f>VLOOKUP($A821,NotaIndividualPorAlunoPROVAO,2,0)</f>
        <v/>
      </c>
      <c r="C821" s="18" t="str">
        <f>VLOOKUP($A821,NotaIndividualPorAlunoPROVAO,3,0)</f>
        <v/>
      </c>
      <c r="D821" s="17" t="str">
        <f>VLOOKUP($A821,NotaIndividualPorAlunoPROVAO,4,0)</f>
        <v/>
      </c>
      <c r="E821" s="18" t="str">
        <f>VLOOKUP($A821,NotaIndividualPorAlunoPROVAO,5,0)</f>
        <v/>
      </c>
      <c r="F821" s="17" t="str">
        <f>VLOOKUP($A821,NotaIndividualPorAlunoPROVAO,6,0)</f>
        <v/>
      </c>
      <c r="G821" s="18" t="str">
        <f>VLOOKUP($A821,NotaIndividualPorAlunoPROVAO,7,0)</f>
        <v/>
      </c>
      <c r="H821" s="17" t="str">
        <f>VLOOKUP($A821,NotaIndividualPorAlunoPROVAO,8,0)</f>
        <v/>
      </c>
      <c r="I821" s="18" t="str">
        <f>VLOOKUP($A821,NotaIndividualPorAlunoPROVAO,9,0)</f>
        <v/>
      </c>
      <c r="J821" s="17" t="str">
        <f>VLOOKUP($A821,NotaIndividualPorAlunoPROVAO,10,0)</f>
        <v/>
      </c>
      <c r="K821" s="18" t="str">
        <f>VLOOKUP($A821,NotaIndividualPorAlunoPROVAO,11,0)</f>
        <v/>
      </c>
      <c r="L821" s="15" t="str">
        <f>VLOOKUP($A821,NotaIndividualPorAlunoPROVAO,12,0)</f>
        <v/>
      </c>
      <c r="M821" s="25" t="str">
        <f>VLOOKUP($A821,NotaIndividualPorAlunoPROVAO,13,0)</f>
        <v/>
      </c>
      <c r="N821" s="10"/>
      <c r="O821" s="10"/>
    </row>
    <row r="822" spans="1:15" x14ac:dyDescent="0.3">
      <c r="N822" s="10"/>
      <c r="O822" s="10"/>
    </row>
    <row r="823" spans="1:15" x14ac:dyDescent="0.3">
      <c r="A823" s="72" t="str">
        <f>A821</f>
        <v/>
      </c>
      <c r="B823" s="73" t="s">
        <v>15</v>
      </c>
      <c r="C823" s="57" t="s">
        <v>2</v>
      </c>
      <c r="D823" s="57" t="s">
        <v>3</v>
      </c>
      <c r="E823" s="57" t="s">
        <v>4</v>
      </c>
      <c r="F823" s="57" t="s">
        <v>5</v>
      </c>
      <c r="G823" s="57" t="s">
        <v>6</v>
      </c>
      <c r="H823" s="57" t="s">
        <v>7</v>
      </c>
      <c r="I823" s="57" t="s">
        <v>8</v>
      </c>
      <c r="J823" s="57" t="s">
        <v>9</v>
      </c>
      <c r="K823" s="57" t="s">
        <v>10</v>
      </c>
      <c r="L823" s="57" t="s">
        <v>11</v>
      </c>
      <c r="M823" s="57" t="s">
        <v>13</v>
      </c>
      <c r="N823" s="10"/>
      <c r="O823" s="10"/>
    </row>
    <row r="824" spans="1:15" ht="15.6" x14ac:dyDescent="0.3">
      <c r="A824" s="72"/>
      <c r="B824" s="73"/>
      <c r="C824" s="5" t="str">
        <f t="shared" ref="C824:L824" si="144">VLOOKUP($A823,NotaIndividualPorAlunoMAT,RIGHT(C823,2)+1,0)</f>
        <v/>
      </c>
      <c r="D824" s="5" t="str">
        <f t="shared" si="144"/>
        <v/>
      </c>
      <c r="E824" s="5" t="str">
        <f t="shared" si="144"/>
        <v/>
      </c>
      <c r="F824" s="5" t="str">
        <f t="shared" si="144"/>
        <v/>
      </c>
      <c r="G824" s="5" t="str">
        <f t="shared" si="144"/>
        <v/>
      </c>
      <c r="H824" s="5" t="str">
        <f t="shared" si="144"/>
        <v/>
      </c>
      <c r="I824" s="5" t="str">
        <f t="shared" si="144"/>
        <v/>
      </c>
      <c r="J824" s="5" t="str">
        <f t="shared" si="144"/>
        <v/>
      </c>
      <c r="K824" s="5" t="str">
        <f t="shared" si="144"/>
        <v/>
      </c>
      <c r="L824" s="5" t="str">
        <f t="shared" si="144"/>
        <v/>
      </c>
      <c r="M824" s="19" t="str">
        <f>VLOOKUP($A823,NotaIndividualPorAlunoMAT,RIGHT(L823,2)+2,0)</f>
        <v/>
      </c>
      <c r="N824" s="10"/>
      <c r="O824" s="10"/>
    </row>
    <row r="825" spans="1:15" x14ac:dyDescent="0.3">
      <c r="A825" s="72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0"/>
      <c r="O825" s="10"/>
    </row>
    <row r="826" spans="1:15" x14ac:dyDescent="0.3">
      <c r="A826" s="72"/>
      <c r="B826" s="73" t="s">
        <v>14</v>
      </c>
      <c r="C826" s="57" t="s">
        <v>46</v>
      </c>
      <c r="D826" s="57" t="s">
        <v>47</v>
      </c>
      <c r="E826" s="57" t="s">
        <v>48</v>
      </c>
      <c r="F826" s="57" t="s">
        <v>49</v>
      </c>
      <c r="G826" s="57" t="s">
        <v>50</v>
      </c>
      <c r="H826" s="57" t="s">
        <v>51</v>
      </c>
      <c r="I826" s="57" t="s">
        <v>52</v>
      </c>
      <c r="J826" s="57" t="s">
        <v>53</v>
      </c>
      <c r="K826" s="57" t="s">
        <v>54</v>
      </c>
      <c r="L826" s="57" t="s">
        <v>55</v>
      </c>
      <c r="M826" s="57" t="s">
        <v>13</v>
      </c>
      <c r="N826" s="10"/>
      <c r="O826" s="10"/>
    </row>
    <row r="827" spans="1:15" ht="15.6" x14ac:dyDescent="0.3">
      <c r="A827" s="72"/>
      <c r="B827" s="73"/>
      <c r="C827" s="3" t="str">
        <f t="shared" ref="C827:L827" si="145">VLOOKUP($A823,NotaIndividualPorAlunoQUI,RIGHT(C826,2)-9,0)</f>
        <v/>
      </c>
      <c r="D827" s="3" t="str">
        <f t="shared" si="145"/>
        <v/>
      </c>
      <c r="E827" s="3" t="str">
        <f t="shared" si="145"/>
        <v/>
      </c>
      <c r="F827" s="3" t="str">
        <f t="shared" si="145"/>
        <v/>
      </c>
      <c r="G827" s="3" t="str">
        <f t="shared" si="145"/>
        <v/>
      </c>
      <c r="H827" s="3" t="str">
        <f t="shared" si="145"/>
        <v/>
      </c>
      <c r="I827" s="3" t="str">
        <f t="shared" si="145"/>
        <v/>
      </c>
      <c r="J827" s="3" t="str">
        <f t="shared" si="145"/>
        <v/>
      </c>
      <c r="K827" s="3" t="str">
        <f t="shared" si="145"/>
        <v/>
      </c>
      <c r="L827" s="3" t="str">
        <f t="shared" si="145"/>
        <v/>
      </c>
      <c r="M827" s="19" t="str">
        <f>VLOOKUP($A823,NotaIndividualPorAlunoQUI,RIGHT(L826,2)-8,0)</f>
        <v/>
      </c>
      <c r="N827" s="10"/>
      <c r="O827" s="10"/>
    </row>
    <row r="828" spans="1:15" x14ac:dyDescent="0.3">
      <c r="A828" s="72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0"/>
      <c r="O828" s="10"/>
    </row>
    <row r="829" spans="1:15" x14ac:dyDescent="0.3">
      <c r="A829" s="72"/>
      <c r="B829" s="73" t="s">
        <v>12</v>
      </c>
      <c r="C829" s="57" t="s">
        <v>2</v>
      </c>
      <c r="D829" s="57" t="s">
        <v>3</v>
      </c>
      <c r="E829" s="57" t="s">
        <v>4</v>
      </c>
      <c r="F829" s="57" t="s">
        <v>5</v>
      </c>
      <c r="G829" s="57" t="s">
        <v>6</v>
      </c>
      <c r="H829" s="57" t="s">
        <v>7</v>
      </c>
      <c r="I829" s="57" t="s">
        <v>8</v>
      </c>
      <c r="J829" s="57" t="s">
        <v>9</v>
      </c>
      <c r="K829" s="57" t="s">
        <v>10</v>
      </c>
      <c r="L829" s="57" t="s">
        <v>11</v>
      </c>
      <c r="M829" s="57" t="s">
        <v>13</v>
      </c>
      <c r="N829" s="10"/>
      <c r="O829" s="10"/>
    </row>
    <row r="830" spans="1:15" ht="15.6" x14ac:dyDescent="0.3">
      <c r="A830" s="72"/>
      <c r="B830" s="73"/>
      <c r="C830" s="3" t="str">
        <f t="shared" ref="C830:L830" si="146">VLOOKUP($A823,NotaIndividualPorAlunoFIS,RIGHT(C829,2)+1,0)</f>
        <v/>
      </c>
      <c r="D830" s="3" t="str">
        <f t="shared" si="146"/>
        <v/>
      </c>
      <c r="E830" s="3" t="str">
        <f t="shared" si="146"/>
        <v/>
      </c>
      <c r="F830" s="3" t="str">
        <f t="shared" si="146"/>
        <v/>
      </c>
      <c r="G830" s="3" t="str">
        <f t="shared" si="146"/>
        <v/>
      </c>
      <c r="H830" s="3" t="str">
        <f t="shared" si="146"/>
        <v/>
      </c>
      <c r="I830" s="3" t="str">
        <f t="shared" si="146"/>
        <v/>
      </c>
      <c r="J830" s="3" t="str">
        <f t="shared" si="146"/>
        <v/>
      </c>
      <c r="K830" s="3" t="str">
        <f t="shared" si="146"/>
        <v/>
      </c>
      <c r="L830" s="3" t="str">
        <f t="shared" si="146"/>
        <v/>
      </c>
      <c r="M830" s="19" t="str">
        <f>VLOOKUP($A823,NotaIndividualPorAlunoFIS,RIGHT(L829,2)+2,0)</f>
        <v/>
      </c>
      <c r="N830" s="10"/>
      <c r="O830" s="10"/>
    </row>
    <row r="831" spans="1:15" ht="15.6" x14ac:dyDescent="0.3">
      <c r="A831" s="72"/>
      <c r="B831" s="12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0"/>
      <c r="O831" s="10"/>
    </row>
    <row r="832" spans="1:15" ht="15.6" x14ac:dyDescent="0.3">
      <c r="A832" s="72"/>
      <c r="B832" s="73" t="s">
        <v>16</v>
      </c>
      <c r="C832" s="23" t="s">
        <v>41</v>
      </c>
      <c r="D832" s="58" t="s">
        <v>42</v>
      </c>
      <c r="E832" s="23" t="s">
        <v>43</v>
      </c>
      <c r="F832" s="58" t="s">
        <v>44</v>
      </c>
      <c r="G832" s="23" t="s">
        <v>63</v>
      </c>
      <c r="H832" s="58" t="s">
        <v>32</v>
      </c>
      <c r="I832" s="14"/>
      <c r="J832" s="14"/>
      <c r="K832" s="14"/>
      <c r="L832" s="14"/>
      <c r="M832" s="15" t="s">
        <v>18</v>
      </c>
      <c r="N832" s="10"/>
      <c r="O832" s="10"/>
    </row>
    <row r="833" spans="1:15" ht="15.6" x14ac:dyDescent="0.3">
      <c r="A833" s="72"/>
      <c r="B833" s="73"/>
      <c r="C833" s="26" t="str">
        <f>VLOOKUP($A823,NotaIndividualPorAlunoRED,2,0)</f>
        <v/>
      </c>
      <c r="D833" s="26" t="str">
        <f>VLOOKUP($A823,NotaIndividualPorAlunoRED,3,0)</f>
        <v/>
      </c>
      <c r="E833" s="26" t="str">
        <f>VLOOKUP($A823,NotaIndividualPorAlunoRED,4,0)</f>
        <v/>
      </c>
      <c r="F833" s="26" t="str">
        <f>VLOOKUP($A823,NotaIndividualPorAlunoRED,5,0)</f>
        <v/>
      </c>
      <c r="G833" s="26" t="str">
        <f>VLOOKUP($A823,NotaIndividualPorAlunoRED,6,0)</f>
        <v/>
      </c>
      <c r="H833" s="21" t="str">
        <f>VLOOKUP($A823,NotaIndividualPorAlunoRED,7,0)</f>
        <v/>
      </c>
      <c r="I833" s="14"/>
      <c r="J833" s="14"/>
      <c r="K833" s="14"/>
      <c r="L833" s="14"/>
      <c r="M833" s="20" t="str">
        <f>VLOOKUP(A823,NOTAS!C:I,7,0)</f>
        <v/>
      </c>
      <c r="N833" s="10"/>
      <c r="O833" s="10"/>
    </row>
    <row r="834" spans="1:15" x14ac:dyDescent="0.3">
      <c r="A834" s="72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0"/>
      <c r="O834" s="10"/>
    </row>
    <row r="835" spans="1:15" x14ac:dyDescent="0.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</row>
    <row r="836" spans="1:15" x14ac:dyDescent="0.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</row>
    <row r="837" spans="1:15" x14ac:dyDescent="0.3">
      <c r="A837" s="58" t="s">
        <v>38</v>
      </c>
      <c r="B837" s="57" t="s">
        <v>35</v>
      </c>
      <c r="C837" s="57" t="s">
        <v>56</v>
      </c>
      <c r="D837" s="57" t="s">
        <v>57</v>
      </c>
      <c r="E837" s="57" t="s">
        <v>58</v>
      </c>
      <c r="F837" s="57" t="s">
        <v>59</v>
      </c>
      <c r="G837" s="57" t="s">
        <v>60</v>
      </c>
      <c r="H837" s="57" t="s">
        <v>36</v>
      </c>
      <c r="I837" s="57" t="s">
        <v>61</v>
      </c>
      <c r="J837" s="57" t="s">
        <v>34</v>
      </c>
      <c r="K837" s="57" t="s">
        <v>62</v>
      </c>
      <c r="L837" s="16" t="s">
        <v>33</v>
      </c>
      <c r="M837" s="57" t="s">
        <v>37</v>
      </c>
      <c r="N837" s="10"/>
      <c r="O837" s="10"/>
    </row>
    <row r="838" spans="1:15" ht="15.6" x14ac:dyDescent="0.3">
      <c r="A838" s="58" t="str" cm="1">
        <f t="array" ref="A838">IF(ISERROR(INDEX(ListaDeAlunos,(((ROW()-2)/17)+1),(COLUMN()+1))),"",INDEX(ListaDeAlunos,(((ROW()-2)/17)+1),(COLUMN()+1)))</f>
        <v/>
      </c>
      <c r="B838" s="17" t="str">
        <f>VLOOKUP($A838,NotaIndividualPorAlunoPROVAO,2,0)</f>
        <v/>
      </c>
      <c r="C838" s="18" t="str">
        <f>VLOOKUP($A838,NotaIndividualPorAlunoPROVAO,3,0)</f>
        <v/>
      </c>
      <c r="D838" s="17" t="str">
        <f>VLOOKUP($A838,NotaIndividualPorAlunoPROVAO,4,0)</f>
        <v/>
      </c>
      <c r="E838" s="18" t="str">
        <f>VLOOKUP($A838,NotaIndividualPorAlunoPROVAO,5,0)</f>
        <v/>
      </c>
      <c r="F838" s="17" t="str">
        <f>VLOOKUP($A838,NotaIndividualPorAlunoPROVAO,6,0)</f>
        <v/>
      </c>
      <c r="G838" s="18" t="str">
        <f>VLOOKUP($A838,NotaIndividualPorAlunoPROVAO,7,0)</f>
        <v/>
      </c>
      <c r="H838" s="17" t="str">
        <f>VLOOKUP($A838,NotaIndividualPorAlunoPROVAO,8,0)</f>
        <v/>
      </c>
      <c r="I838" s="18" t="str">
        <f>VLOOKUP($A838,NotaIndividualPorAlunoPROVAO,9,0)</f>
        <v/>
      </c>
      <c r="J838" s="17" t="str">
        <f>VLOOKUP($A838,NotaIndividualPorAlunoPROVAO,10,0)</f>
        <v/>
      </c>
      <c r="K838" s="18" t="str">
        <f>VLOOKUP($A838,NotaIndividualPorAlunoPROVAO,11,0)</f>
        <v/>
      </c>
      <c r="L838" s="15" t="str">
        <f>VLOOKUP($A838,NotaIndividualPorAlunoPROVAO,12,0)</f>
        <v/>
      </c>
      <c r="M838" s="25" t="str">
        <f>VLOOKUP($A838,NotaIndividualPorAlunoPROVAO,13,0)</f>
        <v/>
      </c>
      <c r="N838" s="10"/>
      <c r="O838" s="10"/>
    </row>
    <row r="839" spans="1:15" x14ac:dyDescent="0.3">
      <c r="N839" s="10"/>
      <c r="O839" s="10"/>
    </row>
    <row r="840" spans="1:15" x14ac:dyDescent="0.3">
      <c r="A840" s="72" t="str">
        <f>A838</f>
        <v/>
      </c>
      <c r="B840" s="73" t="s">
        <v>15</v>
      </c>
      <c r="C840" s="57" t="s">
        <v>2</v>
      </c>
      <c r="D840" s="57" t="s">
        <v>3</v>
      </c>
      <c r="E840" s="57" t="s">
        <v>4</v>
      </c>
      <c r="F840" s="57" t="s">
        <v>5</v>
      </c>
      <c r="G840" s="57" t="s">
        <v>6</v>
      </c>
      <c r="H840" s="57" t="s">
        <v>7</v>
      </c>
      <c r="I840" s="57" t="s">
        <v>8</v>
      </c>
      <c r="J840" s="57" t="s">
        <v>9</v>
      </c>
      <c r="K840" s="57" t="s">
        <v>10</v>
      </c>
      <c r="L840" s="57" t="s">
        <v>11</v>
      </c>
      <c r="M840" s="57" t="s">
        <v>13</v>
      </c>
      <c r="N840" s="10"/>
      <c r="O840" s="10"/>
    </row>
    <row r="841" spans="1:15" ht="15.6" x14ac:dyDescent="0.3">
      <c r="A841" s="72"/>
      <c r="B841" s="73"/>
      <c r="C841" s="5" t="str">
        <f t="shared" ref="C841:L841" si="147">VLOOKUP($A840,NotaIndividualPorAlunoMAT,RIGHT(C840,2)+1,0)</f>
        <v/>
      </c>
      <c r="D841" s="5" t="str">
        <f t="shared" si="147"/>
        <v/>
      </c>
      <c r="E841" s="5" t="str">
        <f t="shared" si="147"/>
        <v/>
      </c>
      <c r="F841" s="5" t="str">
        <f t="shared" si="147"/>
        <v/>
      </c>
      <c r="G841" s="5" t="str">
        <f t="shared" si="147"/>
        <v/>
      </c>
      <c r="H841" s="5" t="str">
        <f t="shared" si="147"/>
        <v/>
      </c>
      <c r="I841" s="5" t="str">
        <f t="shared" si="147"/>
        <v/>
      </c>
      <c r="J841" s="5" t="str">
        <f t="shared" si="147"/>
        <v/>
      </c>
      <c r="K841" s="5" t="str">
        <f t="shared" si="147"/>
        <v/>
      </c>
      <c r="L841" s="5" t="str">
        <f t="shared" si="147"/>
        <v/>
      </c>
      <c r="M841" s="19" t="str">
        <f>VLOOKUP($A840,NotaIndividualPorAlunoMAT,RIGHT(L840,2)+2,0)</f>
        <v/>
      </c>
      <c r="N841" s="10"/>
      <c r="O841" s="10"/>
    </row>
    <row r="842" spans="1:15" x14ac:dyDescent="0.3">
      <c r="A842" s="72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0"/>
      <c r="O842" s="10"/>
    </row>
    <row r="843" spans="1:15" x14ac:dyDescent="0.3">
      <c r="A843" s="72"/>
      <c r="B843" s="73" t="s">
        <v>14</v>
      </c>
      <c r="C843" s="57" t="s">
        <v>46</v>
      </c>
      <c r="D843" s="57" t="s">
        <v>47</v>
      </c>
      <c r="E843" s="57" t="s">
        <v>48</v>
      </c>
      <c r="F843" s="57" t="s">
        <v>49</v>
      </c>
      <c r="G843" s="57" t="s">
        <v>50</v>
      </c>
      <c r="H843" s="57" t="s">
        <v>51</v>
      </c>
      <c r="I843" s="57" t="s">
        <v>52</v>
      </c>
      <c r="J843" s="57" t="s">
        <v>53</v>
      </c>
      <c r="K843" s="57" t="s">
        <v>54</v>
      </c>
      <c r="L843" s="57" t="s">
        <v>55</v>
      </c>
      <c r="M843" s="57" t="s">
        <v>13</v>
      </c>
      <c r="N843" s="10"/>
      <c r="O843" s="10"/>
    </row>
    <row r="844" spans="1:15" ht="15.6" x14ac:dyDescent="0.3">
      <c r="A844" s="72"/>
      <c r="B844" s="73"/>
      <c r="C844" s="3" t="str">
        <f t="shared" ref="C844:L844" si="148">VLOOKUP($A840,NotaIndividualPorAlunoQUI,RIGHT(C843,2)-9,0)</f>
        <v/>
      </c>
      <c r="D844" s="3" t="str">
        <f t="shared" si="148"/>
        <v/>
      </c>
      <c r="E844" s="3" t="str">
        <f t="shared" si="148"/>
        <v/>
      </c>
      <c r="F844" s="3" t="str">
        <f t="shared" si="148"/>
        <v/>
      </c>
      <c r="G844" s="3" t="str">
        <f t="shared" si="148"/>
        <v/>
      </c>
      <c r="H844" s="3" t="str">
        <f t="shared" si="148"/>
        <v/>
      </c>
      <c r="I844" s="3" t="str">
        <f t="shared" si="148"/>
        <v/>
      </c>
      <c r="J844" s="3" t="str">
        <f t="shared" si="148"/>
        <v/>
      </c>
      <c r="K844" s="3" t="str">
        <f t="shared" si="148"/>
        <v/>
      </c>
      <c r="L844" s="3" t="str">
        <f t="shared" si="148"/>
        <v/>
      </c>
      <c r="M844" s="19" t="str">
        <f>VLOOKUP($A840,NotaIndividualPorAlunoQUI,RIGHT(L843,2)-8,0)</f>
        <v/>
      </c>
      <c r="N844" s="10"/>
      <c r="O844" s="10"/>
    </row>
    <row r="845" spans="1:15" x14ac:dyDescent="0.3">
      <c r="A845" s="72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0"/>
      <c r="O845" s="10"/>
    </row>
    <row r="846" spans="1:15" x14ac:dyDescent="0.3">
      <c r="A846" s="72"/>
      <c r="B846" s="73" t="s">
        <v>12</v>
      </c>
      <c r="C846" s="57" t="s">
        <v>2</v>
      </c>
      <c r="D846" s="57" t="s">
        <v>3</v>
      </c>
      <c r="E846" s="57" t="s">
        <v>4</v>
      </c>
      <c r="F846" s="57" t="s">
        <v>5</v>
      </c>
      <c r="G846" s="57" t="s">
        <v>6</v>
      </c>
      <c r="H846" s="57" t="s">
        <v>7</v>
      </c>
      <c r="I846" s="57" t="s">
        <v>8</v>
      </c>
      <c r="J846" s="57" t="s">
        <v>9</v>
      </c>
      <c r="K846" s="57" t="s">
        <v>10</v>
      </c>
      <c r="L846" s="57" t="s">
        <v>11</v>
      </c>
      <c r="M846" s="57" t="s">
        <v>13</v>
      </c>
      <c r="N846" s="10"/>
      <c r="O846" s="10"/>
    </row>
    <row r="847" spans="1:15" ht="15.6" x14ac:dyDescent="0.3">
      <c r="A847" s="72"/>
      <c r="B847" s="73"/>
      <c r="C847" s="3" t="str">
        <f t="shared" ref="C847:L847" si="149">VLOOKUP($A840,NotaIndividualPorAlunoFIS,RIGHT(C846,2)+1,0)</f>
        <v/>
      </c>
      <c r="D847" s="3" t="str">
        <f t="shared" si="149"/>
        <v/>
      </c>
      <c r="E847" s="3" t="str">
        <f t="shared" si="149"/>
        <v/>
      </c>
      <c r="F847" s="3" t="str">
        <f t="shared" si="149"/>
        <v/>
      </c>
      <c r="G847" s="3" t="str">
        <f t="shared" si="149"/>
        <v/>
      </c>
      <c r="H847" s="3" t="str">
        <f t="shared" si="149"/>
        <v/>
      </c>
      <c r="I847" s="3" t="str">
        <f t="shared" si="149"/>
        <v/>
      </c>
      <c r="J847" s="3" t="str">
        <f t="shared" si="149"/>
        <v/>
      </c>
      <c r="K847" s="3" t="str">
        <f t="shared" si="149"/>
        <v/>
      </c>
      <c r="L847" s="3" t="str">
        <f t="shared" si="149"/>
        <v/>
      </c>
      <c r="M847" s="19" t="str">
        <f>VLOOKUP($A840,NotaIndividualPorAlunoFIS,RIGHT(L846,2)+2,0)</f>
        <v/>
      </c>
      <c r="N847" s="10"/>
      <c r="O847" s="10"/>
    </row>
    <row r="848" spans="1:15" ht="15.6" x14ac:dyDescent="0.3">
      <c r="A848" s="72"/>
      <c r="B848" s="12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0"/>
      <c r="O848" s="10"/>
    </row>
    <row r="849" spans="1:15" ht="15.6" x14ac:dyDescent="0.3">
      <c r="A849" s="72"/>
      <c r="B849" s="73" t="s">
        <v>16</v>
      </c>
      <c r="C849" s="23" t="s">
        <v>41</v>
      </c>
      <c r="D849" s="58" t="s">
        <v>42</v>
      </c>
      <c r="E849" s="23" t="s">
        <v>43</v>
      </c>
      <c r="F849" s="58" t="s">
        <v>44</v>
      </c>
      <c r="G849" s="23" t="s">
        <v>63</v>
      </c>
      <c r="H849" s="58" t="s">
        <v>32</v>
      </c>
      <c r="I849" s="14"/>
      <c r="J849" s="14"/>
      <c r="K849" s="14"/>
      <c r="L849" s="14"/>
      <c r="M849" s="15" t="s">
        <v>18</v>
      </c>
      <c r="N849" s="10"/>
      <c r="O849" s="10"/>
    </row>
    <row r="850" spans="1:15" ht="15.6" x14ac:dyDescent="0.3">
      <c r="A850" s="72"/>
      <c r="B850" s="73"/>
      <c r="C850" s="26" t="str">
        <f>VLOOKUP($A840,NotaIndividualPorAlunoRED,2,0)</f>
        <v/>
      </c>
      <c r="D850" s="26" t="str">
        <f>VLOOKUP($A840,NotaIndividualPorAlunoRED,3,0)</f>
        <v/>
      </c>
      <c r="E850" s="26" t="str">
        <f>VLOOKUP($A840,NotaIndividualPorAlunoRED,4,0)</f>
        <v/>
      </c>
      <c r="F850" s="26" t="str">
        <f>VLOOKUP($A840,NotaIndividualPorAlunoRED,5,0)</f>
        <v/>
      </c>
      <c r="G850" s="26" t="str">
        <f>VLOOKUP($A840,NotaIndividualPorAlunoRED,6,0)</f>
        <v/>
      </c>
      <c r="H850" s="21" t="str">
        <f>VLOOKUP($A840,NotaIndividualPorAlunoRED,7,0)</f>
        <v/>
      </c>
      <c r="I850" s="14"/>
      <c r="J850" s="14"/>
      <c r="K850" s="14"/>
      <c r="L850" s="14"/>
      <c r="M850" s="20" t="str">
        <f>VLOOKUP(A840,NOTAS!C:I,7,0)</f>
        <v/>
      </c>
      <c r="N850" s="10"/>
      <c r="O850" s="10"/>
    </row>
    <row r="851" spans="1:15" x14ac:dyDescent="0.3">
      <c r="A851" s="72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0"/>
      <c r="O851" s="10"/>
    </row>
    <row r="852" spans="1:15" x14ac:dyDescent="0.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</row>
    <row r="853" spans="1:15" x14ac:dyDescent="0.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</row>
    <row r="854" spans="1:15" x14ac:dyDescent="0.3">
      <c r="A854" s="58" t="s">
        <v>38</v>
      </c>
      <c r="B854" s="57" t="s">
        <v>35</v>
      </c>
      <c r="C854" s="57" t="s">
        <v>56</v>
      </c>
      <c r="D854" s="57" t="s">
        <v>57</v>
      </c>
      <c r="E854" s="57" t="s">
        <v>58</v>
      </c>
      <c r="F854" s="57" t="s">
        <v>59</v>
      </c>
      <c r="G854" s="57" t="s">
        <v>60</v>
      </c>
      <c r="H854" s="57" t="s">
        <v>36</v>
      </c>
      <c r="I854" s="57" t="s">
        <v>61</v>
      </c>
      <c r="J854" s="57" t="s">
        <v>34</v>
      </c>
      <c r="K854" s="57" t="s">
        <v>62</v>
      </c>
      <c r="L854" s="16" t="s">
        <v>33</v>
      </c>
      <c r="M854" s="57" t="s">
        <v>37</v>
      </c>
      <c r="N854" s="10"/>
      <c r="O854" s="10"/>
    </row>
    <row r="855" spans="1:15" ht="15.6" x14ac:dyDescent="0.3">
      <c r="A855" s="58" t="str" cm="1">
        <f t="array" ref="A855">IF(ISERROR(INDEX(ListaDeAlunos,(((ROW()-2)/17)+1),(COLUMN()+1))),"",INDEX(ListaDeAlunos,(((ROW()-2)/17)+1),(COLUMN()+1)))</f>
        <v/>
      </c>
      <c r="B855" s="17" t="str">
        <f>VLOOKUP($A855,NotaIndividualPorAlunoPROVAO,2,0)</f>
        <v/>
      </c>
      <c r="C855" s="18" t="str">
        <f>VLOOKUP($A855,NotaIndividualPorAlunoPROVAO,3,0)</f>
        <v/>
      </c>
      <c r="D855" s="17" t="str">
        <f>VLOOKUP($A855,NotaIndividualPorAlunoPROVAO,4,0)</f>
        <v/>
      </c>
      <c r="E855" s="18" t="str">
        <f>VLOOKUP($A855,NotaIndividualPorAlunoPROVAO,5,0)</f>
        <v/>
      </c>
      <c r="F855" s="17" t="str">
        <f>VLOOKUP($A855,NotaIndividualPorAlunoPROVAO,6,0)</f>
        <v/>
      </c>
      <c r="G855" s="18" t="str">
        <f>VLOOKUP($A855,NotaIndividualPorAlunoPROVAO,7,0)</f>
        <v/>
      </c>
      <c r="H855" s="17" t="str">
        <f>VLOOKUP($A855,NotaIndividualPorAlunoPROVAO,8,0)</f>
        <v/>
      </c>
      <c r="I855" s="18" t="str">
        <f>VLOOKUP($A855,NotaIndividualPorAlunoPROVAO,9,0)</f>
        <v/>
      </c>
      <c r="J855" s="17" t="str">
        <f>VLOOKUP($A855,NotaIndividualPorAlunoPROVAO,10,0)</f>
        <v/>
      </c>
      <c r="K855" s="18" t="str">
        <f>VLOOKUP($A855,NotaIndividualPorAlunoPROVAO,11,0)</f>
        <v/>
      </c>
      <c r="L855" s="15" t="str">
        <f>VLOOKUP($A855,NotaIndividualPorAlunoPROVAO,12,0)</f>
        <v/>
      </c>
      <c r="M855" s="25" t="str">
        <f>VLOOKUP($A855,NotaIndividualPorAlunoPROVAO,13,0)</f>
        <v/>
      </c>
      <c r="N855" s="10"/>
      <c r="O855" s="10"/>
    </row>
    <row r="856" spans="1:15" x14ac:dyDescent="0.3">
      <c r="N856" s="10"/>
      <c r="O856" s="10"/>
    </row>
    <row r="857" spans="1:15" x14ac:dyDescent="0.3">
      <c r="A857" s="72" t="str">
        <f>A855</f>
        <v/>
      </c>
      <c r="B857" s="73" t="s">
        <v>15</v>
      </c>
      <c r="C857" s="57" t="s">
        <v>2</v>
      </c>
      <c r="D857" s="57" t="s">
        <v>3</v>
      </c>
      <c r="E857" s="57" t="s">
        <v>4</v>
      </c>
      <c r="F857" s="57" t="s">
        <v>5</v>
      </c>
      <c r="G857" s="57" t="s">
        <v>6</v>
      </c>
      <c r="H857" s="57" t="s">
        <v>7</v>
      </c>
      <c r="I857" s="57" t="s">
        <v>8</v>
      </c>
      <c r="J857" s="57" t="s">
        <v>9</v>
      </c>
      <c r="K857" s="57" t="s">
        <v>10</v>
      </c>
      <c r="L857" s="57" t="s">
        <v>11</v>
      </c>
      <c r="M857" s="57" t="s">
        <v>13</v>
      </c>
      <c r="N857" s="10"/>
      <c r="O857" s="10"/>
    </row>
    <row r="858" spans="1:15" ht="15.6" x14ac:dyDescent="0.3">
      <c r="A858" s="72"/>
      <c r="B858" s="73"/>
      <c r="C858" s="5" t="str">
        <f t="shared" ref="C858:L858" si="150">VLOOKUP($A857,NotaIndividualPorAlunoMAT,RIGHT(C857,2)+1,0)</f>
        <v/>
      </c>
      <c r="D858" s="5" t="str">
        <f t="shared" si="150"/>
        <v/>
      </c>
      <c r="E858" s="5" t="str">
        <f t="shared" si="150"/>
        <v/>
      </c>
      <c r="F858" s="5" t="str">
        <f t="shared" si="150"/>
        <v/>
      </c>
      <c r="G858" s="5" t="str">
        <f t="shared" si="150"/>
        <v/>
      </c>
      <c r="H858" s="5" t="str">
        <f t="shared" si="150"/>
        <v/>
      </c>
      <c r="I858" s="5" t="str">
        <f t="shared" si="150"/>
        <v/>
      </c>
      <c r="J858" s="5" t="str">
        <f t="shared" si="150"/>
        <v/>
      </c>
      <c r="K858" s="5" t="str">
        <f t="shared" si="150"/>
        <v/>
      </c>
      <c r="L858" s="5" t="str">
        <f t="shared" si="150"/>
        <v/>
      </c>
      <c r="M858" s="19" t="str">
        <f>VLOOKUP($A857,NotaIndividualPorAlunoMAT,RIGHT(L857,2)+2,0)</f>
        <v/>
      </c>
      <c r="N858" s="10"/>
      <c r="O858" s="10"/>
    </row>
    <row r="859" spans="1:15" x14ac:dyDescent="0.3">
      <c r="A859" s="72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0"/>
      <c r="O859" s="10"/>
    </row>
    <row r="860" spans="1:15" x14ac:dyDescent="0.3">
      <c r="A860" s="72"/>
      <c r="B860" s="73" t="s">
        <v>14</v>
      </c>
      <c r="C860" s="57" t="s">
        <v>46</v>
      </c>
      <c r="D860" s="57" t="s">
        <v>47</v>
      </c>
      <c r="E860" s="57" t="s">
        <v>48</v>
      </c>
      <c r="F860" s="57" t="s">
        <v>49</v>
      </c>
      <c r="G860" s="57" t="s">
        <v>50</v>
      </c>
      <c r="H860" s="57" t="s">
        <v>51</v>
      </c>
      <c r="I860" s="57" t="s">
        <v>52</v>
      </c>
      <c r="J860" s="57" t="s">
        <v>53</v>
      </c>
      <c r="K860" s="57" t="s">
        <v>54</v>
      </c>
      <c r="L860" s="57" t="s">
        <v>55</v>
      </c>
      <c r="M860" s="57" t="s">
        <v>13</v>
      </c>
      <c r="N860" s="10"/>
      <c r="O860" s="10"/>
    </row>
    <row r="861" spans="1:15" ht="15.6" x14ac:dyDescent="0.3">
      <c r="A861" s="72"/>
      <c r="B861" s="73"/>
      <c r="C861" s="3" t="str">
        <f t="shared" ref="C861:L861" si="151">VLOOKUP($A857,NotaIndividualPorAlunoQUI,RIGHT(C860,2)-9,0)</f>
        <v/>
      </c>
      <c r="D861" s="3" t="str">
        <f t="shared" si="151"/>
        <v/>
      </c>
      <c r="E861" s="3" t="str">
        <f t="shared" si="151"/>
        <v/>
      </c>
      <c r="F861" s="3" t="str">
        <f t="shared" si="151"/>
        <v/>
      </c>
      <c r="G861" s="3" t="str">
        <f t="shared" si="151"/>
        <v/>
      </c>
      <c r="H861" s="3" t="str">
        <f t="shared" si="151"/>
        <v/>
      </c>
      <c r="I861" s="3" t="str">
        <f t="shared" si="151"/>
        <v/>
      </c>
      <c r="J861" s="3" t="str">
        <f t="shared" si="151"/>
        <v/>
      </c>
      <c r="K861" s="3" t="str">
        <f t="shared" si="151"/>
        <v/>
      </c>
      <c r="L861" s="3" t="str">
        <f t="shared" si="151"/>
        <v/>
      </c>
      <c r="M861" s="19" t="str">
        <f>VLOOKUP($A857,NotaIndividualPorAlunoQUI,RIGHT(L860,2)-8,0)</f>
        <v/>
      </c>
      <c r="N861" s="10"/>
      <c r="O861" s="10"/>
    </row>
    <row r="862" spans="1:15" x14ac:dyDescent="0.3">
      <c r="A862" s="72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0"/>
      <c r="O862" s="10"/>
    </row>
    <row r="863" spans="1:15" x14ac:dyDescent="0.3">
      <c r="A863" s="72"/>
      <c r="B863" s="73" t="s">
        <v>12</v>
      </c>
      <c r="C863" s="57" t="s">
        <v>2</v>
      </c>
      <c r="D863" s="57" t="s">
        <v>3</v>
      </c>
      <c r="E863" s="57" t="s">
        <v>4</v>
      </c>
      <c r="F863" s="57" t="s">
        <v>5</v>
      </c>
      <c r="G863" s="57" t="s">
        <v>6</v>
      </c>
      <c r="H863" s="57" t="s">
        <v>7</v>
      </c>
      <c r="I863" s="57" t="s">
        <v>8</v>
      </c>
      <c r="J863" s="57" t="s">
        <v>9</v>
      </c>
      <c r="K863" s="57" t="s">
        <v>10</v>
      </c>
      <c r="L863" s="57" t="s">
        <v>11</v>
      </c>
      <c r="M863" s="57" t="s">
        <v>13</v>
      </c>
      <c r="N863" s="10"/>
      <c r="O863" s="10"/>
    </row>
    <row r="864" spans="1:15" ht="15.6" x14ac:dyDescent="0.3">
      <c r="A864" s="72"/>
      <c r="B864" s="73"/>
      <c r="C864" s="3" t="str">
        <f t="shared" ref="C864:L864" si="152">VLOOKUP($A857,NotaIndividualPorAlunoFIS,RIGHT(C863,2)+1,0)</f>
        <v/>
      </c>
      <c r="D864" s="3" t="str">
        <f t="shared" si="152"/>
        <v/>
      </c>
      <c r="E864" s="3" t="str">
        <f t="shared" si="152"/>
        <v/>
      </c>
      <c r="F864" s="3" t="str">
        <f t="shared" si="152"/>
        <v/>
      </c>
      <c r="G864" s="3" t="str">
        <f t="shared" si="152"/>
        <v/>
      </c>
      <c r="H864" s="3" t="str">
        <f t="shared" si="152"/>
        <v/>
      </c>
      <c r="I864" s="3" t="str">
        <f t="shared" si="152"/>
        <v/>
      </c>
      <c r="J864" s="3" t="str">
        <f t="shared" si="152"/>
        <v/>
      </c>
      <c r="K864" s="3" t="str">
        <f t="shared" si="152"/>
        <v/>
      </c>
      <c r="L864" s="3" t="str">
        <f t="shared" si="152"/>
        <v/>
      </c>
      <c r="M864" s="19" t="str">
        <f>VLOOKUP($A857,NotaIndividualPorAlunoFIS,RIGHT(L863,2)+2,0)</f>
        <v/>
      </c>
      <c r="N864" s="10"/>
      <c r="O864" s="10"/>
    </row>
    <row r="865" spans="1:15" ht="15.6" x14ac:dyDescent="0.3">
      <c r="A865" s="72"/>
      <c r="B865" s="12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0"/>
      <c r="O865" s="10"/>
    </row>
    <row r="866" spans="1:15" ht="15.6" x14ac:dyDescent="0.3">
      <c r="A866" s="72"/>
      <c r="B866" s="73" t="s">
        <v>16</v>
      </c>
      <c r="C866" s="23" t="s">
        <v>41</v>
      </c>
      <c r="D866" s="58" t="s">
        <v>42</v>
      </c>
      <c r="E866" s="23" t="s">
        <v>43</v>
      </c>
      <c r="F866" s="58" t="s">
        <v>44</v>
      </c>
      <c r="G866" s="23" t="s">
        <v>63</v>
      </c>
      <c r="H866" s="58" t="s">
        <v>32</v>
      </c>
      <c r="I866" s="14"/>
      <c r="J866" s="14"/>
      <c r="K866" s="14"/>
      <c r="L866" s="14"/>
      <c r="M866" s="15" t="s">
        <v>18</v>
      </c>
      <c r="N866" s="10"/>
      <c r="O866" s="10"/>
    </row>
    <row r="867" spans="1:15" ht="15.6" x14ac:dyDescent="0.3">
      <c r="A867" s="72"/>
      <c r="B867" s="73"/>
      <c r="C867" s="26" t="str">
        <f>VLOOKUP($A857,NotaIndividualPorAlunoRED,2,0)</f>
        <v/>
      </c>
      <c r="D867" s="26" t="str">
        <f>VLOOKUP($A857,NotaIndividualPorAlunoRED,3,0)</f>
        <v/>
      </c>
      <c r="E867" s="26" t="str">
        <f>VLOOKUP($A857,NotaIndividualPorAlunoRED,4,0)</f>
        <v/>
      </c>
      <c r="F867" s="26" t="str">
        <f>VLOOKUP($A857,NotaIndividualPorAlunoRED,5,0)</f>
        <v/>
      </c>
      <c r="G867" s="26" t="str">
        <f>VLOOKUP($A857,NotaIndividualPorAlunoRED,6,0)</f>
        <v/>
      </c>
      <c r="H867" s="21" t="str">
        <f>VLOOKUP($A857,NotaIndividualPorAlunoRED,7,0)</f>
        <v/>
      </c>
      <c r="I867" s="14"/>
      <c r="J867" s="14"/>
      <c r="K867" s="14"/>
      <c r="L867" s="14"/>
      <c r="M867" s="20" t="str">
        <f>VLOOKUP(A857,NOTAS!C:I,7,0)</f>
        <v/>
      </c>
      <c r="N867" s="10"/>
      <c r="O867" s="10"/>
    </row>
    <row r="868" spans="1:15" x14ac:dyDescent="0.3">
      <c r="A868" s="72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0"/>
      <c r="O868" s="10"/>
    </row>
    <row r="869" spans="1:15" x14ac:dyDescent="0.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</row>
    <row r="870" spans="1:15" x14ac:dyDescent="0.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</row>
    <row r="871" spans="1:15" x14ac:dyDescent="0.3">
      <c r="A871" s="58" t="s">
        <v>38</v>
      </c>
      <c r="B871" s="57" t="s">
        <v>35</v>
      </c>
      <c r="C871" s="57" t="s">
        <v>56</v>
      </c>
      <c r="D871" s="57" t="s">
        <v>57</v>
      </c>
      <c r="E871" s="57" t="s">
        <v>58</v>
      </c>
      <c r="F871" s="57" t="s">
        <v>59</v>
      </c>
      <c r="G871" s="57" t="s">
        <v>60</v>
      </c>
      <c r="H871" s="57" t="s">
        <v>36</v>
      </c>
      <c r="I871" s="57" t="s">
        <v>61</v>
      </c>
      <c r="J871" s="57" t="s">
        <v>34</v>
      </c>
      <c r="K871" s="57" t="s">
        <v>62</v>
      </c>
      <c r="L871" s="16" t="s">
        <v>33</v>
      </c>
      <c r="M871" s="57" t="s">
        <v>37</v>
      </c>
      <c r="N871" s="10"/>
      <c r="O871" s="10"/>
    </row>
    <row r="872" spans="1:15" ht="15.6" x14ac:dyDescent="0.3">
      <c r="A872" s="58" t="str" cm="1">
        <f t="array" ref="A872">IF(ISERROR(INDEX(ListaDeAlunos,(((ROW()-2)/17)+1),(COLUMN()+1))),"",INDEX(ListaDeAlunos,(((ROW()-2)/17)+1),(COLUMN()+1)))</f>
        <v/>
      </c>
      <c r="B872" s="17" t="str">
        <f>VLOOKUP($A872,NotaIndividualPorAlunoPROVAO,2,0)</f>
        <v/>
      </c>
      <c r="C872" s="18" t="str">
        <f>VLOOKUP($A872,NotaIndividualPorAlunoPROVAO,3,0)</f>
        <v/>
      </c>
      <c r="D872" s="17" t="str">
        <f>VLOOKUP($A872,NotaIndividualPorAlunoPROVAO,4,0)</f>
        <v/>
      </c>
      <c r="E872" s="18" t="str">
        <f>VLOOKUP($A872,NotaIndividualPorAlunoPROVAO,5,0)</f>
        <v/>
      </c>
      <c r="F872" s="17" t="str">
        <f>VLOOKUP($A872,NotaIndividualPorAlunoPROVAO,6,0)</f>
        <v/>
      </c>
      <c r="G872" s="18" t="str">
        <f>VLOOKUP($A872,NotaIndividualPorAlunoPROVAO,7,0)</f>
        <v/>
      </c>
      <c r="H872" s="17" t="str">
        <f>VLOOKUP($A872,NotaIndividualPorAlunoPROVAO,8,0)</f>
        <v/>
      </c>
      <c r="I872" s="18" t="str">
        <f>VLOOKUP($A872,NotaIndividualPorAlunoPROVAO,9,0)</f>
        <v/>
      </c>
      <c r="J872" s="17" t="str">
        <f>VLOOKUP($A872,NotaIndividualPorAlunoPROVAO,10,0)</f>
        <v/>
      </c>
      <c r="K872" s="18" t="str">
        <f>VLOOKUP($A872,NotaIndividualPorAlunoPROVAO,11,0)</f>
        <v/>
      </c>
      <c r="L872" s="15" t="str">
        <f>VLOOKUP($A872,NotaIndividualPorAlunoPROVAO,12,0)</f>
        <v/>
      </c>
      <c r="M872" s="25" t="str">
        <f>VLOOKUP($A872,NotaIndividualPorAlunoPROVAO,13,0)</f>
        <v/>
      </c>
      <c r="N872" s="10"/>
      <c r="O872" s="10"/>
    </row>
    <row r="873" spans="1:15" x14ac:dyDescent="0.3">
      <c r="N873" s="10"/>
      <c r="O873" s="10"/>
    </row>
    <row r="874" spans="1:15" x14ac:dyDescent="0.3">
      <c r="A874" s="72" t="str">
        <f>A872</f>
        <v/>
      </c>
      <c r="B874" s="73" t="s">
        <v>15</v>
      </c>
      <c r="C874" s="57" t="s">
        <v>2</v>
      </c>
      <c r="D874" s="57" t="s">
        <v>3</v>
      </c>
      <c r="E874" s="57" t="s">
        <v>4</v>
      </c>
      <c r="F874" s="57" t="s">
        <v>5</v>
      </c>
      <c r="G874" s="57" t="s">
        <v>6</v>
      </c>
      <c r="H874" s="57" t="s">
        <v>7</v>
      </c>
      <c r="I874" s="57" t="s">
        <v>8</v>
      </c>
      <c r="J874" s="57" t="s">
        <v>9</v>
      </c>
      <c r="K874" s="57" t="s">
        <v>10</v>
      </c>
      <c r="L874" s="57" t="s">
        <v>11</v>
      </c>
      <c r="M874" s="57" t="s">
        <v>13</v>
      </c>
      <c r="N874" s="10"/>
      <c r="O874" s="10"/>
    </row>
    <row r="875" spans="1:15" ht="15.6" x14ac:dyDescent="0.3">
      <c r="A875" s="72"/>
      <c r="B875" s="73"/>
      <c r="C875" s="5" t="str">
        <f t="shared" ref="C875:L875" si="153">VLOOKUP($A874,NotaIndividualPorAlunoMAT,RIGHT(C874,2)+1,0)</f>
        <v/>
      </c>
      <c r="D875" s="5" t="str">
        <f t="shared" si="153"/>
        <v/>
      </c>
      <c r="E875" s="5" t="str">
        <f t="shared" si="153"/>
        <v/>
      </c>
      <c r="F875" s="5" t="str">
        <f t="shared" si="153"/>
        <v/>
      </c>
      <c r="G875" s="5" t="str">
        <f t="shared" si="153"/>
        <v/>
      </c>
      <c r="H875" s="5" t="str">
        <f t="shared" si="153"/>
        <v/>
      </c>
      <c r="I875" s="5" t="str">
        <f t="shared" si="153"/>
        <v/>
      </c>
      <c r="J875" s="5" t="str">
        <f t="shared" si="153"/>
        <v/>
      </c>
      <c r="K875" s="5" t="str">
        <f t="shared" si="153"/>
        <v/>
      </c>
      <c r="L875" s="5" t="str">
        <f t="shared" si="153"/>
        <v/>
      </c>
      <c r="M875" s="19" t="str">
        <f>VLOOKUP($A874,NotaIndividualPorAlunoMAT,RIGHT(L874,2)+2,0)</f>
        <v/>
      </c>
      <c r="N875" s="10"/>
      <c r="O875" s="10"/>
    </row>
    <row r="876" spans="1:15" x14ac:dyDescent="0.3">
      <c r="A876" s="72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0"/>
      <c r="O876" s="10"/>
    </row>
    <row r="877" spans="1:15" x14ac:dyDescent="0.3">
      <c r="A877" s="72"/>
      <c r="B877" s="73" t="s">
        <v>14</v>
      </c>
      <c r="C877" s="57" t="s">
        <v>46</v>
      </c>
      <c r="D877" s="57" t="s">
        <v>47</v>
      </c>
      <c r="E877" s="57" t="s">
        <v>48</v>
      </c>
      <c r="F877" s="57" t="s">
        <v>49</v>
      </c>
      <c r="G877" s="57" t="s">
        <v>50</v>
      </c>
      <c r="H877" s="57" t="s">
        <v>51</v>
      </c>
      <c r="I877" s="57" t="s">
        <v>52</v>
      </c>
      <c r="J877" s="57" t="s">
        <v>53</v>
      </c>
      <c r="K877" s="57" t="s">
        <v>54</v>
      </c>
      <c r="L877" s="57" t="s">
        <v>55</v>
      </c>
      <c r="M877" s="57" t="s">
        <v>13</v>
      </c>
      <c r="N877" s="10"/>
      <c r="O877" s="10"/>
    </row>
    <row r="878" spans="1:15" ht="15.6" x14ac:dyDescent="0.3">
      <c r="A878" s="72"/>
      <c r="B878" s="73"/>
      <c r="C878" s="3" t="str">
        <f t="shared" ref="C878:L878" si="154">VLOOKUP($A874,NotaIndividualPorAlunoQUI,RIGHT(C877,2)-9,0)</f>
        <v/>
      </c>
      <c r="D878" s="3" t="str">
        <f t="shared" si="154"/>
        <v/>
      </c>
      <c r="E878" s="3" t="str">
        <f t="shared" si="154"/>
        <v/>
      </c>
      <c r="F878" s="3" t="str">
        <f t="shared" si="154"/>
        <v/>
      </c>
      <c r="G878" s="3" t="str">
        <f t="shared" si="154"/>
        <v/>
      </c>
      <c r="H878" s="3" t="str">
        <f t="shared" si="154"/>
        <v/>
      </c>
      <c r="I878" s="3" t="str">
        <f t="shared" si="154"/>
        <v/>
      </c>
      <c r="J878" s="3" t="str">
        <f t="shared" si="154"/>
        <v/>
      </c>
      <c r="K878" s="3" t="str">
        <f t="shared" si="154"/>
        <v/>
      </c>
      <c r="L878" s="3" t="str">
        <f t="shared" si="154"/>
        <v/>
      </c>
      <c r="M878" s="19" t="str">
        <f>VLOOKUP($A874,NotaIndividualPorAlunoQUI,RIGHT(L877,2)-8,0)</f>
        <v/>
      </c>
      <c r="N878" s="10"/>
      <c r="O878" s="10"/>
    </row>
    <row r="879" spans="1:15" x14ac:dyDescent="0.3">
      <c r="A879" s="72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0"/>
      <c r="O879" s="10"/>
    </row>
    <row r="880" spans="1:15" x14ac:dyDescent="0.3">
      <c r="A880" s="72"/>
      <c r="B880" s="73" t="s">
        <v>12</v>
      </c>
      <c r="C880" s="57" t="s">
        <v>2</v>
      </c>
      <c r="D880" s="57" t="s">
        <v>3</v>
      </c>
      <c r="E880" s="57" t="s">
        <v>4</v>
      </c>
      <c r="F880" s="57" t="s">
        <v>5</v>
      </c>
      <c r="G880" s="57" t="s">
        <v>6</v>
      </c>
      <c r="H880" s="57" t="s">
        <v>7</v>
      </c>
      <c r="I880" s="57" t="s">
        <v>8</v>
      </c>
      <c r="J880" s="57" t="s">
        <v>9</v>
      </c>
      <c r="K880" s="57" t="s">
        <v>10</v>
      </c>
      <c r="L880" s="57" t="s">
        <v>11</v>
      </c>
      <c r="M880" s="57" t="s">
        <v>13</v>
      </c>
      <c r="N880" s="10"/>
      <c r="O880" s="10"/>
    </row>
    <row r="881" spans="1:15" ht="15.6" x14ac:dyDescent="0.3">
      <c r="A881" s="72"/>
      <c r="B881" s="73"/>
      <c r="C881" s="3" t="str">
        <f t="shared" ref="C881:L881" si="155">VLOOKUP($A874,NotaIndividualPorAlunoFIS,RIGHT(C880,2)+1,0)</f>
        <v/>
      </c>
      <c r="D881" s="3" t="str">
        <f t="shared" si="155"/>
        <v/>
      </c>
      <c r="E881" s="3" t="str">
        <f t="shared" si="155"/>
        <v/>
      </c>
      <c r="F881" s="3" t="str">
        <f t="shared" si="155"/>
        <v/>
      </c>
      <c r="G881" s="3" t="str">
        <f t="shared" si="155"/>
        <v/>
      </c>
      <c r="H881" s="3" t="str">
        <f t="shared" si="155"/>
        <v/>
      </c>
      <c r="I881" s="3" t="str">
        <f t="shared" si="155"/>
        <v/>
      </c>
      <c r="J881" s="3" t="str">
        <f t="shared" si="155"/>
        <v/>
      </c>
      <c r="K881" s="3" t="str">
        <f t="shared" si="155"/>
        <v/>
      </c>
      <c r="L881" s="3" t="str">
        <f t="shared" si="155"/>
        <v/>
      </c>
      <c r="M881" s="19" t="str">
        <f>VLOOKUP($A874,NotaIndividualPorAlunoFIS,RIGHT(L880,2)+2,0)</f>
        <v/>
      </c>
      <c r="N881" s="10"/>
      <c r="O881" s="10"/>
    </row>
    <row r="882" spans="1:15" ht="15.6" x14ac:dyDescent="0.3">
      <c r="A882" s="72"/>
      <c r="B882" s="12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0"/>
      <c r="O882" s="10"/>
    </row>
    <row r="883" spans="1:15" ht="15.6" x14ac:dyDescent="0.3">
      <c r="A883" s="72"/>
      <c r="B883" s="73" t="s">
        <v>16</v>
      </c>
      <c r="C883" s="23" t="s">
        <v>41</v>
      </c>
      <c r="D883" s="58" t="s">
        <v>42</v>
      </c>
      <c r="E883" s="23" t="s">
        <v>43</v>
      </c>
      <c r="F883" s="58" t="s">
        <v>44</v>
      </c>
      <c r="G883" s="23" t="s">
        <v>63</v>
      </c>
      <c r="H883" s="58" t="s">
        <v>32</v>
      </c>
      <c r="I883" s="14"/>
      <c r="J883" s="14"/>
      <c r="K883" s="14"/>
      <c r="L883" s="14"/>
      <c r="M883" s="15" t="s">
        <v>18</v>
      </c>
      <c r="N883" s="10"/>
      <c r="O883" s="10"/>
    </row>
    <row r="884" spans="1:15" ht="15.6" x14ac:dyDescent="0.3">
      <c r="A884" s="72"/>
      <c r="B884" s="73"/>
      <c r="C884" s="26" t="str">
        <f>VLOOKUP($A874,NotaIndividualPorAlunoRED,2,0)</f>
        <v/>
      </c>
      <c r="D884" s="26" t="str">
        <f>VLOOKUP($A874,NotaIndividualPorAlunoRED,3,0)</f>
        <v/>
      </c>
      <c r="E884" s="26" t="str">
        <f>VLOOKUP($A874,NotaIndividualPorAlunoRED,4,0)</f>
        <v/>
      </c>
      <c r="F884" s="26" t="str">
        <f>VLOOKUP($A874,NotaIndividualPorAlunoRED,5,0)</f>
        <v/>
      </c>
      <c r="G884" s="26" t="str">
        <f>VLOOKUP($A874,NotaIndividualPorAlunoRED,6,0)</f>
        <v/>
      </c>
      <c r="H884" s="21" t="str">
        <f>VLOOKUP($A874,NotaIndividualPorAlunoRED,7,0)</f>
        <v/>
      </c>
      <c r="I884" s="14"/>
      <c r="J884" s="14"/>
      <c r="K884" s="14"/>
      <c r="L884" s="14"/>
      <c r="M884" s="20" t="str">
        <f>VLOOKUP(A874,NOTAS!C:I,7,0)</f>
        <v/>
      </c>
      <c r="N884" s="10"/>
      <c r="O884" s="10"/>
    </row>
    <row r="885" spans="1:15" x14ac:dyDescent="0.3">
      <c r="A885" s="72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0"/>
      <c r="O885" s="10"/>
    </row>
    <row r="886" spans="1:15" x14ac:dyDescent="0.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</row>
    <row r="887" spans="1:15" x14ac:dyDescent="0.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</row>
    <row r="888" spans="1:15" x14ac:dyDescent="0.3">
      <c r="A888" s="58" t="s">
        <v>38</v>
      </c>
      <c r="B888" s="57" t="s">
        <v>35</v>
      </c>
      <c r="C888" s="57" t="s">
        <v>56</v>
      </c>
      <c r="D888" s="57" t="s">
        <v>57</v>
      </c>
      <c r="E888" s="57" t="s">
        <v>58</v>
      </c>
      <c r="F888" s="57" t="s">
        <v>59</v>
      </c>
      <c r="G888" s="57" t="s">
        <v>60</v>
      </c>
      <c r="H888" s="57" t="s">
        <v>36</v>
      </c>
      <c r="I888" s="57" t="s">
        <v>61</v>
      </c>
      <c r="J888" s="57" t="s">
        <v>34</v>
      </c>
      <c r="K888" s="57" t="s">
        <v>62</v>
      </c>
      <c r="L888" s="16" t="s">
        <v>33</v>
      </c>
      <c r="M888" s="57" t="s">
        <v>37</v>
      </c>
      <c r="N888" s="10"/>
      <c r="O888" s="10"/>
    </row>
    <row r="889" spans="1:15" ht="15.6" x14ac:dyDescent="0.3">
      <c r="A889" s="58" t="str" cm="1">
        <f t="array" ref="A889">IF(ISERROR(INDEX(ListaDeAlunos,(((ROW()-2)/17)+1),(COLUMN()+1))),"",INDEX(ListaDeAlunos,(((ROW()-2)/17)+1),(COLUMN()+1)))</f>
        <v/>
      </c>
      <c r="B889" s="17" t="str">
        <f>VLOOKUP($A889,NotaIndividualPorAlunoPROVAO,2,0)</f>
        <v/>
      </c>
      <c r="C889" s="18" t="str">
        <f>VLOOKUP($A889,NotaIndividualPorAlunoPROVAO,3,0)</f>
        <v/>
      </c>
      <c r="D889" s="17" t="str">
        <f>VLOOKUP($A889,NotaIndividualPorAlunoPROVAO,4,0)</f>
        <v/>
      </c>
      <c r="E889" s="18" t="str">
        <f>VLOOKUP($A889,NotaIndividualPorAlunoPROVAO,5,0)</f>
        <v/>
      </c>
      <c r="F889" s="17" t="str">
        <f>VLOOKUP($A889,NotaIndividualPorAlunoPROVAO,6,0)</f>
        <v/>
      </c>
      <c r="G889" s="18" t="str">
        <f>VLOOKUP($A889,NotaIndividualPorAlunoPROVAO,7,0)</f>
        <v/>
      </c>
      <c r="H889" s="17" t="str">
        <f>VLOOKUP($A889,NotaIndividualPorAlunoPROVAO,8,0)</f>
        <v/>
      </c>
      <c r="I889" s="18" t="str">
        <f>VLOOKUP($A889,NotaIndividualPorAlunoPROVAO,9,0)</f>
        <v/>
      </c>
      <c r="J889" s="17" t="str">
        <f>VLOOKUP($A889,NotaIndividualPorAlunoPROVAO,10,0)</f>
        <v/>
      </c>
      <c r="K889" s="18" t="str">
        <f>VLOOKUP($A889,NotaIndividualPorAlunoPROVAO,11,0)</f>
        <v/>
      </c>
      <c r="L889" s="15" t="str">
        <f>VLOOKUP($A889,NotaIndividualPorAlunoPROVAO,12,0)</f>
        <v/>
      </c>
      <c r="M889" s="25" t="str">
        <f>VLOOKUP($A889,NotaIndividualPorAlunoPROVAO,13,0)</f>
        <v/>
      </c>
      <c r="N889" s="10"/>
      <c r="O889" s="10"/>
    </row>
    <row r="890" spans="1:15" x14ac:dyDescent="0.3">
      <c r="N890" s="10"/>
      <c r="O890" s="10"/>
    </row>
    <row r="891" spans="1:15" x14ac:dyDescent="0.3">
      <c r="A891" s="72" t="str">
        <f>A889</f>
        <v/>
      </c>
      <c r="B891" s="73" t="s">
        <v>15</v>
      </c>
      <c r="C891" s="57" t="s">
        <v>2</v>
      </c>
      <c r="D891" s="57" t="s">
        <v>3</v>
      </c>
      <c r="E891" s="57" t="s">
        <v>4</v>
      </c>
      <c r="F891" s="57" t="s">
        <v>5</v>
      </c>
      <c r="G891" s="57" t="s">
        <v>6</v>
      </c>
      <c r="H891" s="57" t="s">
        <v>7</v>
      </c>
      <c r="I891" s="57" t="s">
        <v>8</v>
      </c>
      <c r="J891" s="57" t="s">
        <v>9</v>
      </c>
      <c r="K891" s="57" t="s">
        <v>10</v>
      </c>
      <c r="L891" s="57" t="s">
        <v>11</v>
      </c>
      <c r="M891" s="57" t="s">
        <v>13</v>
      </c>
      <c r="N891" s="10"/>
      <c r="O891" s="10"/>
    </row>
    <row r="892" spans="1:15" ht="15.6" x14ac:dyDescent="0.3">
      <c r="A892" s="72"/>
      <c r="B892" s="73"/>
      <c r="C892" s="5" t="str">
        <f t="shared" ref="C892:L892" si="156">VLOOKUP($A891,NotaIndividualPorAlunoMAT,RIGHT(C891,2)+1,0)</f>
        <v/>
      </c>
      <c r="D892" s="5" t="str">
        <f t="shared" si="156"/>
        <v/>
      </c>
      <c r="E892" s="5" t="str">
        <f t="shared" si="156"/>
        <v/>
      </c>
      <c r="F892" s="5" t="str">
        <f t="shared" si="156"/>
        <v/>
      </c>
      <c r="G892" s="5" t="str">
        <f t="shared" si="156"/>
        <v/>
      </c>
      <c r="H892" s="5" t="str">
        <f t="shared" si="156"/>
        <v/>
      </c>
      <c r="I892" s="5" t="str">
        <f t="shared" si="156"/>
        <v/>
      </c>
      <c r="J892" s="5" t="str">
        <f t="shared" si="156"/>
        <v/>
      </c>
      <c r="K892" s="5" t="str">
        <f t="shared" si="156"/>
        <v/>
      </c>
      <c r="L892" s="5" t="str">
        <f t="shared" si="156"/>
        <v/>
      </c>
      <c r="M892" s="19" t="str">
        <f>VLOOKUP($A891,NotaIndividualPorAlunoMAT,RIGHT(L891,2)+2,0)</f>
        <v/>
      </c>
      <c r="N892" s="10"/>
      <c r="O892" s="10"/>
    </row>
    <row r="893" spans="1:15" x14ac:dyDescent="0.3">
      <c r="A893" s="72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0"/>
      <c r="O893" s="10"/>
    </row>
    <row r="894" spans="1:15" x14ac:dyDescent="0.3">
      <c r="A894" s="72"/>
      <c r="B894" s="73" t="s">
        <v>14</v>
      </c>
      <c r="C894" s="57" t="s">
        <v>46</v>
      </c>
      <c r="D894" s="57" t="s">
        <v>47</v>
      </c>
      <c r="E894" s="57" t="s">
        <v>48</v>
      </c>
      <c r="F894" s="57" t="s">
        <v>49</v>
      </c>
      <c r="G894" s="57" t="s">
        <v>50</v>
      </c>
      <c r="H894" s="57" t="s">
        <v>51</v>
      </c>
      <c r="I894" s="57" t="s">
        <v>52</v>
      </c>
      <c r="J894" s="57" t="s">
        <v>53</v>
      </c>
      <c r="K894" s="57" t="s">
        <v>54</v>
      </c>
      <c r="L894" s="57" t="s">
        <v>55</v>
      </c>
      <c r="M894" s="57" t="s">
        <v>13</v>
      </c>
      <c r="N894" s="10"/>
      <c r="O894" s="10"/>
    </row>
    <row r="895" spans="1:15" ht="15.6" x14ac:dyDescent="0.3">
      <c r="A895" s="72"/>
      <c r="B895" s="73"/>
      <c r="C895" s="3" t="str">
        <f t="shared" ref="C895:L895" si="157">VLOOKUP($A891,NotaIndividualPorAlunoQUI,RIGHT(C894,2)-9,0)</f>
        <v/>
      </c>
      <c r="D895" s="3" t="str">
        <f t="shared" si="157"/>
        <v/>
      </c>
      <c r="E895" s="3" t="str">
        <f t="shared" si="157"/>
        <v/>
      </c>
      <c r="F895" s="3" t="str">
        <f t="shared" si="157"/>
        <v/>
      </c>
      <c r="G895" s="3" t="str">
        <f t="shared" si="157"/>
        <v/>
      </c>
      <c r="H895" s="3" t="str">
        <f t="shared" si="157"/>
        <v/>
      </c>
      <c r="I895" s="3" t="str">
        <f t="shared" si="157"/>
        <v/>
      </c>
      <c r="J895" s="3" t="str">
        <f t="shared" si="157"/>
        <v/>
      </c>
      <c r="K895" s="3" t="str">
        <f t="shared" si="157"/>
        <v/>
      </c>
      <c r="L895" s="3" t="str">
        <f t="shared" si="157"/>
        <v/>
      </c>
      <c r="M895" s="19" t="str">
        <f>VLOOKUP($A891,NotaIndividualPorAlunoQUI,RIGHT(L894,2)-8,0)</f>
        <v/>
      </c>
      <c r="N895" s="10"/>
      <c r="O895" s="10"/>
    </row>
    <row r="896" spans="1:15" x14ac:dyDescent="0.3">
      <c r="A896" s="72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0"/>
      <c r="O896" s="10"/>
    </row>
    <row r="897" spans="1:15" x14ac:dyDescent="0.3">
      <c r="A897" s="72"/>
      <c r="B897" s="73" t="s">
        <v>12</v>
      </c>
      <c r="C897" s="57" t="s">
        <v>2</v>
      </c>
      <c r="D897" s="57" t="s">
        <v>3</v>
      </c>
      <c r="E897" s="57" t="s">
        <v>4</v>
      </c>
      <c r="F897" s="57" t="s">
        <v>5</v>
      </c>
      <c r="G897" s="57" t="s">
        <v>6</v>
      </c>
      <c r="H897" s="57" t="s">
        <v>7</v>
      </c>
      <c r="I897" s="57" t="s">
        <v>8</v>
      </c>
      <c r="J897" s="57" t="s">
        <v>9</v>
      </c>
      <c r="K897" s="57" t="s">
        <v>10</v>
      </c>
      <c r="L897" s="57" t="s">
        <v>11</v>
      </c>
      <c r="M897" s="57" t="s">
        <v>13</v>
      </c>
      <c r="N897" s="10"/>
      <c r="O897" s="10"/>
    </row>
    <row r="898" spans="1:15" ht="15.6" x14ac:dyDescent="0.3">
      <c r="A898" s="72"/>
      <c r="B898" s="73"/>
      <c r="C898" s="3" t="str">
        <f t="shared" ref="C898:L898" si="158">VLOOKUP($A891,NotaIndividualPorAlunoFIS,RIGHT(C897,2)+1,0)</f>
        <v/>
      </c>
      <c r="D898" s="3" t="str">
        <f t="shared" si="158"/>
        <v/>
      </c>
      <c r="E898" s="3" t="str">
        <f t="shared" si="158"/>
        <v/>
      </c>
      <c r="F898" s="3" t="str">
        <f t="shared" si="158"/>
        <v/>
      </c>
      <c r="G898" s="3" t="str">
        <f t="shared" si="158"/>
        <v/>
      </c>
      <c r="H898" s="3" t="str">
        <f t="shared" si="158"/>
        <v/>
      </c>
      <c r="I898" s="3" t="str">
        <f t="shared" si="158"/>
        <v/>
      </c>
      <c r="J898" s="3" t="str">
        <f t="shared" si="158"/>
        <v/>
      </c>
      <c r="K898" s="3" t="str">
        <f t="shared" si="158"/>
        <v/>
      </c>
      <c r="L898" s="3" t="str">
        <f t="shared" si="158"/>
        <v/>
      </c>
      <c r="M898" s="19" t="str">
        <f>VLOOKUP($A891,NotaIndividualPorAlunoFIS,RIGHT(L897,2)+2,0)</f>
        <v/>
      </c>
      <c r="N898" s="10"/>
      <c r="O898" s="10"/>
    </row>
    <row r="899" spans="1:15" ht="15.6" x14ac:dyDescent="0.3">
      <c r="A899" s="72"/>
      <c r="B899" s="12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0"/>
      <c r="O899" s="10"/>
    </row>
    <row r="900" spans="1:15" ht="15.6" x14ac:dyDescent="0.3">
      <c r="A900" s="72"/>
      <c r="B900" s="73" t="s">
        <v>16</v>
      </c>
      <c r="C900" s="23" t="s">
        <v>41</v>
      </c>
      <c r="D900" s="58" t="s">
        <v>42</v>
      </c>
      <c r="E900" s="23" t="s">
        <v>43</v>
      </c>
      <c r="F900" s="58" t="s">
        <v>44</v>
      </c>
      <c r="G900" s="23" t="s">
        <v>63</v>
      </c>
      <c r="H900" s="58" t="s">
        <v>32</v>
      </c>
      <c r="I900" s="14"/>
      <c r="J900" s="14"/>
      <c r="K900" s="14"/>
      <c r="L900" s="14"/>
      <c r="M900" s="15" t="s">
        <v>18</v>
      </c>
      <c r="N900" s="10"/>
      <c r="O900" s="10"/>
    </row>
    <row r="901" spans="1:15" ht="15.6" x14ac:dyDescent="0.3">
      <c r="A901" s="72"/>
      <c r="B901" s="73"/>
      <c r="C901" s="26" t="str">
        <f>VLOOKUP($A891,NotaIndividualPorAlunoRED,2,0)</f>
        <v/>
      </c>
      <c r="D901" s="26" t="str">
        <f>VLOOKUP($A891,NotaIndividualPorAlunoRED,3,0)</f>
        <v/>
      </c>
      <c r="E901" s="26" t="str">
        <f>VLOOKUP($A891,NotaIndividualPorAlunoRED,4,0)</f>
        <v/>
      </c>
      <c r="F901" s="26" t="str">
        <f>VLOOKUP($A891,NotaIndividualPorAlunoRED,5,0)</f>
        <v/>
      </c>
      <c r="G901" s="26" t="str">
        <f>VLOOKUP($A891,NotaIndividualPorAlunoRED,6,0)</f>
        <v/>
      </c>
      <c r="H901" s="21" t="str">
        <f>VLOOKUP($A891,NotaIndividualPorAlunoRED,7,0)</f>
        <v/>
      </c>
      <c r="I901" s="14"/>
      <c r="J901" s="14"/>
      <c r="K901" s="14"/>
      <c r="L901" s="14"/>
      <c r="M901" s="20" t="str">
        <f>VLOOKUP(A891,NOTAS!C:I,7,0)</f>
        <v/>
      </c>
      <c r="N901" s="10"/>
      <c r="O901" s="10"/>
    </row>
    <row r="902" spans="1:15" x14ac:dyDescent="0.3">
      <c r="A902" s="72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0"/>
      <c r="O902" s="10"/>
    </row>
    <row r="903" spans="1:15" x14ac:dyDescent="0.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</row>
    <row r="904" spans="1:15" x14ac:dyDescent="0.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</row>
    <row r="905" spans="1:15" x14ac:dyDescent="0.3">
      <c r="A905" s="58" t="s">
        <v>38</v>
      </c>
      <c r="B905" s="57" t="s">
        <v>35</v>
      </c>
      <c r="C905" s="57" t="s">
        <v>56</v>
      </c>
      <c r="D905" s="57" t="s">
        <v>57</v>
      </c>
      <c r="E905" s="57" t="s">
        <v>58</v>
      </c>
      <c r="F905" s="57" t="s">
        <v>59</v>
      </c>
      <c r="G905" s="57" t="s">
        <v>60</v>
      </c>
      <c r="H905" s="57" t="s">
        <v>36</v>
      </c>
      <c r="I905" s="57" t="s">
        <v>61</v>
      </c>
      <c r="J905" s="57" t="s">
        <v>34</v>
      </c>
      <c r="K905" s="57" t="s">
        <v>62</v>
      </c>
      <c r="L905" s="16" t="s">
        <v>33</v>
      </c>
      <c r="M905" s="57" t="s">
        <v>37</v>
      </c>
      <c r="N905" s="10"/>
      <c r="O905" s="10"/>
    </row>
    <row r="906" spans="1:15" ht="15.6" x14ac:dyDescent="0.3">
      <c r="A906" s="58" t="str" cm="1">
        <f t="array" ref="A906">IF(ISERROR(INDEX(ListaDeAlunos,(((ROW()-2)/17)+1),(COLUMN()+1))),"",INDEX(ListaDeAlunos,(((ROW()-2)/17)+1),(COLUMN()+1)))</f>
        <v/>
      </c>
      <c r="B906" s="17" t="str">
        <f>VLOOKUP($A906,NotaIndividualPorAlunoPROVAO,2,0)</f>
        <v/>
      </c>
      <c r="C906" s="18" t="str">
        <f>VLOOKUP($A906,NotaIndividualPorAlunoPROVAO,3,0)</f>
        <v/>
      </c>
      <c r="D906" s="17" t="str">
        <f>VLOOKUP($A906,NotaIndividualPorAlunoPROVAO,4,0)</f>
        <v/>
      </c>
      <c r="E906" s="18" t="str">
        <f>VLOOKUP($A906,NotaIndividualPorAlunoPROVAO,5,0)</f>
        <v/>
      </c>
      <c r="F906" s="17" t="str">
        <f>VLOOKUP($A906,NotaIndividualPorAlunoPROVAO,6,0)</f>
        <v/>
      </c>
      <c r="G906" s="18" t="str">
        <f>VLOOKUP($A906,NotaIndividualPorAlunoPROVAO,7,0)</f>
        <v/>
      </c>
      <c r="H906" s="17" t="str">
        <f>VLOOKUP($A906,NotaIndividualPorAlunoPROVAO,8,0)</f>
        <v/>
      </c>
      <c r="I906" s="18" t="str">
        <f>VLOOKUP($A906,NotaIndividualPorAlunoPROVAO,9,0)</f>
        <v/>
      </c>
      <c r="J906" s="17" t="str">
        <f>VLOOKUP($A906,NotaIndividualPorAlunoPROVAO,10,0)</f>
        <v/>
      </c>
      <c r="K906" s="18" t="str">
        <f>VLOOKUP($A906,NotaIndividualPorAlunoPROVAO,11,0)</f>
        <v/>
      </c>
      <c r="L906" s="15" t="str">
        <f>VLOOKUP($A906,NotaIndividualPorAlunoPROVAO,12,0)</f>
        <v/>
      </c>
      <c r="M906" s="25" t="str">
        <f>VLOOKUP($A906,NotaIndividualPorAlunoPROVAO,13,0)</f>
        <v/>
      </c>
      <c r="N906" s="10"/>
      <c r="O906" s="10"/>
    </row>
    <row r="907" spans="1:15" x14ac:dyDescent="0.3">
      <c r="N907" s="10"/>
      <c r="O907" s="10"/>
    </row>
    <row r="908" spans="1:15" x14ac:dyDescent="0.3">
      <c r="A908" s="72" t="str">
        <f>A906</f>
        <v/>
      </c>
      <c r="B908" s="73" t="s">
        <v>15</v>
      </c>
      <c r="C908" s="57" t="s">
        <v>2</v>
      </c>
      <c r="D908" s="57" t="s">
        <v>3</v>
      </c>
      <c r="E908" s="57" t="s">
        <v>4</v>
      </c>
      <c r="F908" s="57" t="s">
        <v>5</v>
      </c>
      <c r="G908" s="57" t="s">
        <v>6</v>
      </c>
      <c r="H908" s="57" t="s">
        <v>7</v>
      </c>
      <c r="I908" s="57" t="s">
        <v>8</v>
      </c>
      <c r="J908" s="57" t="s">
        <v>9</v>
      </c>
      <c r="K908" s="57" t="s">
        <v>10</v>
      </c>
      <c r="L908" s="57" t="s">
        <v>11</v>
      </c>
      <c r="M908" s="57" t="s">
        <v>13</v>
      </c>
      <c r="N908" s="10"/>
      <c r="O908" s="10"/>
    </row>
    <row r="909" spans="1:15" ht="15.6" x14ac:dyDescent="0.3">
      <c r="A909" s="72"/>
      <c r="B909" s="73"/>
      <c r="C909" s="5" t="str">
        <f t="shared" ref="C909:L909" si="159">VLOOKUP($A908,NotaIndividualPorAlunoMAT,RIGHT(C908,2)+1,0)</f>
        <v/>
      </c>
      <c r="D909" s="5" t="str">
        <f t="shared" si="159"/>
        <v/>
      </c>
      <c r="E909" s="5" t="str">
        <f t="shared" si="159"/>
        <v/>
      </c>
      <c r="F909" s="5" t="str">
        <f t="shared" si="159"/>
        <v/>
      </c>
      <c r="G909" s="5" t="str">
        <f t="shared" si="159"/>
        <v/>
      </c>
      <c r="H909" s="5" t="str">
        <f t="shared" si="159"/>
        <v/>
      </c>
      <c r="I909" s="5" t="str">
        <f t="shared" si="159"/>
        <v/>
      </c>
      <c r="J909" s="5" t="str">
        <f t="shared" si="159"/>
        <v/>
      </c>
      <c r="K909" s="5" t="str">
        <f t="shared" si="159"/>
        <v/>
      </c>
      <c r="L909" s="5" t="str">
        <f t="shared" si="159"/>
        <v/>
      </c>
      <c r="M909" s="19" t="str">
        <f>VLOOKUP($A908,NotaIndividualPorAlunoMAT,RIGHT(L908,2)+2,0)</f>
        <v/>
      </c>
      <c r="N909" s="10"/>
      <c r="O909" s="10"/>
    </row>
    <row r="910" spans="1:15" x14ac:dyDescent="0.3">
      <c r="A910" s="72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0"/>
      <c r="O910" s="10"/>
    </row>
    <row r="911" spans="1:15" x14ac:dyDescent="0.3">
      <c r="A911" s="72"/>
      <c r="B911" s="73" t="s">
        <v>14</v>
      </c>
      <c r="C911" s="57" t="s">
        <v>46</v>
      </c>
      <c r="D911" s="57" t="s">
        <v>47</v>
      </c>
      <c r="E911" s="57" t="s">
        <v>48</v>
      </c>
      <c r="F911" s="57" t="s">
        <v>49</v>
      </c>
      <c r="G911" s="57" t="s">
        <v>50</v>
      </c>
      <c r="H911" s="57" t="s">
        <v>51</v>
      </c>
      <c r="I911" s="57" t="s">
        <v>52</v>
      </c>
      <c r="J911" s="57" t="s">
        <v>53</v>
      </c>
      <c r="K911" s="57" t="s">
        <v>54</v>
      </c>
      <c r="L911" s="57" t="s">
        <v>55</v>
      </c>
      <c r="M911" s="57" t="s">
        <v>13</v>
      </c>
      <c r="N911" s="10"/>
      <c r="O911" s="10"/>
    </row>
    <row r="912" spans="1:15" ht="15.6" x14ac:dyDescent="0.3">
      <c r="A912" s="72"/>
      <c r="B912" s="73"/>
      <c r="C912" s="3" t="str">
        <f t="shared" ref="C912:L912" si="160">VLOOKUP($A908,NotaIndividualPorAlunoQUI,RIGHT(C911,2)-9,0)</f>
        <v/>
      </c>
      <c r="D912" s="3" t="str">
        <f t="shared" si="160"/>
        <v/>
      </c>
      <c r="E912" s="3" t="str">
        <f t="shared" si="160"/>
        <v/>
      </c>
      <c r="F912" s="3" t="str">
        <f t="shared" si="160"/>
        <v/>
      </c>
      <c r="G912" s="3" t="str">
        <f t="shared" si="160"/>
        <v/>
      </c>
      <c r="H912" s="3" t="str">
        <f t="shared" si="160"/>
        <v/>
      </c>
      <c r="I912" s="3" t="str">
        <f t="shared" si="160"/>
        <v/>
      </c>
      <c r="J912" s="3" t="str">
        <f t="shared" si="160"/>
        <v/>
      </c>
      <c r="K912" s="3" t="str">
        <f t="shared" si="160"/>
        <v/>
      </c>
      <c r="L912" s="3" t="str">
        <f t="shared" si="160"/>
        <v/>
      </c>
      <c r="M912" s="19" t="str">
        <f>VLOOKUP($A908,NotaIndividualPorAlunoQUI,RIGHT(L911,2)-8,0)</f>
        <v/>
      </c>
      <c r="N912" s="10"/>
      <c r="O912" s="10"/>
    </row>
    <row r="913" spans="1:15" x14ac:dyDescent="0.3">
      <c r="A913" s="72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0"/>
      <c r="O913" s="10"/>
    </row>
    <row r="914" spans="1:15" x14ac:dyDescent="0.3">
      <c r="A914" s="72"/>
      <c r="B914" s="73" t="s">
        <v>12</v>
      </c>
      <c r="C914" s="57" t="s">
        <v>2</v>
      </c>
      <c r="D914" s="57" t="s">
        <v>3</v>
      </c>
      <c r="E914" s="57" t="s">
        <v>4</v>
      </c>
      <c r="F914" s="57" t="s">
        <v>5</v>
      </c>
      <c r="G914" s="57" t="s">
        <v>6</v>
      </c>
      <c r="H914" s="57" t="s">
        <v>7</v>
      </c>
      <c r="I914" s="57" t="s">
        <v>8</v>
      </c>
      <c r="J914" s="57" t="s">
        <v>9</v>
      </c>
      <c r="K914" s="57" t="s">
        <v>10</v>
      </c>
      <c r="L914" s="57" t="s">
        <v>11</v>
      </c>
      <c r="M914" s="57" t="s">
        <v>13</v>
      </c>
      <c r="N914" s="10"/>
      <c r="O914" s="10"/>
    </row>
    <row r="915" spans="1:15" ht="15.6" x14ac:dyDescent="0.3">
      <c r="A915" s="72"/>
      <c r="B915" s="73"/>
      <c r="C915" s="3" t="str">
        <f t="shared" ref="C915:L915" si="161">VLOOKUP($A908,NotaIndividualPorAlunoFIS,RIGHT(C914,2)+1,0)</f>
        <v/>
      </c>
      <c r="D915" s="3" t="str">
        <f t="shared" si="161"/>
        <v/>
      </c>
      <c r="E915" s="3" t="str">
        <f t="shared" si="161"/>
        <v/>
      </c>
      <c r="F915" s="3" t="str">
        <f t="shared" si="161"/>
        <v/>
      </c>
      <c r="G915" s="3" t="str">
        <f t="shared" si="161"/>
        <v/>
      </c>
      <c r="H915" s="3" t="str">
        <f t="shared" si="161"/>
        <v/>
      </c>
      <c r="I915" s="3" t="str">
        <f t="shared" si="161"/>
        <v/>
      </c>
      <c r="J915" s="3" t="str">
        <f t="shared" si="161"/>
        <v/>
      </c>
      <c r="K915" s="3" t="str">
        <f t="shared" si="161"/>
        <v/>
      </c>
      <c r="L915" s="3" t="str">
        <f t="shared" si="161"/>
        <v/>
      </c>
      <c r="M915" s="19" t="str">
        <f>VLOOKUP($A908,NotaIndividualPorAlunoFIS,RIGHT(L914,2)+2,0)</f>
        <v/>
      </c>
      <c r="N915" s="10"/>
      <c r="O915" s="10"/>
    </row>
    <row r="916" spans="1:15" ht="15.6" x14ac:dyDescent="0.3">
      <c r="A916" s="72"/>
      <c r="B916" s="12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0"/>
      <c r="O916" s="10"/>
    </row>
    <row r="917" spans="1:15" ht="15.6" x14ac:dyDescent="0.3">
      <c r="A917" s="72"/>
      <c r="B917" s="73" t="s">
        <v>16</v>
      </c>
      <c r="C917" s="23" t="s">
        <v>41</v>
      </c>
      <c r="D917" s="58" t="s">
        <v>42</v>
      </c>
      <c r="E917" s="23" t="s">
        <v>43</v>
      </c>
      <c r="F917" s="58" t="s">
        <v>44</v>
      </c>
      <c r="G917" s="23" t="s">
        <v>63</v>
      </c>
      <c r="H917" s="58" t="s">
        <v>32</v>
      </c>
      <c r="I917" s="14"/>
      <c r="J917" s="14"/>
      <c r="K917" s="14"/>
      <c r="L917" s="14"/>
      <c r="M917" s="15" t="s">
        <v>18</v>
      </c>
      <c r="N917" s="10"/>
      <c r="O917" s="10"/>
    </row>
    <row r="918" spans="1:15" ht="15.6" x14ac:dyDescent="0.3">
      <c r="A918" s="72"/>
      <c r="B918" s="73"/>
      <c r="C918" s="26" t="str">
        <f>VLOOKUP($A908,NotaIndividualPorAlunoRED,2,0)</f>
        <v/>
      </c>
      <c r="D918" s="26" t="str">
        <f>VLOOKUP($A908,NotaIndividualPorAlunoRED,3,0)</f>
        <v/>
      </c>
      <c r="E918" s="26" t="str">
        <f>VLOOKUP($A908,NotaIndividualPorAlunoRED,4,0)</f>
        <v/>
      </c>
      <c r="F918" s="26" t="str">
        <f>VLOOKUP($A908,NotaIndividualPorAlunoRED,5,0)</f>
        <v/>
      </c>
      <c r="G918" s="26" t="str">
        <f>VLOOKUP($A908,NotaIndividualPorAlunoRED,6,0)</f>
        <v/>
      </c>
      <c r="H918" s="21" t="str">
        <f>VLOOKUP($A908,NotaIndividualPorAlunoRED,7,0)</f>
        <v/>
      </c>
      <c r="I918" s="14"/>
      <c r="J918" s="14"/>
      <c r="K918" s="14"/>
      <c r="L918" s="14"/>
      <c r="M918" s="20" t="str">
        <f>VLOOKUP(A908,NOTAS!C:I,7,0)</f>
        <v/>
      </c>
      <c r="N918" s="10"/>
      <c r="O918" s="10"/>
    </row>
    <row r="919" spans="1:15" x14ac:dyDescent="0.3">
      <c r="A919" s="72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0"/>
      <c r="O919" s="10"/>
    </row>
    <row r="920" spans="1:15" x14ac:dyDescent="0.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</row>
    <row r="921" spans="1:15" x14ac:dyDescent="0.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</row>
    <row r="922" spans="1:15" x14ac:dyDescent="0.3">
      <c r="A922" s="58" t="s">
        <v>38</v>
      </c>
      <c r="B922" s="57" t="s">
        <v>35</v>
      </c>
      <c r="C922" s="57" t="s">
        <v>56</v>
      </c>
      <c r="D922" s="57" t="s">
        <v>57</v>
      </c>
      <c r="E922" s="57" t="s">
        <v>58</v>
      </c>
      <c r="F922" s="57" t="s">
        <v>59</v>
      </c>
      <c r="G922" s="57" t="s">
        <v>60</v>
      </c>
      <c r="H922" s="57" t="s">
        <v>36</v>
      </c>
      <c r="I922" s="57" t="s">
        <v>61</v>
      </c>
      <c r="J922" s="57" t="s">
        <v>34</v>
      </c>
      <c r="K922" s="57" t="s">
        <v>62</v>
      </c>
      <c r="L922" s="16" t="s">
        <v>33</v>
      </c>
      <c r="M922" s="57" t="s">
        <v>37</v>
      </c>
      <c r="N922" s="10"/>
      <c r="O922" s="10"/>
    </row>
    <row r="923" spans="1:15" ht="15.6" x14ac:dyDescent="0.3">
      <c r="A923" s="58" t="str" cm="1">
        <f t="array" ref="A923">IF(ISERROR(INDEX(ListaDeAlunos,(((ROW()-2)/17)+1),(COLUMN()+1))),"",INDEX(ListaDeAlunos,(((ROW()-2)/17)+1),(COLUMN()+1)))</f>
        <v/>
      </c>
      <c r="B923" s="17" t="str">
        <f>VLOOKUP($A923,NotaIndividualPorAlunoPROVAO,2,0)</f>
        <v/>
      </c>
      <c r="C923" s="18" t="str">
        <f>VLOOKUP($A923,NotaIndividualPorAlunoPROVAO,3,0)</f>
        <v/>
      </c>
      <c r="D923" s="17" t="str">
        <f>VLOOKUP($A923,NotaIndividualPorAlunoPROVAO,4,0)</f>
        <v/>
      </c>
      <c r="E923" s="18" t="str">
        <f>VLOOKUP($A923,NotaIndividualPorAlunoPROVAO,5,0)</f>
        <v/>
      </c>
      <c r="F923" s="17" t="str">
        <f>VLOOKUP($A923,NotaIndividualPorAlunoPROVAO,6,0)</f>
        <v/>
      </c>
      <c r="G923" s="18" t="str">
        <f>VLOOKUP($A923,NotaIndividualPorAlunoPROVAO,7,0)</f>
        <v/>
      </c>
      <c r="H923" s="17" t="str">
        <f>VLOOKUP($A923,NotaIndividualPorAlunoPROVAO,8,0)</f>
        <v/>
      </c>
      <c r="I923" s="18" t="str">
        <f>VLOOKUP($A923,NotaIndividualPorAlunoPROVAO,9,0)</f>
        <v/>
      </c>
      <c r="J923" s="17" t="str">
        <f>VLOOKUP($A923,NotaIndividualPorAlunoPROVAO,10,0)</f>
        <v/>
      </c>
      <c r="K923" s="18" t="str">
        <f>VLOOKUP($A923,NotaIndividualPorAlunoPROVAO,11,0)</f>
        <v/>
      </c>
      <c r="L923" s="15" t="str">
        <f>VLOOKUP($A923,NotaIndividualPorAlunoPROVAO,12,0)</f>
        <v/>
      </c>
      <c r="M923" s="25" t="str">
        <f>VLOOKUP($A923,NotaIndividualPorAlunoPROVAO,13,0)</f>
        <v/>
      </c>
      <c r="N923" s="10"/>
      <c r="O923" s="10"/>
    </row>
    <row r="924" spans="1:15" x14ac:dyDescent="0.3">
      <c r="N924" s="10"/>
      <c r="O924" s="10"/>
    </row>
    <row r="925" spans="1:15" x14ac:dyDescent="0.3">
      <c r="A925" s="72" t="str">
        <f>A923</f>
        <v/>
      </c>
      <c r="B925" s="73" t="s">
        <v>15</v>
      </c>
      <c r="C925" s="57" t="s">
        <v>2</v>
      </c>
      <c r="D925" s="57" t="s">
        <v>3</v>
      </c>
      <c r="E925" s="57" t="s">
        <v>4</v>
      </c>
      <c r="F925" s="57" t="s">
        <v>5</v>
      </c>
      <c r="G925" s="57" t="s">
        <v>6</v>
      </c>
      <c r="H925" s="57" t="s">
        <v>7</v>
      </c>
      <c r="I925" s="57" t="s">
        <v>8</v>
      </c>
      <c r="J925" s="57" t="s">
        <v>9</v>
      </c>
      <c r="K925" s="57" t="s">
        <v>10</v>
      </c>
      <c r="L925" s="57" t="s">
        <v>11</v>
      </c>
      <c r="M925" s="57" t="s">
        <v>13</v>
      </c>
      <c r="N925" s="10"/>
      <c r="O925" s="10"/>
    </row>
    <row r="926" spans="1:15" ht="15.6" x14ac:dyDescent="0.3">
      <c r="A926" s="72"/>
      <c r="B926" s="73"/>
      <c r="C926" s="5" t="str">
        <f t="shared" ref="C926:L926" si="162">VLOOKUP($A925,NotaIndividualPorAlunoMAT,RIGHT(C925,2)+1,0)</f>
        <v/>
      </c>
      <c r="D926" s="5" t="str">
        <f t="shared" si="162"/>
        <v/>
      </c>
      <c r="E926" s="5" t="str">
        <f t="shared" si="162"/>
        <v/>
      </c>
      <c r="F926" s="5" t="str">
        <f t="shared" si="162"/>
        <v/>
      </c>
      <c r="G926" s="5" t="str">
        <f t="shared" si="162"/>
        <v/>
      </c>
      <c r="H926" s="5" t="str">
        <f t="shared" si="162"/>
        <v/>
      </c>
      <c r="I926" s="5" t="str">
        <f t="shared" si="162"/>
        <v/>
      </c>
      <c r="J926" s="5" t="str">
        <f t="shared" si="162"/>
        <v/>
      </c>
      <c r="K926" s="5" t="str">
        <f t="shared" si="162"/>
        <v/>
      </c>
      <c r="L926" s="5" t="str">
        <f t="shared" si="162"/>
        <v/>
      </c>
      <c r="M926" s="19" t="str">
        <f>VLOOKUP($A925,NotaIndividualPorAlunoMAT,RIGHT(L925,2)+2,0)</f>
        <v/>
      </c>
      <c r="N926" s="10"/>
      <c r="O926" s="10"/>
    </row>
    <row r="927" spans="1:15" x14ac:dyDescent="0.3">
      <c r="A927" s="72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0"/>
      <c r="O927" s="10"/>
    </row>
    <row r="928" spans="1:15" x14ac:dyDescent="0.3">
      <c r="A928" s="72"/>
      <c r="B928" s="73" t="s">
        <v>14</v>
      </c>
      <c r="C928" s="57" t="s">
        <v>46</v>
      </c>
      <c r="D928" s="57" t="s">
        <v>47</v>
      </c>
      <c r="E928" s="57" t="s">
        <v>48</v>
      </c>
      <c r="F928" s="57" t="s">
        <v>49</v>
      </c>
      <c r="G928" s="57" t="s">
        <v>50</v>
      </c>
      <c r="H928" s="57" t="s">
        <v>51</v>
      </c>
      <c r="I928" s="57" t="s">
        <v>52</v>
      </c>
      <c r="J928" s="57" t="s">
        <v>53</v>
      </c>
      <c r="K928" s="57" t="s">
        <v>54</v>
      </c>
      <c r="L928" s="57" t="s">
        <v>55</v>
      </c>
      <c r="M928" s="57" t="s">
        <v>13</v>
      </c>
      <c r="N928" s="10"/>
      <c r="O928" s="10"/>
    </row>
    <row r="929" spans="1:15" ht="15.6" x14ac:dyDescent="0.3">
      <c r="A929" s="72"/>
      <c r="B929" s="73"/>
      <c r="C929" s="3" t="str">
        <f t="shared" ref="C929:L929" si="163">VLOOKUP($A925,NotaIndividualPorAlunoQUI,RIGHT(C928,2)-9,0)</f>
        <v/>
      </c>
      <c r="D929" s="3" t="str">
        <f t="shared" si="163"/>
        <v/>
      </c>
      <c r="E929" s="3" t="str">
        <f t="shared" si="163"/>
        <v/>
      </c>
      <c r="F929" s="3" t="str">
        <f t="shared" si="163"/>
        <v/>
      </c>
      <c r="G929" s="3" t="str">
        <f t="shared" si="163"/>
        <v/>
      </c>
      <c r="H929" s="3" t="str">
        <f t="shared" si="163"/>
        <v/>
      </c>
      <c r="I929" s="3" t="str">
        <f t="shared" si="163"/>
        <v/>
      </c>
      <c r="J929" s="3" t="str">
        <f t="shared" si="163"/>
        <v/>
      </c>
      <c r="K929" s="3" t="str">
        <f t="shared" si="163"/>
        <v/>
      </c>
      <c r="L929" s="3" t="str">
        <f t="shared" si="163"/>
        <v/>
      </c>
      <c r="M929" s="19" t="str">
        <f>VLOOKUP($A925,NotaIndividualPorAlunoQUI,RIGHT(L928,2)-8,0)</f>
        <v/>
      </c>
      <c r="N929" s="10"/>
      <c r="O929" s="10"/>
    </row>
    <row r="930" spans="1:15" x14ac:dyDescent="0.3">
      <c r="A930" s="72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0"/>
      <c r="O930" s="10"/>
    </row>
    <row r="931" spans="1:15" x14ac:dyDescent="0.3">
      <c r="A931" s="72"/>
      <c r="B931" s="73" t="s">
        <v>12</v>
      </c>
      <c r="C931" s="57" t="s">
        <v>2</v>
      </c>
      <c r="D931" s="57" t="s">
        <v>3</v>
      </c>
      <c r="E931" s="57" t="s">
        <v>4</v>
      </c>
      <c r="F931" s="57" t="s">
        <v>5</v>
      </c>
      <c r="G931" s="57" t="s">
        <v>6</v>
      </c>
      <c r="H931" s="57" t="s">
        <v>7</v>
      </c>
      <c r="I931" s="57" t="s">
        <v>8</v>
      </c>
      <c r="J931" s="57" t="s">
        <v>9</v>
      </c>
      <c r="K931" s="57" t="s">
        <v>10</v>
      </c>
      <c r="L931" s="57" t="s">
        <v>11</v>
      </c>
      <c r="M931" s="57" t="s">
        <v>13</v>
      </c>
      <c r="N931" s="10"/>
      <c r="O931" s="10"/>
    </row>
    <row r="932" spans="1:15" ht="15.6" x14ac:dyDescent="0.3">
      <c r="A932" s="72"/>
      <c r="B932" s="73"/>
      <c r="C932" s="3" t="str">
        <f t="shared" ref="C932:L932" si="164">VLOOKUP($A925,NotaIndividualPorAlunoFIS,RIGHT(C931,2)+1,0)</f>
        <v/>
      </c>
      <c r="D932" s="3" t="str">
        <f t="shared" si="164"/>
        <v/>
      </c>
      <c r="E932" s="3" t="str">
        <f t="shared" si="164"/>
        <v/>
      </c>
      <c r="F932" s="3" t="str">
        <f t="shared" si="164"/>
        <v/>
      </c>
      <c r="G932" s="3" t="str">
        <f t="shared" si="164"/>
        <v/>
      </c>
      <c r="H932" s="3" t="str">
        <f t="shared" si="164"/>
        <v/>
      </c>
      <c r="I932" s="3" t="str">
        <f t="shared" si="164"/>
        <v/>
      </c>
      <c r="J932" s="3" t="str">
        <f t="shared" si="164"/>
        <v/>
      </c>
      <c r="K932" s="3" t="str">
        <f t="shared" si="164"/>
        <v/>
      </c>
      <c r="L932" s="3" t="str">
        <f t="shared" si="164"/>
        <v/>
      </c>
      <c r="M932" s="19" t="str">
        <f>VLOOKUP($A925,NotaIndividualPorAlunoFIS,RIGHT(L931,2)+2,0)</f>
        <v/>
      </c>
      <c r="N932" s="10"/>
      <c r="O932" s="10"/>
    </row>
    <row r="933" spans="1:15" ht="15.6" x14ac:dyDescent="0.3">
      <c r="A933" s="72"/>
      <c r="B933" s="12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0"/>
      <c r="O933" s="10"/>
    </row>
    <row r="934" spans="1:15" ht="15.6" x14ac:dyDescent="0.3">
      <c r="A934" s="72"/>
      <c r="B934" s="73" t="s">
        <v>16</v>
      </c>
      <c r="C934" s="23" t="s">
        <v>41</v>
      </c>
      <c r="D934" s="58" t="s">
        <v>42</v>
      </c>
      <c r="E934" s="23" t="s">
        <v>43</v>
      </c>
      <c r="F934" s="58" t="s">
        <v>44</v>
      </c>
      <c r="G934" s="23" t="s">
        <v>63</v>
      </c>
      <c r="H934" s="58" t="s">
        <v>32</v>
      </c>
      <c r="I934" s="14"/>
      <c r="J934" s="14"/>
      <c r="K934" s="14"/>
      <c r="L934" s="14"/>
      <c r="M934" s="15" t="s">
        <v>18</v>
      </c>
      <c r="N934" s="10"/>
      <c r="O934" s="10"/>
    </row>
    <row r="935" spans="1:15" ht="15.6" x14ac:dyDescent="0.3">
      <c r="A935" s="72"/>
      <c r="B935" s="73"/>
      <c r="C935" s="26" t="str">
        <f>VLOOKUP($A925,NotaIndividualPorAlunoRED,2,0)</f>
        <v/>
      </c>
      <c r="D935" s="26" t="str">
        <f>VLOOKUP($A925,NotaIndividualPorAlunoRED,3,0)</f>
        <v/>
      </c>
      <c r="E935" s="26" t="str">
        <f>VLOOKUP($A925,NotaIndividualPorAlunoRED,4,0)</f>
        <v/>
      </c>
      <c r="F935" s="26" t="str">
        <f>VLOOKUP($A925,NotaIndividualPorAlunoRED,5,0)</f>
        <v/>
      </c>
      <c r="G935" s="26" t="str">
        <f>VLOOKUP($A925,NotaIndividualPorAlunoRED,6,0)</f>
        <v/>
      </c>
      <c r="H935" s="21" t="str">
        <f>VLOOKUP($A925,NotaIndividualPorAlunoRED,7,0)</f>
        <v/>
      </c>
      <c r="I935" s="14"/>
      <c r="J935" s="14"/>
      <c r="K935" s="14"/>
      <c r="L935" s="14"/>
      <c r="M935" s="20" t="str">
        <f>VLOOKUP(A925,NOTAS!C:I,7,0)</f>
        <v/>
      </c>
      <c r="N935" s="10"/>
      <c r="O935" s="10"/>
    </row>
    <row r="936" spans="1:15" x14ac:dyDescent="0.3">
      <c r="A936" s="72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0"/>
      <c r="O936" s="10"/>
    </row>
    <row r="937" spans="1:15" x14ac:dyDescent="0.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</row>
    <row r="938" spans="1:15" x14ac:dyDescent="0.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</row>
    <row r="939" spans="1:15" x14ac:dyDescent="0.3">
      <c r="A939" s="58" t="s">
        <v>38</v>
      </c>
      <c r="B939" s="57" t="s">
        <v>35</v>
      </c>
      <c r="C939" s="57" t="s">
        <v>56</v>
      </c>
      <c r="D939" s="57" t="s">
        <v>57</v>
      </c>
      <c r="E939" s="57" t="s">
        <v>58</v>
      </c>
      <c r="F939" s="57" t="s">
        <v>59</v>
      </c>
      <c r="G939" s="57" t="s">
        <v>60</v>
      </c>
      <c r="H939" s="57" t="s">
        <v>36</v>
      </c>
      <c r="I939" s="57" t="s">
        <v>61</v>
      </c>
      <c r="J939" s="57" t="s">
        <v>34</v>
      </c>
      <c r="K939" s="57" t="s">
        <v>62</v>
      </c>
      <c r="L939" s="16" t="s">
        <v>33</v>
      </c>
      <c r="M939" s="57" t="s">
        <v>37</v>
      </c>
      <c r="N939" s="10"/>
      <c r="O939" s="10"/>
    </row>
    <row r="940" spans="1:15" ht="15.6" x14ac:dyDescent="0.3">
      <c r="A940" s="58" t="str" cm="1">
        <f t="array" ref="A940">IF(ISERROR(INDEX(ListaDeAlunos,(((ROW()-2)/17)+1),(COLUMN()+1))),"",INDEX(ListaDeAlunos,(((ROW()-2)/17)+1),(COLUMN()+1)))</f>
        <v/>
      </c>
      <c r="B940" s="17" t="str">
        <f>VLOOKUP($A940,NotaIndividualPorAlunoPROVAO,2,0)</f>
        <v/>
      </c>
      <c r="C940" s="18" t="str">
        <f>VLOOKUP($A940,NotaIndividualPorAlunoPROVAO,3,0)</f>
        <v/>
      </c>
      <c r="D940" s="17" t="str">
        <f>VLOOKUP($A940,NotaIndividualPorAlunoPROVAO,4,0)</f>
        <v/>
      </c>
      <c r="E940" s="18" t="str">
        <f>VLOOKUP($A940,NotaIndividualPorAlunoPROVAO,5,0)</f>
        <v/>
      </c>
      <c r="F940" s="17" t="str">
        <f>VLOOKUP($A940,NotaIndividualPorAlunoPROVAO,6,0)</f>
        <v/>
      </c>
      <c r="G940" s="18" t="str">
        <f>VLOOKUP($A940,NotaIndividualPorAlunoPROVAO,7,0)</f>
        <v/>
      </c>
      <c r="H940" s="17" t="str">
        <f>VLOOKUP($A940,NotaIndividualPorAlunoPROVAO,8,0)</f>
        <v/>
      </c>
      <c r="I940" s="18" t="str">
        <f>VLOOKUP($A940,NotaIndividualPorAlunoPROVAO,9,0)</f>
        <v/>
      </c>
      <c r="J940" s="17" t="str">
        <f>VLOOKUP($A940,NotaIndividualPorAlunoPROVAO,10,0)</f>
        <v/>
      </c>
      <c r="K940" s="18" t="str">
        <f>VLOOKUP($A940,NotaIndividualPorAlunoPROVAO,11,0)</f>
        <v/>
      </c>
      <c r="L940" s="15" t="str">
        <f>VLOOKUP($A940,NotaIndividualPorAlunoPROVAO,12,0)</f>
        <v/>
      </c>
      <c r="M940" s="25" t="str">
        <f>VLOOKUP($A940,NotaIndividualPorAlunoPROVAO,13,0)</f>
        <v/>
      </c>
      <c r="N940" s="10"/>
      <c r="O940" s="10"/>
    </row>
    <row r="941" spans="1:15" x14ac:dyDescent="0.3">
      <c r="N941" s="10"/>
      <c r="O941" s="10"/>
    </row>
    <row r="942" spans="1:15" x14ac:dyDescent="0.3">
      <c r="A942" s="72" t="str">
        <f>A940</f>
        <v/>
      </c>
      <c r="B942" s="73" t="s">
        <v>15</v>
      </c>
      <c r="C942" s="57" t="s">
        <v>2</v>
      </c>
      <c r="D942" s="57" t="s">
        <v>3</v>
      </c>
      <c r="E942" s="57" t="s">
        <v>4</v>
      </c>
      <c r="F942" s="57" t="s">
        <v>5</v>
      </c>
      <c r="G942" s="57" t="s">
        <v>6</v>
      </c>
      <c r="H942" s="57" t="s">
        <v>7</v>
      </c>
      <c r="I942" s="57" t="s">
        <v>8</v>
      </c>
      <c r="J942" s="57" t="s">
        <v>9</v>
      </c>
      <c r="K942" s="57" t="s">
        <v>10</v>
      </c>
      <c r="L942" s="57" t="s">
        <v>11</v>
      </c>
      <c r="M942" s="57" t="s">
        <v>13</v>
      </c>
      <c r="N942" s="10"/>
      <c r="O942" s="10"/>
    </row>
    <row r="943" spans="1:15" ht="15.6" x14ac:dyDescent="0.3">
      <c r="A943" s="72"/>
      <c r="B943" s="73"/>
      <c r="C943" s="5" t="str">
        <f t="shared" ref="C943:L943" si="165">VLOOKUP($A942,NotaIndividualPorAlunoMAT,RIGHT(C942,2)+1,0)</f>
        <v/>
      </c>
      <c r="D943" s="5" t="str">
        <f t="shared" si="165"/>
        <v/>
      </c>
      <c r="E943" s="5" t="str">
        <f t="shared" si="165"/>
        <v/>
      </c>
      <c r="F943" s="5" t="str">
        <f t="shared" si="165"/>
        <v/>
      </c>
      <c r="G943" s="5" t="str">
        <f t="shared" si="165"/>
        <v/>
      </c>
      <c r="H943" s="5" t="str">
        <f t="shared" si="165"/>
        <v/>
      </c>
      <c r="I943" s="5" t="str">
        <f t="shared" si="165"/>
        <v/>
      </c>
      <c r="J943" s="5" t="str">
        <f t="shared" si="165"/>
        <v/>
      </c>
      <c r="K943" s="5" t="str">
        <f t="shared" si="165"/>
        <v/>
      </c>
      <c r="L943" s="5" t="str">
        <f t="shared" si="165"/>
        <v/>
      </c>
      <c r="M943" s="19" t="str">
        <f>VLOOKUP($A942,NotaIndividualPorAlunoMAT,RIGHT(L942,2)+2,0)</f>
        <v/>
      </c>
      <c r="N943" s="10"/>
      <c r="O943" s="10"/>
    </row>
    <row r="944" spans="1:15" x14ac:dyDescent="0.3">
      <c r="A944" s="72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0"/>
      <c r="O944" s="10"/>
    </row>
    <row r="945" spans="1:15" x14ac:dyDescent="0.3">
      <c r="A945" s="72"/>
      <c r="B945" s="73" t="s">
        <v>14</v>
      </c>
      <c r="C945" s="57" t="s">
        <v>46</v>
      </c>
      <c r="D945" s="57" t="s">
        <v>47</v>
      </c>
      <c r="E945" s="57" t="s">
        <v>48</v>
      </c>
      <c r="F945" s="57" t="s">
        <v>49</v>
      </c>
      <c r="G945" s="57" t="s">
        <v>50</v>
      </c>
      <c r="H945" s="57" t="s">
        <v>51</v>
      </c>
      <c r="I945" s="57" t="s">
        <v>52</v>
      </c>
      <c r="J945" s="57" t="s">
        <v>53</v>
      </c>
      <c r="K945" s="57" t="s">
        <v>54</v>
      </c>
      <c r="L945" s="57" t="s">
        <v>55</v>
      </c>
      <c r="M945" s="57" t="s">
        <v>13</v>
      </c>
      <c r="N945" s="10"/>
      <c r="O945" s="10"/>
    </row>
    <row r="946" spans="1:15" ht="15.6" x14ac:dyDescent="0.3">
      <c r="A946" s="72"/>
      <c r="B946" s="73"/>
      <c r="C946" s="3" t="str">
        <f t="shared" ref="C946:L946" si="166">VLOOKUP($A942,NotaIndividualPorAlunoQUI,RIGHT(C945,2)-9,0)</f>
        <v/>
      </c>
      <c r="D946" s="3" t="str">
        <f t="shared" si="166"/>
        <v/>
      </c>
      <c r="E946" s="3" t="str">
        <f t="shared" si="166"/>
        <v/>
      </c>
      <c r="F946" s="3" t="str">
        <f t="shared" si="166"/>
        <v/>
      </c>
      <c r="G946" s="3" t="str">
        <f t="shared" si="166"/>
        <v/>
      </c>
      <c r="H946" s="3" t="str">
        <f t="shared" si="166"/>
        <v/>
      </c>
      <c r="I946" s="3" t="str">
        <f t="shared" si="166"/>
        <v/>
      </c>
      <c r="J946" s="3" t="str">
        <f t="shared" si="166"/>
        <v/>
      </c>
      <c r="K946" s="3" t="str">
        <f t="shared" si="166"/>
        <v/>
      </c>
      <c r="L946" s="3" t="str">
        <f t="shared" si="166"/>
        <v/>
      </c>
      <c r="M946" s="19" t="str">
        <f>VLOOKUP($A942,NotaIndividualPorAlunoQUI,RIGHT(L945,2)-8,0)</f>
        <v/>
      </c>
      <c r="N946" s="10"/>
      <c r="O946" s="10"/>
    </row>
    <row r="947" spans="1:15" x14ac:dyDescent="0.3">
      <c r="A947" s="72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0"/>
      <c r="O947" s="10"/>
    </row>
    <row r="948" spans="1:15" x14ac:dyDescent="0.3">
      <c r="A948" s="72"/>
      <c r="B948" s="73" t="s">
        <v>12</v>
      </c>
      <c r="C948" s="57" t="s">
        <v>2</v>
      </c>
      <c r="D948" s="57" t="s">
        <v>3</v>
      </c>
      <c r="E948" s="57" t="s">
        <v>4</v>
      </c>
      <c r="F948" s="57" t="s">
        <v>5</v>
      </c>
      <c r="G948" s="57" t="s">
        <v>6</v>
      </c>
      <c r="H948" s="57" t="s">
        <v>7</v>
      </c>
      <c r="I948" s="57" t="s">
        <v>8</v>
      </c>
      <c r="J948" s="57" t="s">
        <v>9</v>
      </c>
      <c r="K948" s="57" t="s">
        <v>10</v>
      </c>
      <c r="L948" s="57" t="s">
        <v>11</v>
      </c>
      <c r="M948" s="57" t="s">
        <v>13</v>
      </c>
      <c r="N948" s="10"/>
      <c r="O948" s="10"/>
    </row>
    <row r="949" spans="1:15" ht="15.6" x14ac:dyDescent="0.3">
      <c r="A949" s="72"/>
      <c r="B949" s="73"/>
      <c r="C949" s="3" t="str">
        <f t="shared" ref="C949:L949" si="167">VLOOKUP($A942,NotaIndividualPorAlunoFIS,RIGHT(C948,2)+1,0)</f>
        <v/>
      </c>
      <c r="D949" s="3" t="str">
        <f t="shared" si="167"/>
        <v/>
      </c>
      <c r="E949" s="3" t="str">
        <f t="shared" si="167"/>
        <v/>
      </c>
      <c r="F949" s="3" t="str">
        <f t="shared" si="167"/>
        <v/>
      </c>
      <c r="G949" s="3" t="str">
        <f t="shared" si="167"/>
        <v/>
      </c>
      <c r="H949" s="3" t="str">
        <f t="shared" si="167"/>
        <v/>
      </c>
      <c r="I949" s="3" t="str">
        <f t="shared" si="167"/>
        <v/>
      </c>
      <c r="J949" s="3" t="str">
        <f t="shared" si="167"/>
        <v/>
      </c>
      <c r="K949" s="3" t="str">
        <f t="shared" si="167"/>
        <v/>
      </c>
      <c r="L949" s="3" t="str">
        <f t="shared" si="167"/>
        <v/>
      </c>
      <c r="M949" s="19" t="str">
        <f>VLOOKUP($A942,NotaIndividualPorAlunoFIS,RIGHT(L948,2)+2,0)</f>
        <v/>
      </c>
      <c r="N949" s="10"/>
      <c r="O949" s="10"/>
    </row>
    <row r="950" spans="1:15" ht="15.6" x14ac:dyDescent="0.3">
      <c r="A950" s="72"/>
      <c r="B950" s="12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0"/>
      <c r="O950" s="10"/>
    </row>
    <row r="951" spans="1:15" ht="15.6" x14ac:dyDescent="0.3">
      <c r="A951" s="72"/>
      <c r="B951" s="73" t="s">
        <v>16</v>
      </c>
      <c r="C951" s="23" t="s">
        <v>41</v>
      </c>
      <c r="D951" s="58" t="s">
        <v>42</v>
      </c>
      <c r="E951" s="23" t="s">
        <v>43</v>
      </c>
      <c r="F951" s="58" t="s">
        <v>44</v>
      </c>
      <c r="G951" s="23" t="s">
        <v>63</v>
      </c>
      <c r="H951" s="58" t="s">
        <v>32</v>
      </c>
      <c r="I951" s="14"/>
      <c r="J951" s="14"/>
      <c r="K951" s="14"/>
      <c r="L951" s="14"/>
      <c r="M951" s="15" t="s">
        <v>18</v>
      </c>
      <c r="N951" s="10"/>
      <c r="O951" s="10"/>
    </row>
    <row r="952" spans="1:15" ht="15.6" x14ac:dyDescent="0.3">
      <c r="A952" s="72"/>
      <c r="B952" s="73"/>
      <c r="C952" s="26" t="str">
        <f>VLOOKUP($A942,NotaIndividualPorAlunoRED,2,0)</f>
        <v/>
      </c>
      <c r="D952" s="26" t="str">
        <f>VLOOKUP($A942,NotaIndividualPorAlunoRED,3,0)</f>
        <v/>
      </c>
      <c r="E952" s="26" t="str">
        <f>VLOOKUP($A942,NotaIndividualPorAlunoRED,4,0)</f>
        <v/>
      </c>
      <c r="F952" s="26" t="str">
        <f>VLOOKUP($A942,NotaIndividualPorAlunoRED,5,0)</f>
        <v/>
      </c>
      <c r="G952" s="26" t="str">
        <f>VLOOKUP($A942,NotaIndividualPorAlunoRED,6,0)</f>
        <v/>
      </c>
      <c r="H952" s="21" t="str">
        <f>VLOOKUP($A942,NotaIndividualPorAlunoRED,7,0)</f>
        <v/>
      </c>
      <c r="I952" s="14"/>
      <c r="J952" s="14"/>
      <c r="K952" s="14"/>
      <c r="L952" s="14"/>
      <c r="M952" s="20" t="str">
        <f>VLOOKUP(A942,NOTAS!C:I,7,0)</f>
        <v/>
      </c>
      <c r="N952" s="10"/>
      <c r="O952" s="10"/>
    </row>
    <row r="953" spans="1:15" x14ac:dyDescent="0.3">
      <c r="A953" s="72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0"/>
      <c r="O953" s="10"/>
    </row>
    <row r="954" spans="1:15" x14ac:dyDescent="0.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</row>
    <row r="955" spans="1:15" x14ac:dyDescent="0.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</row>
    <row r="956" spans="1:15" x14ac:dyDescent="0.3">
      <c r="A956" s="58" t="s">
        <v>38</v>
      </c>
      <c r="B956" s="57" t="s">
        <v>35</v>
      </c>
      <c r="C956" s="57" t="s">
        <v>56</v>
      </c>
      <c r="D956" s="57" t="s">
        <v>57</v>
      </c>
      <c r="E956" s="57" t="s">
        <v>58</v>
      </c>
      <c r="F956" s="57" t="s">
        <v>59</v>
      </c>
      <c r="G956" s="57" t="s">
        <v>60</v>
      </c>
      <c r="H956" s="57" t="s">
        <v>36</v>
      </c>
      <c r="I956" s="57" t="s">
        <v>61</v>
      </c>
      <c r="J956" s="57" t="s">
        <v>34</v>
      </c>
      <c r="K956" s="57" t="s">
        <v>62</v>
      </c>
      <c r="L956" s="16" t="s">
        <v>33</v>
      </c>
      <c r="M956" s="57" t="s">
        <v>37</v>
      </c>
      <c r="N956" s="10"/>
      <c r="O956" s="10"/>
    </row>
    <row r="957" spans="1:15" ht="15.6" x14ac:dyDescent="0.3">
      <c r="A957" s="58" t="str" cm="1">
        <f t="array" ref="A957">IF(ISERROR(INDEX(ListaDeAlunos,(((ROW()-2)/17)+1),(COLUMN()+1))),"",INDEX(ListaDeAlunos,(((ROW()-2)/17)+1),(COLUMN()+1)))</f>
        <v/>
      </c>
      <c r="B957" s="17" t="str">
        <f>VLOOKUP($A957,NotaIndividualPorAlunoPROVAO,2,0)</f>
        <v/>
      </c>
      <c r="C957" s="18" t="str">
        <f>VLOOKUP($A957,NotaIndividualPorAlunoPROVAO,3,0)</f>
        <v/>
      </c>
      <c r="D957" s="17" t="str">
        <f>VLOOKUP($A957,NotaIndividualPorAlunoPROVAO,4,0)</f>
        <v/>
      </c>
      <c r="E957" s="18" t="str">
        <f>VLOOKUP($A957,NotaIndividualPorAlunoPROVAO,5,0)</f>
        <v/>
      </c>
      <c r="F957" s="17" t="str">
        <f>VLOOKUP($A957,NotaIndividualPorAlunoPROVAO,6,0)</f>
        <v/>
      </c>
      <c r="G957" s="18" t="str">
        <f>VLOOKUP($A957,NotaIndividualPorAlunoPROVAO,7,0)</f>
        <v/>
      </c>
      <c r="H957" s="17" t="str">
        <f>VLOOKUP($A957,NotaIndividualPorAlunoPROVAO,8,0)</f>
        <v/>
      </c>
      <c r="I957" s="18" t="str">
        <f>VLOOKUP($A957,NotaIndividualPorAlunoPROVAO,9,0)</f>
        <v/>
      </c>
      <c r="J957" s="17" t="str">
        <f>VLOOKUP($A957,NotaIndividualPorAlunoPROVAO,10,0)</f>
        <v/>
      </c>
      <c r="K957" s="18" t="str">
        <f>VLOOKUP($A957,NotaIndividualPorAlunoPROVAO,11,0)</f>
        <v/>
      </c>
      <c r="L957" s="15" t="str">
        <f>VLOOKUP($A957,NotaIndividualPorAlunoPROVAO,12,0)</f>
        <v/>
      </c>
      <c r="M957" s="25" t="str">
        <f>VLOOKUP($A957,NotaIndividualPorAlunoPROVAO,13,0)</f>
        <v/>
      </c>
      <c r="N957" s="10"/>
      <c r="O957" s="10"/>
    </row>
    <row r="958" spans="1:15" x14ac:dyDescent="0.3">
      <c r="N958" s="10"/>
      <c r="O958" s="10"/>
    </row>
    <row r="959" spans="1:15" x14ac:dyDescent="0.3">
      <c r="A959" s="72" t="str">
        <f>A957</f>
        <v/>
      </c>
      <c r="B959" s="73" t="s">
        <v>15</v>
      </c>
      <c r="C959" s="57" t="s">
        <v>2</v>
      </c>
      <c r="D959" s="57" t="s">
        <v>3</v>
      </c>
      <c r="E959" s="57" t="s">
        <v>4</v>
      </c>
      <c r="F959" s="57" t="s">
        <v>5</v>
      </c>
      <c r="G959" s="57" t="s">
        <v>6</v>
      </c>
      <c r="H959" s="57" t="s">
        <v>7</v>
      </c>
      <c r="I959" s="57" t="s">
        <v>8</v>
      </c>
      <c r="J959" s="57" t="s">
        <v>9</v>
      </c>
      <c r="K959" s="57" t="s">
        <v>10</v>
      </c>
      <c r="L959" s="57" t="s">
        <v>11</v>
      </c>
      <c r="M959" s="57" t="s">
        <v>13</v>
      </c>
      <c r="N959" s="10"/>
      <c r="O959" s="10"/>
    </row>
    <row r="960" spans="1:15" ht="15.6" x14ac:dyDescent="0.3">
      <c r="A960" s="72"/>
      <c r="B960" s="73"/>
      <c r="C960" s="5" t="str">
        <f t="shared" ref="C960:L960" si="168">VLOOKUP($A959,NotaIndividualPorAlunoMAT,RIGHT(C959,2)+1,0)</f>
        <v/>
      </c>
      <c r="D960" s="5" t="str">
        <f t="shared" si="168"/>
        <v/>
      </c>
      <c r="E960" s="5" t="str">
        <f t="shared" si="168"/>
        <v/>
      </c>
      <c r="F960" s="5" t="str">
        <f t="shared" si="168"/>
        <v/>
      </c>
      <c r="G960" s="5" t="str">
        <f t="shared" si="168"/>
        <v/>
      </c>
      <c r="H960" s="5" t="str">
        <f t="shared" si="168"/>
        <v/>
      </c>
      <c r="I960" s="5" t="str">
        <f t="shared" si="168"/>
        <v/>
      </c>
      <c r="J960" s="5" t="str">
        <f t="shared" si="168"/>
        <v/>
      </c>
      <c r="K960" s="5" t="str">
        <f t="shared" si="168"/>
        <v/>
      </c>
      <c r="L960" s="5" t="str">
        <f t="shared" si="168"/>
        <v/>
      </c>
      <c r="M960" s="19" t="str">
        <f>VLOOKUP($A959,NotaIndividualPorAlunoMAT,RIGHT(L959,2)+2,0)</f>
        <v/>
      </c>
      <c r="N960" s="10"/>
      <c r="O960" s="10"/>
    </row>
    <row r="961" spans="1:15" x14ac:dyDescent="0.3">
      <c r="A961" s="72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0"/>
      <c r="O961" s="10"/>
    </row>
    <row r="962" spans="1:15" x14ac:dyDescent="0.3">
      <c r="A962" s="72"/>
      <c r="B962" s="73" t="s">
        <v>14</v>
      </c>
      <c r="C962" s="57" t="s">
        <v>46</v>
      </c>
      <c r="D962" s="57" t="s">
        <v>47</v>
      </c>
      <c r="E962" s="57" t="s">
        <v>48</v>
      </c>
      <c r="F962" s="57" t="s">
        <v>49</v>
      </c>
      <c r="G962" s="57" t="s">
        <v>50</v>
      </c>
      <c r="H962" s="57" t="s">
        <v>51</v>
      </c>
      <c r="I962" s="57" t="s">
        <v>52</v>
      </c>
      <c r="J962" s="57" t="s">
        <v>53</v>
      </c>
      <c r="K962" s="57" t="s">
        <v>54</v>
      </c>
      <c r="L962" s="57" t="s">
        <v>55</v>
      </c>
      <c r="M962" s="57" t="s">
        <v>13</v>
      </c>
      <c r="N962" s="10"/>
      <c r="O962" s="10"/>
    </row>
    <row r="963" spans="1:15" ht="15.6" x14ac:dyDescent="0.3">
      <c r="A963" s="72"/>
      <c r="B963" s="73"/>
      <c r="C963" s="3" t="str">
        <f t="shared" ref="C963:L963" si="169">VLOOKUP($A959,NotaIndividualPorAlunoQUI,RIGHT(C962,2)-9,0)</f>
        <v/>
      </c>
      <c r="D963" s="3" t="str">
        <f t="shared" si="169"/>
        <v/>
      </c>
      <c r="E963" s="3" t="str">
        <f t="shared" si="169"/>
        <v/>
      </c>
      <c r="F963" s="3" t="str">
        <f t="shared" si="169"/>
        <v/>
      </c>
      <c r="G963" s="3" t="str">
        <f t="shared" si="169"/>
        <v/>
      </c>
      <c r="H963" s="3" t="str">
        <f t="shared" si="169"/>
        <v/>
      </c>
      <c r="I963" s="3" t="str">
        <f t="shared" si="169"/>
        <v/>
      </c>
      <c r="J963" s="3" t="str">
        <f t="shared" si="169"/>
        <v/>
      </c>
      <c r="K963" s="3" t="str">
        <f t="shared" si="169"/>
        <v/>
      </c>
      <c r="L963" s="3" t="str">
        <f t="shared" si="169"/>
        <v/>
      </c>
      <c r="M963" s="19" t="str">
        <f>VLOOKUP($A959,NotaIndividualPorAlunoQUI,RIGHT(L962,2)-8,0)</f>
        <v/>
      </c>
      <c r="N963" s="10"/>
      <c r="O963" s="10"/>
    </row>
    <row r="964" spans="1:15" x14ac:dyDescent="0.3">
      <c r="A964" s="72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0"/>
      <c r="O964" s="10"/>
    </row>
    <row r="965" spans="1:15" x14ac:dyDescent="0.3">
      <c r="A965" s="72"/>
      <c r="B965" s="73" t="s">
        <v>12</v>
      </c>
      <c r="C965" s="57" t="s">
        <v>2</v>
      </c>
      <c r="D965" s="57" t="s">
        <v>3</v>
      </c>
      <c r="E965" s="57" t="s">
        <v>4</v>
      </c>
      <c r="F965" s="57" t="s">
        <v>5</v>
      </c>
      <c r="G965" s="57" t="s">
        <v>6</v>
      </c>
      <c r="H965" s="57" t="s">
        <v>7</v>
      </c>
      <c r="I965" s="57" t="s">
        <v>8</v>
      </c>
      <c r="J965" s="57" t="s">
        <v>9</v>
      </c>
      <c r="K965" s="57" t="s">
        <v>10</v>
      </c>
      <c r="L965" s="57" t="s">
        <v>11</v>
      </c>
      <c r="M965" s="57" t="s">
        <v>13</v>
      </c>
      <c r="N965" s="10"/>
      <c r="O965" s="10"/>
    </row>
    <row r="966" spans="1:15" ht="15.6" x14ac:dyDescent="0.3">
      <c r="A966" s="72"/>
      <c r="B966" s="73"/>
      <c r="C966" s="3" t="str">
        <f t="shared" ref="C966:L966" si="170">VLOOKUP($A959,NotaIndividualPorAlunoFIS,RIGHT(C965,2)+1,0)</f>
        <v/>
      </c>
      <c r="D966" s="3" t="str">
        <f t="shared" si="170"/>
        <v/>
      </c>
      <c r="E966" s="3" t="str">
        <f t="shared" si="170"/>
        <v/>
      </c>
      <c r="F966" s="3" t="str">
        <f t="shared" si="170"/>
        <v/>
      </c>
      <c r="G966" s="3" t="str">
        <f t="shared" si="170"/>
        <v/>
      </c>
      <c r="H966" s="3" t="str">
        <f t="shared" si="170"/>
        <v/>
      </c>
      <c r="I966" s="3" t="str">
        <f t="shared" si="170"/>
        <v/>
      </c>
      <c r="J966" s="3" t="str">
        <f t="shared" si="170"/>
        <v/>
      </c>
      <c r="K966" s="3" t="str">
        <f t="shared" si="170"/>
        <v/>
      </c>
      <c r="L966" s="3" t="str">
        <f t="shared" si="170"/>
        <v/>
      </c>
      <c r="M966" s="19" t="str">
        <f>VLOOKUP($A959,NotaIndividualPorAlunoFIS,RIGHT(L965,2)+2,0)</f>
        <v/>
      </c>
      <c r="N966" s="10"/>
      <c r="O966" s="10"/>
    </row>
    <row r="967" spans="1:15" ht="15.6" x14ac:dyDescent="0.3">
      <c r="A967" s="72"/>
      <c r="B967" s="12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0"/>
      <c r="O967" s="10"/>
    </row>
    <row r="968" spans="1:15" ht="15.6" x14ac:dyDescent="0.3">
      <c r="A968" s="72"/>
      <c r="B968" s="73" t="s">
        <v>16</v>
      </c>
      <c r="C968" s="23" t="s">
        <v>41</v>
      </c>
      <c r="D968" s="58" t="s">
        <v>42</v>
      </c>
      <c r="E968" s="23" t="s">
        <v>43</v>
      </c>
      <c r="F968" s="58" t="s">
        <v>44</v>
      </c>
      <c r="G968" s="23" t="s">
        <v>63</v>
      </c>
      <c r="H968" s="58" t="s">
        <v>32</v>
      </c>
      <c r="I968" s="14"/>
      <c r="J968" s="14"/>
      <c r="K968" s="14"/>
      <c r="L968" s="14"/>
      <c r="M968" s="15" t="s">
        <v>18</v>
      </c>
      <c r="N968" s="10"/>
      <c r="O968" s="10"/>
    </row>
    <row r="969" spans="1:15" ht="15.6" x14ac:dyDescent="0.3">
      <c r="A969" s="72"/>
      <c r="B969" s="73"/>
      <c r="C969" s="26" t="str">
        <f>VLOOKUP($A959,NotaIndividualPorAlunoRED,2,0)</f>
        <v/>
      </c>
      <c r="D969" s="26" t="str">
        <f>VLOOKUP($A959,NotaIndividualPorAlunoRED,3,0)</f>
        <v/>
      </c>
      <c r="E969" s="26" t="str">
        <f>VLOOKUP($A959,NotaIndividualPorAlunoRED,4,0)</f>
        <v/>
      </c>
      <c r="F969" s="26" t="str">
        <f>VLOOKUP($A959,NotaIndividualPorAlunoRED,5,0)</f>
        <v/>
      </c>
      <c r="G969" s="26" t="str">
        <f>VLOOKUP($A959,NotaIndividualPorAlunoRED,6,0)</f>
        <v/>
      </c>
      <c r="H969" s="21" t="str">
        <f>VLOOKUP($A959,NotaIndividualPorAlunoRED,7,0)</f>
        <v/>
      </c>
      <c r="I969" s="14"/>
      <c r="J969" s="14"/>
      <c r="K969" s="14"/>
      <c r="L969" s="14"/>
      <c r="M969" s="20" t="str">
        <f>VLOOKUP(A959,NOTAS!C:I,7,0)</f>
        <v/>
      </c>
      <c r="N969" s="10"/>
      <c r="O969" s="10"/>
    </row>
    <row r="970" spans="1:15" x14ac:dyDescent="0.3">
      <c r="A970" s="72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0"/>
      <c r="O970" s="10"/>
    </row>
    <row r="971" spans="1:15" x14ac:dyDescent="0.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</row>
    <row r="972" spans="1:15" x14ac:dyDescent="0.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</row>
    <row r="973" spans="1:15" x14ac:dyDescent="0.3">
      <c r="A973" s="58" t="s">
        <v>38</v>
      </c>
      <c r="B973" s="57" t="s">
        <v>35</v>
      </c>
      <c r="C973" s="57" t="s">
        <v>56</v>
      </c>
      <c r="D973" s="57" t="s">
        <v>57</v>
      </c>
      <c r="E973" s="57" t="s">
        <v>58</v>
      </c>
      <c r="F973" s="57" t="s">
        <v>59</v>
      </c>
      <c r="G973" s="57" t="s">
        <v>60</v>
      </c>
      <c r="H973" s="57" t="s">
        <v>36</v>
      </c>
      <c r="I973" s="57" t="s">
        <v>61</v>
      </c>
      <c r="J973" s="57" t="s">
        <v>34</v>
      </c>
      <c r="K973" s="57" t="s">
        <v>62</v>
      </c>
      <c r="L973" s="16" t="s">
        <v>33</v>
      </c>
      <c r="M973" s="57" t="s">
        <v>37</v>
      </c>
      <c r="N973" s="10"/>
      <c r="O973" s="10"/>
    </row>
    <row r="974" spans="1:15" ht="15.6" x14ac:dyDescent="0.3">
      <c r="A974" s="58" t="str" cm="1">
        <f t="array" ref="A974">IF(ISERROR(INDEX(ListaDeAlunos,(((ROW()-2)/17)+1),(COLUMN()+1))),"",INDEX(ListaDeAlunos,(((ROW()-2)/17)+1),(COLUMN()+1)))</f>
        <v/>
      </c>
      <c r="B974" s="17" t="str">
        <f>VLOOKUP($A974,NotaIndividualPorAlunoPROVAO,2,0)</f>
        <v/>
      </c>
      <c r="C974" s="18" t="str">
        <f>VLOOKUP($A974,NotaIndividualPorAlunoPROVAO,3,0)</f>
        <v/>
      </c>
      <c r="D974" s="17" t="str">
        <f>VLOOKUP($A974,NotaIndividualPorAlunoPROVAO,4,0)</f>
        <v/>
      </c>
      <c r="E974" s="18" t="str">
        <f>VLOOKUP($A974,NotaIndividualPorAlunoPROVAO,5,0)</f>
        <v/>
      </c>
      <c r="F974" s="17" t="str">
        <f>VLOOKUP($A974,NotaIndividualPorAlunoPROVAO,6,0)</f>
        <v/>
      </c>
      <c r="G974" s="18" t="str">
        <f>VLOOKUP($A974,NotaIndividualPorAlunoPROVAO,7,0)</f>
        <v/>
      </c>
      <c r="H974" s="17" t="str">
        <f>VLOOKUP($A974,NotaIndividualPorAlunoPROVAO,8,0)</f>
        <v/>
      </c>
      <c r="I974" s="18" t="str">
        <f>VLOOKUP($A974,NotaIndividualPorAlunoPROVAO,9,0)</f>
        <v/>
      </c>
      <c r="J974" s="17" t="str">
        <f>VLOOKUP($A974,NotaIndividualPorAlunoPROVAO,10,0)</f>
        <v/>
      </c>
      <c r="K974" s="18" t="str">
        <f>VLOOKUP($A974,NotaIndividualPorAlunoPROVAO,11,0)</f>
        <v/>
      </c>
      <c r="L974" s="15" t="str">
        <f>VLOOKUP($A974,NotaIndividualPorAlunoPROVAO,12,0)</f>
        <v/>
      </c>
      <c r="M974" s="25" t="str">
        <f>VLOOKUP($A974,NotaIndividualPorAlunoPROVAO,13,0)</f>
        <v/>
      </c>
      <c r="N974" s="10"/>
      <c r="O974" s="10"/>
    </row>
    <row r="975" spans="1:15" x14ac:dyDescent="0.3">
      <c r="N975" s="10"/>
      <c r="O975" s="10"/>
    </row>
    <row r="976" spans="1:15" x14ac:dyDescent="0.3">
      <c r="A976" s="72" t="str">
        <f>A974</f>
        <v/>
      </c>
      <c r="B976" s="73" t="s">
        <v>15</v>
      </c>
      <c r="C976" s="57" t="s">
        <v>2</v>
      </c>
      <c r="D976" s="57" t="s">
        <v>3</v>
      </c>
      <c r="E976" s="57" t="s">
        <v>4</v>
      </c>
      <c r="F976" s="57" t="s">
        <v>5</v>
      </c>
      <c r="G976" s="57" t="s">
        <v>6</v>
      </c>
      <c r="H976" s="57" t="s">
        <v>7</v>
      </c>
      <c r="I976" s="57" t="s">
        <v>8</v>
      </c>
      <c r="J976" s="57" t="s">
        <v>9</v>
      </c>
      <c r="K976" s="57" t="s">
        <v>10</v>
      </c>
      <c r="L976" s="57" t="s">
        <v>11</v>
      </c>
      <c r="M976" s="57" t="s">
        <v>13</v>
      </c>
      <c r="N976" s="10"/>
      <c r="O976" s="10"/>
    </row>
    <row r="977" spans="1:15" ht="15.6" x14ac:dyDescent="0.3">
      <c r="A977" s="72"/>
      <c r="B977" s="73"/>
      <c r="C977" s="5" t="str">
        <f t="shared" ref="C977:L977" si="171">VLOOKUP($A976,NotaIndividualPorAlunoMAT,RIGHT(C976,2)+1,0)</f>
        <v/>
      </c>
      <c r="D977" s="5" t="str">
        <f t="shared" si="171"/>
        <v/>
      </c>
      <c r="E977" s="5" t="str">
        <f t="shared" si="171"/>
        <v/>
      </c>
      <c r="F977" s="5" t="str">
        <f t="shared" si="171"/>
        <v/>
      </c>
      <c r="G977" s="5" t="str">
        <f t="shared" si="171"/>
        <v/>
      </c>
      <c r="H977" s="5" t="str">
        <f t="shared" si="171"/>
        <v/>
      </c>
      <c r="I977" s="5" t="str">
        <f t="shared" si="171"/>
        <v/>
      </c>
      <c r="J977" s="5" t="str">
        <f t="shared" si="171"/>
        <v/>
      </c>
      <c r="K977" s="5" t="str">
        <f t="shared" si="171"/>
        <v/>
      </c>
      <c r="L977" s="5" t="str">
        <f t="shared" si="171"/>
        <v/>
      </c>
      <c r="M977" s="19" t="str">
        <f>VLOOKUP($A976,NotaIndividualPorAlunoMAT,RIGHT(L976,2)+2,0)</f>
        <v/>
      </c>
      <c r="N977" s="10"/>
      <c r="O977" s="10"/>
    </row>
    <row r="978" spans="1:15" x14ac:dyDescent="0.3">
      <c r="A978" s="72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0"/>
      <c r="O978" s="10"/>
    </row>
    <row r="979" spans="1:15" x14ac:dyDescent="0.3">
      <c r="A979" s="72"/>
      <c r="B979" s="73" t="s">
        <v>14</v>
      </c>
      <c r="C979" s="57" t="s">
        <v>46</v>
      </c>
      <c r="D979" s="57" t="s">
        <v>47</v>
      </c>
      <c r="E979" s="57" t="s">
        <v>48</v>
      </c>
      <c r="F979" s="57" t="s">
        <v>49</v>
      </c>
      <c r="G979" s="57" t="s">
        <v>50</v>
      </c>
      <c r="H979" s="57" t="s">
        <v>51</v>
      </c>
      <c r="I979" s="57" t="s">
        <v>52</v>
      </c>
      <c r="J979" s="57" t="s">
        <v>53</v>
      </c>
      <c r="K979" s="57" t="s">
        <v>54</v>
      </c>
      <c r="L979" s="57" t="s">
        <v>55</v>
      </c>
      <c r="M979" s="57" t="s">
        <v>13</v>
      </c>
      <c r="N979" s="10"/>
      <c r="O979" s="10"/>
    </row>
    <row r="980" spans="1:15" ht="15.6" x14ac:dyDescent="0.3">
      <c r="A980" s="72"/>
      <c r="B980" s="73"/>
      <c r="C980" s="3" t="str">
        <f t="shared" ref="C980:L980" si="172">VLOOKUP($A976,NotaIndividualPorAlunoQUI,RIGHT(C979,2)-9,0)</f>
        <v/>
      </c>
      <c r="D980" s="3" t="str">
        <f t="shared" si="172"/>
        <v/>
      </c>
      <c r="E980" s="3" t="str">
        <f t="shared" si="172"/>
        <v/>
      </c>
      <c r="F980" s="3" t="str">
        <f t="shared" si="172"/>
        <v/>
      </c>
      <c r="G980" s="3" t="str">
        <f t="shared" si="172"/>
        <v/>
      </c>
      <c r="H980" s="3" t="str">
        <f t="shared" si="172"/>
        <v/>
      </c>
      <c r="I980" s="3" t="str">
        <f t="shared" si="172"/>
        <v/>
      </c>
      <c r="J980" s="3" t="str">
        <f t="shared" si="172"/>
        <v/>
      </c>
      <c r="K980" s="3" t="str">
        <f t="shared" si="172"/>
        <v/>
      </c>
      <c r="L980" s="3" t="str">
        <f t="shared" si="172"/>
        <v/>
      </c>
      <c r="M980" s="19" t="str">
        <f>VLOOKUP($A976,NotaIndividualPorAlunoQUI,RIGHT(L979,2)-8,0)</f>
        <v/>
      </c>
      <c r="N980" s="10"/>
      <c r="O980" s="10"/>
    </row>
    <row r="981" spans="1:15" x14ac:dyDescent="0.3">
      <c r="A981" s="72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0"/>
      <c r="O981" s="10"/>
    </row>
    <row r="982" spans="1:15" x14ac:dyDescent="0.3">
      <c r="A982" s="72"/>
      <c r="B982" s="73" t="s">
        <v>12</v>
      </c>
      <c r="C982" s="57" t="s">
        <v>2</v>
      </c>
      <c r="D982" s="57" t="s">
        <v>3</v>
      </c>
      <c r="E982" s="57" t="s">
        <v>4</v>
      </c>
      <c r="F982" s="57" t="s">
        <v>5</v>
      </c>
      <c r="G982" s="57" t="s">
        <v>6</v>
      </c>
      <c r="H982" s="57" t="s">
        <v>7</v>
      </c>
      <c r="I982" s="57" t="s">
        <v>8</v>
      </c>
      <c r="J982" s="57" t="s">
        <v>9</v>
      </c>
      <c r="K982" s="57" t="s">
        <v>10</v>
      </c>
      <c r="L982" s="57" t="s">
        <v>11</v>
      </c>
      <c r="M982" s="57" t="s">
        <v>13</v>
      </c>
      <c r="N982" s="10"/>
      <c r="O982" s="10"/>
    </row>
    <row r="983" spans="1:15" ht="15.6" x14ac:dyDescent="0.3">
      <c r="A983" s="72"/>
      <c r="B983" s="73"/>
      <c r="C983" s="3" t="str">
        <f t="shared" ref="C983:L983" si="173">VLOOKUP($A976,NotaIndividualPorAlunoFIS,RIGHT(C982,2)+1,0)</f>
        <v/>
      </c>
      <c r="D983" s="3" t="str">
        <f t="shared" si="173"/>
        <v/>
      </c>
      <c r="E983" s="3" t="str">
        <f t="shared" si="173"/>
        <v/>
      </c>
      <c r="F983" s="3" t="str">
        <f t="shared" si="173"/>
        <v/>
      </c>
      <c r="G983" s="3" t="str">
        <f t="shared" si="173"/>
        <v/>
      </c>
      <c r="H983" s="3" t="str">
        <f t="shared" si="173"/>
        <v/>
      </c>
      <c r="I983" s="3" t="str">
        <f t="shared" si="173"/>
        <v/>
      </c>
      <c r="J983" s="3" t="str">
        <f t="shared" si="173"/>
        <v/>
      </c>
      <c r="K983" s="3" t="str">
        <f t="shared" si="173"/>
        <v/>
      </c>
      <c r="L983" s="3" t="str">
        <f t="shared" si="173"/>
        <v/>
      </c>
      <c r="M983" s="19" t="str">
        <f>VLOOKUP($A976,NotaIndividualPorAlunoFIS,RIGHT(L982,2)+2,0)</f>
        <v/>
      </c>
      <c r="N983" s="10"/>
      <c r="O983" s="10"/>
    </row>
    <row r="984" spans="1:15" ht="15.6" x14ac:dyDescent="0.3">
      <c r="A984" s="72"/>
      <c r="B984" s="12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0"/>
      <c r="O984" s="10"/>
    </row>
    <row r="985" spans="1:15" ht="15.6" x14ac:dyDescent="0.3">
      <c r="A985" s="72"/>
      <c r="B985" s="73" t="s">
        <v>16</v>
      </c>
      <c r="C985" s="23" t="s">
        <v>41</v>
      </c>
      <c r="D985" s="58" t="s">
        <v>42</v>
      </c>
      <c r="E985" s="23" t="s">
        <v>43</v>
      </c>
      <c r="F985" s="58" t="s">
        <v>44</v>
      </c>
      <c r="G985" s="23" t="s">
        <v>63</v>
      </c>
      <c r="H985" s="58" t="s">
        <v>32</v>
      </c>
      <c r="I985" s="14"/>
      <c r="J985" s="14"/>
      <c r="K985" s="14"/>
      <c r="L985" s="14"/>
      <c r="M985" s="15" t="s">
        <v>18</v>
      </c>
      <c r="N985" s="10"/>
      <c r="O985" s="10"/>
    </row>
    <row r="986" spans="1:15" ht="15.6" x14ac:dyDescent="0.3">
      <c r="A986" s="72"/>
      <c r="B986" s="73"/>
      <c r="C986" s="26" t="str">
        <f>VLOOKUP($A976,NotaIndividualPorAlunoRED,2,0)</f>
        <v/>
      </c>
      <c r="D986" s="26" t="str">
        <f>VLOOKUP($A976,NotaIndividualPorAlunoRED,3,0)</f>
        <v/>
      </c>
      <c r="E986" s="26" t="str">
        <f>VLOOKUP($A976,NotaIndividualPorAlunoRED,4,0)</f>
        <v/>
      </c>
      <c r="F986" s="26" t="str">
        <f>VLOOKUP($A976,NotaIndividualPorAlunoRED,5,0)</f>
        <v/>
      </c>
      <c r="G986" s="26" t="str">
        <f>VLOOKUP($A976,NotaIndividualPorAlunoRED,6,0)</f>
        <v/>
      </c>
      <c r="H986" s="21" t="str">
        <f>VLOOKUP($A976,NotaIndividualPorAlunoRED,7,0)</f>
        <v/>
      </c>
      <c r="I986" s="14"/>
      <c r="J986" s="14"/>
      <c r="K986" s="14"/>
      <c r="L986" s="14"/>
      <c r="M986" s="20" t="str">
        <f>VLOOKUP(A976,NOTAS!C:I,7,0)</f>
        <v/>
      </c>
      <c r="N986" s="10"/>
      <c r="O986" s="10"/>
    </row>
    <row r="987" spans="1:15" x14ac:dyDescent="0.3">
      <c r="A987" s="72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0"/>
      <c r="O987" s="10"/>
    </row>
    <row r="988" spans="1:15" x14ac:dyDescent="0.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</row>
    <row r="989" spans="1:15" x14ac:dyDescent="0.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</row>
    <row r="990" spans="1:15" x14ac:dyDescent="0.3">
      <c r="A990" s="58" t="s">
        <v>38</v>
      </c>
      <c r="B990" s="57" t="s">
        <v>35</v>
      </c>
      <c r="C990" s="57" t="s">
        <v>56</v>
      </c>
      <c r="D990" s="57" t="s">
        <v>57</v>
      </c>
      <c r="E990" s="57" t="s">
        <v>58</v>
      </c>
      <c r="F990" s="57" t="s">
        <v>59</v>
      </c>
      <c r="G990" s="57" t="s">
        <v>60</v>
      </c>
      <c r="H990" s="57" t="s">
        <v>36</v>
      </c>
      <c r="I990" s="57" t="s">
        <v>61</v>
      </c>
      <c r="J990" s="57" t="s">
        <v>34</v>
      </c>
      <c r="K990" s="57" t="s">
        <v>62</v>
      </c>
      <c r="L990" s="16" t="s">
        <v>33</v>
      </c>
      <c r="M990" s="57" t="s">
        <v>37</v>
      </c>
      <c r="N990" s="10"/>
      <c r="O990" s="10"/>
    </row>
    <row r="991" spans="1:15" ht="15.6" x14ac:dyDescent="0.3">
      <c r="A991" s="58" t="str" cm="1">
        <f t="array" ref="A991">IF(ISERROR(INDEX(ListaDeAlunos,(((ROW()-2)/17)+1),(COLUMN()+1))),"",INDEX(ListaDeAlunos,(((ROW()-2)/17)+1),(COLUMN()+1)))</f>
        <v/>
      </c>
      <c r="B991" s="17" t="str">
        <f>VLOOKUP($A991,NotaIndividualPorAlunoPROVAO,2,0)</f>
        <v/>
      </c>
      <c r="C991" s="18" t="str">
        <f>VLOOKUP($A991,NotaIndividualPorAlunoPROVAO,3,0)</f>
        <v/>
      </c>
      <c r="D991" s="17" t="str">
        <f>VLOOKUP($A991,NotaIndividualPorAlunoPROVAO,4,0)</f>
        <v/>
      </c>
      <c r="E991" s="18" t="str">
        <f>VLOOKUP($A991,NotaIndividualPorAlunoPROVAO,5,0)</f>
        <v/>
      </c>
      <c r="F991" s="17" t="str">
        <f>VLOOKUP($A991,NotaIndividualPorAlunoPROVAO,6,0)</f>
        <v/>
      </c>
      <c r="G991" s="18" t="str">
        <f>VLOOKUP($A991,NotaIndividualPorAlunoPROVAO,7,0)</f>
        <v/>
      </c>
      <c r="H991" s="17" t="str">
        <f>VLOOKUP($A991,NotaIndividualPorAlunoPROVAO,8,0)</f>
        <v/>
      </c>
      <c r="I991" s="18" t="str">
        <f>VLOOKUP($A991,NotaIndividualPorAlunoPROVAO,9,0)</f>
        <v/>
      </c>
      <c r="J991" s="17" t="str">
        <f>VLOOKUP($A991,NotaIndividualPorAlunoPROVAO,10,0)</f>
        <v/>
      </c>
      <c r="K991" s="18" t="str">
        <f>VLOOKUP($A991,NotaIndividualPorAlunoPROVAO,11,0)</f>
        <v/>
      </c>
      <c r="L991" s="15" t="str">
        <f>VLOOKUP($A991,NotaIndividualPorAlunoPROVAO,12,0)</f>
        <v/>
      </c>
      <c r="M991" s="25" t="str">
        <f>VLOOKUP($A991,NotaIndividualPorAlunoPROVAO,13,0)</f>
        <v/>
      </c>
      <c r="N991" s="10"/>
      <c r="O991" s="10"/>
    </row>
    <row r="992" spans="1:15" x14ac:dyDescent="0.3">
      <c r="N992" s="10"/>
      <c r="O992" s="10"/>
    </row>
    <row r="993" spans="1:15" x14ac:dyDescent="0.3">
      <c r="A993" s="72" t="str">
        <f>A991</f>
        <v/>
      </c>
      <c r="B993" s="73" t="s">
        <v>15</v>
      </c>
      <c r="C993" s="57" t="s">
        <v>2</v>
      </c>
      <c r="D993" s="57" t="s">
        <v>3</v>
      </c>
      <c r="E993" s="57" t="s">
        <v>4</v>
      </c>
      <c r="F993" s="57" t="s">
        <v>5</v>
      </c>
      <c r="G993" s="57" t="s">
        <v>6</v>
      </c>
      <c r="H993" s="57" t="s">
        <v>7</v>
      </c>
      <c r="I993" s="57" t="s">
        <v>8</v>
      </c>
      <c r="J993" s="57" t="s">
        <v>9</v>
      </c>
      <c r="K993" s="57" t="s">
        <v>10</v>
      </c>
      <c r="L993" s="57" t="s">
        <v>11</v>
      </c>
      <c r="M993" s="57" t="s">
        <v>13</v>
      </c>
      <c r="N993" s="10"/>
      <c r="O993" s="10"/>
    </row>
    <row r="994" spans="1:15" ht="15.6" x14ac:dyDescent="0.3">
      <c r="A994" s="72"/>
      <c r="B994" s="73"/>
      <c r="C994" s="5" t="str">
        <f t="shared" ref="C994:L994" si="174">VLOOKUP($A993,NotaIndividualPorAlunoMAT,RIGHT(C993,2)+1,0)</f>
        <v/>
      </c>
      <c r="D994" s="5" t="str">
        <f t="shared" si="174"/>
        <v/>
      </c>
      <c r="E994" s="5" t="str">
        <f t="shared" si="174"/>
        <v/>
      </c>
      <c r="F994" s="5" t="str">
        <f t="shared" si="174"/>
        <v/>
      </c>
      <c r="G994" s="5" t="str">
        <f t="shared" si="174"/>
        <v/>
      </c>
      <c r="H994" s="5" t="str">
        <f t="shared" si="174"/>
        <v/>
      </c>
      <c r="I994" s="5" t="str">
        <f t="shared" si="174"/>
        <v/>
      </c>
      <c r="J994" s="5" t="str">
        <f t="shared" si="174"/>
        <v/>
      </c>
      <c r="K994" s="5" t="str">
        <f t="shared" si="174"/>
        <v/>
      </c>
      <c r="L994" s="5" t="str">
        <f t="shared" si="174"/>
        <v/>
      </c>
      <c r="M994" s="19" t="str">
        <f>VLOOKUP($A993,NotaIndividualPorAlunoMAT,RIGHT(L993,2)+2,0)</f>
        <v/>
      </c>
      <c r="N994" s="10"/>
      <c r="O994" s="10"/>
    </row>
    <row r="995" spans="1:15" x14ac:dyDescent="0.3">
      <c r="A995" s="72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0"/>
      <c r="O995" s="10"/>
    </row>
    <row r="996" spans="1:15" x14ac:dyDescent="0.3">
      <c r="A996" s="72"/>
      <c r="B996" s="73" t="s">
        <v>14</v>
      </c>
      <c r="C996" s="57" t="s">
        <v>46</v>
      </c>
      <c r="D996" s="57" t="s">
        <v>47</v>
      </c>
      <c r="E996" s="57" t="s">
        <v>48</v>
      </c>
      <c r="F996" s="57" t="s">
        <v>49</v>
      </c>
      <c r="G996" s="57" t="s">
        <v>50</v>
      </c>
      <c r="H996" s="57" t="s">
        <v>51</v>
      </c>
      <c r="I996" s="57" t="s">
        <v>52</v>
      </c>
      <c r="J996" s="57" t="s">
        <v>53</v>
      </c>
      <c r="K996" s="57" t="s">
        <v>54</v>
      </c>
      <c r="L996" s="57" t="s">
        <v>55</v>
      </c>
      <c r="M996" s="57" t="s">
        <v>13</v>
      </c>
      <c r="N996" s="10"/>
      <c r="O996" s="10"/>
    </row>
    <row r="997" spans="1:15" ht="15.6" x14ac:dyDescent="0.3">
      <c r="A997" s="72"/>
      <c r="B997" s="73"/>
      <c r="C997" s="3" t="str">
        <f t="shared" ref="C997:L997" si="175">VLOOKUP($A993,NotaIndividualPorAlunoQUI,RIGHT(C996,2)-9,0)</f>
        <v/>
      </c>
      <c r="D997" s="3" t="str">
        <f t="shared" si="175"/>
        <v/>
      </c>
      <c r="E997" s="3" t="str">
        <f t="shared" si="175"/>
        <v/>
      </c>
      <c r="F997" s="3" t="str">
        <f t="shared" si="175"/>
        <v/>
      </c>
      <c r="G997" s="3" t="str">
        <f t="shared" si="175"/>
        <v/>
      </c>
      <c r="H997" s="3" t="str">
        <f t="shared" si="175"/>
        <v/>
      </c>
      <c r="I997" s="3" t="str">
        <f t="shared" si="175"/>
        <v/>
      </c>
      <c r="J997" s="3" t="str">
        <f t="shared" si="175"/>
        <v/>
      </c>
      <c r="K997" s="3" t="str">
        <f t="shared" si="175"/>
        <v/>
      </c>
      <c r="L997" s="3" t="str">
        <f t="shared" si="175"/>
        <v/>
      </c>
      <c r="M997" s="19" t="str">
        <f>VLOOKUP($A993,NotaIndividualPorAlunoQUI,RIGHT(L996,2)-8,0)</f>
        <v/>
      </c>
      <c r="N997" s="10"/>
      <c r="O997" s="10"/>
    </row>
    <row r="998" spans="1:15" x14ac:dyDescent="0.3">
      <c r="A998" s="72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0"/>
      <c r="O998" s="10"/>
    </row>
    <row r="999" spans="1:15" x14ac:dyDescent="0.3">
      <c r="A999" s="72"/>
      <c r="B999" s="73" t="s">
        <v>12</v>
      </c>
      <c r="C999" s="57" t="s">
        <v>2</v>
      </c>
      <c r="D999" s="57" t="s">
        <v>3</v>
      </c>
      <c r="E999" s="57" t="s">
        <v>4</v>
      </c>
      <c r="F999" s="57" t="s">
        <v>5</v>
      </c>
      <c r="G999" s="57" t="s">
        <v>6</v>
      </c>
      <c r="H999" s="57" t="s">
        <v>7</v>
      </c>
      <c r="I999" s="57" t="s">
        <v>8</v>
      </c>
      <c r="J999" s="57" t="s">
        <v>9</v>
      </c>
      <c r="K999" s="57" t="s">
        <v>10</v>
      </c>
      <c r="L999" s="57" t="s">
        <v>11</v>
      </c>
      <c r="M999" s="57" t="s">
        <v>13</v>
      </c>
      <c r="N999" s="10"/>
      <c r="O999" s="10"/>
    </row>
    <row r="1000" spans="1:15" ht="15.6" x14ac:dyDescent="0.3">
      <c r="A1000" s="72"/>
      <c r="B1000" s="73"/>
      <c r="C1000" s="3" t="str">
        <f t="shared" ref="C1000:L1000" si="176">VLOOKUP($A993,NotaIndividualPorAlunoFIS,RIGHT(C999,2)+1,0)</f>
        <v/>
      </c>
      <c r="D1000" s="3" t="str">
        <f t="shared" si="176"/>
        <v/>
      </c>
      <c r="E1000" s="3" t="str">
        <f t="shared" si="176"/>
        <v/>
      </c>
      <c r="F1000" s="3" t="str">
        <f t="shared" si="176"/>
        <v/>
      </c>
      <c r="G1000" s="3" t="str">
        <f t="shared" si="176"/>
        <v/>
      </c>
      <c r="H1000" s="3" t="str">
        <f t="shared" si="176"/>
        <v/>
      </c>
      <c r="I1000" s="3" t="str">
        <f t="shared" si="176"/>
        <v/>
      </c>
      <c r="J1000" s="3" t="str">
        <f t="shared" si="176"/>
        <v/>
      </c>
      <c r="K1000" s="3" t="str">
        <f t="shared" si="176"/>
        <v/>
      </c>
      <c r="L1000" s="3" t="str">
        <f t="shared" si="176"/>
        <v/>
      </c>
      <c r="M1000" s="19" t="str">
        <f>VLOOKUP($A993,NotaIndividualPorAlunoFIS,RIGHT(L999,2)+2,0)</f>
        <v/>
      </c>
      <c r="N1000" s="10"/>
      <c r="O1000" s="10"/>
    </row>
    <row r="1001" spans="1:15" ht="15.6" x14ac:dyDescent="0.3">
      <c r="A1001" s="72"/>
      <c r="B1001" s="12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0"/>
      <c r="O1001" s="10"/>
    </row>
    <row r="1002" spans="1:15" ht="15.6" x14ac:dyDescent="0.3">
      <c r="A1002" s="72"/>
      <c r="B1002" s="73" t="s">
        <v>16</v>
      </c>
      <c r="C1002" s="23" t="s">
        <v>41</v>
      </c>
      <c r="D1002" s="58" t="s">
        <v>42</v>
      </c>
      <c r="E1002" s="23" t="s">
        <v>43</v>
      </c>
      <c r="F1002" s="58" t="s">
        <v>44</v>
      </c>
      <c r="G1002" s="23" t="s">
        <v>63</v>
      </c>
      <c r="H1002" s="58" t="s">
        <v>32</v>
      </c>
      <c r="I1002" s="14"/>
      <c r="J1002" s="14"/>
      <c r="K1002" s="14"/>
      <c r="L1002" s="14"/>
      <c r="M1002" s="15" t="s">
        <v>18</v>
      </c>
      <c r="N1002" s="10"/>
      <c r="O1002" s="10"/>
    </row>
    <row r="1003" spans="1:15" ht="15.6" x14ac:dyDescent="0.3">
      <c r="A1003" s="72"/>
      <c r="B1003" s="73"/>
      <c r="C1003" s="26" t="str">
        <f>VLOOKUP($A993,NotaIndividualPorAlunoRED,2,0)</f>
        <v/>
      </c>
      <c r="D1003" s="26" t="str">
        <f>VLOOKUP($A993,NotaIndividualPorAlunoRED,3,0)</f>
        <v/>
      </c>
      <c r="E1003" s="26" t="str">
        <f>VLOOKUP($A993,NotaIndividualPorAlunoRED,4,0)</f>
        <v/>
      </c>
      <c r="F1003" s="26" t="str">
        <f>VLOOKUP($A993,NotaIndividualPorAlunoRED,5,0)</f>
        <v/>
      </c>
      <c r="G1003" s="26" t="str">
        <f>VLOOKUP($A993,NotaIndividualPorAlunoRED,6,0)</f>
        <v/>
      </c>
      <c r="H1003" s="21" t="str">
        <f>VLOOKUP($A993,NotaIndividualPorAlunoRED,7,0)</f>
        <v/>
      </c>
      <c r="I1003" s="14"/>
      <c r="J1003" s="14"/>
      <c r="K1003" s="14"/>
      <c r="L1003" s="14"/>
      <c r="M1003" s="20" t="str">
        <f>VLOOKUP(A993,NOTAS!C:I,7,0)</f>
        <v/>
      </c>
      <c r="N1003" s="10"/>
      <c r="O1003" s="10"/>
    </row>
    <row r="1004" spans="1:15" x14ac:dyDescent="0.3">
      <c r="A1004" s="72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0"/>
      <c r="O1004" s="10"/>
    </row>
    <row r="1005" spans="1:15" x14ac:dyDescent="0.3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</row>
    <row r="1006" spans="1:15" x14ac:dyDescent="0.3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</row>
    <row r="1007" spans="1:15" x14ac:dyDescent="0.3">
      <c r="A1007" s="58" t="s">
        <v>38</v>
      </c>
      <c r="B1007" s="57" t="s">
        <v>35</v>
      </c>
      <c r="C1007" s="57" t="s">
        <v>56</v>
      </c>
      <c r="D1007" s="57" t="s">
        <v>57</v>
      </c>
      <c r="E1007" s="57" t="s">
        <v>58</v>
      </c>
      <c r="F1007" s="57" t="s">
        <v>59</v>
      </c>
      <c r="G1007" s="57" t="s">
        <v>60</v>
      </c>
      <c r="H1007" s="57" t="s">
        <v>36</v>
      </c>
      <c r="I1007" s="57" t="s">
        <v>61</v>
      </c>
      <c r="J1007" s="57" t="s">
        <v>34</v>
      </c>
      <c r="K1007" s="57" t="s">
        <v>62</v>
      </c>
      <c r="L1007" s="16" t="s">
        <v>33</v>
      </c>
      <c r="M1007" s="57" t="s">
        <v>37</v>
      </c>
      <c r="N1007" s="10"/>
      <c r="O1007" s="10"/>
    </row>
    <row r="1008" spans="1:15" ht="15.6" x14ac:dyDescent="0.3">
      <c r="A1008" s="58" t="str" cm="1">
        <f t="array" ref="A1008">IF(ISERROR(INDEX(ListaDeAlunos,(((ROW()-2)/17)+1),(COLUMN()+1))),"",INDEX(ListaDeAlunos,(((ROW()-2)/17)+1),(COLUMN()+1)))</f>
        <v/>
      </c>
      <c r="B1008" s="17" t="str">
        <f>VLOOKUP($A1008,NotaIndividualPorAlunoPROVAO,2,0)</f>
        <v/>
      </c>
      <c r="C1008" s="18" t="str">
        <f>VLOOKUP($A1008,NotaIndividualPorAlunoPROVAO,3,0)</f>
        <v/>
      </c>
      <c r="D1008" s="17" t="str">
        <f>VLOOKUP($A1008,NotaIndividualPorAlunoPROVAO,4,0)</f>
        <v/>
      </c>
      <c r="E1008" s="18" t="str">
        <f>VLOOKUP($A1008,NotaIndividualPorAlunoPROVAO,5,0)</f>
        <v/>
      </c>
      <c r="F1008" s="17" t="str">
        <f>VLOOKUP($A1008,NotaIndividualPorAlunoPROVAO,6,0)</f>
        <v/>
      </c>
      <c r="G1008" s="18" t="str">
        <f>VLOOKUP($A1008,NotaIndividualPorAlunoPROVAO,7,0)</f>
        <v/>
      </c>
      <c r="H1008" s="17" t="str">
        <f>VLOOKUP($A1008,NotaIndividualPorAlunoPROVAO,8,0)</f>
        <v/>
      </c>
      <c r="I1008" s="18" t="str">
        <f>VLOOKUP($A1008,NotaIndividualPorAlunoPROVAO,9,0)</f>
        <v/>
      </c>
      <c r="J1008" s="17" t="str">
        <f>VLOOKUP($A1008,NotaIndividualPorAlunoPROVAO,10,0)</f>
        <v/>
      </c>
      <c r="K1008" s="18" t="str">
        <f>VLOOKUP($A1008,NotaIndividualPorAlunoPROVAO,11,0)</f>
        <v/>
      </c>
      <c r="L1008" s="15" t="str">
        <f>VLOOKUP($A1008,NotaIndividualPorAlunoPROVAO,12,0)</f>
        <v/>
      </c>
      <c r="M1008" s="25" t="str">
        <f>VLOOKUP($A1008,NotaIndividualPorAlunoPROVAO,13,0)</f>
        <v/>
      </c>
      <c r="N1008" s="10"/>
      <c r="O1008" s="10"/>
    </row>
    <row r="1009" spans="1:15" x14ac:dyDescent="0.3">
      <c r="N1009" s="10"/>
      <c r="O1009" s="10"/>
    </row>
    <row r="1010" spans="1:15" x14ac:dyDescent="0.3">
      <c r="A1010" s="72" t="str">
        <f>A1008</f>
        <v/>
      </c>
      <c r="B1010" s="73" t="s">
        <v>15</v>
      </c>
      <c r="C1010" s="57" t="s">
        <v>2</v>
      </c>
      <c r="D1010" s="57" t="s">
        <v>3</v>
      </c>
      <c r="E1010" s="57" t="s">
        <v>4</v>
      </c>
      <c r="F1010" s="57" t="s">
        <v>5</v>
      </c>
      <c r="G1010" s="57" t="s">
        <v>6</v>
      </c>
      <c r="H1010" s="57" t="s">
        <v>7</v>
      </c>
      <c r="I1010" s="57" t="s">
        <v>8</v>
      </c>
      <c r="J1010" s="57" t="s">
        <v>9</v>
      </c>
      <c r="K1010" s="57" t="s">
        <v>10</v>
      </c>
      <c r="L1010" s="57" t="s">
        <v>11</v>
      </c>
      <c r="M1010" s="57" t="s">
        <v>13</v>
      </c>
      <c r="N1010" s="10"/>
      <c r="O1010" s="10"/>
    </row>
    <row r="1011" spans="1:15" ht="15.6" x14ac:dyDescent="0.3">
      <c r="A1011" s="72"/>
      <c r="B1011" s="73"/>
      <c r="C1011" s="5" t="str">
        <f t="shared" ref="C1011:L1011" si="177">VLOOKUP($A1010,NotaIndividualPorAlunoMAT,RIGHT(C1010,2)+1,0)</f>
        <v/>
      </c>
      <c r="D1011" s="5" t="str">
        <f t="shared" si="177"/>
        <v/>
      </c>
      <c r="E1011" s="5" t="str">
        <f t="shared" si="177"/>
        <v/>
      </c>
      <c r="F1011" s="5" t="str">
        <f t="shared" si="177"/>
        <v/>
      </c>
      <c r="G1011" s="5" t="str">
        <f t="shared" si="177"/>
        <v/>
      </c>
      <c r="H1011" s="5" t="str">
        <f t="shared" si="177"/>
        <v/>
      </c>
      <c r="I1011" s="5" t="str">
        <f t="shared" si="177"/>
        <v/>
      </c>
      <c r="J1011" s="5" t="str">
        <f t="shared" si="177"/>
        <v/>
      </c>
      <c r="K1011" s="5" t="str">
        <f t="shared" si="177"/>
        <v/>
      </c>
      <c r="L1011" s="5" t="str">
        <f t="shared" si="177"/>
        <v/>
      </c>
      <c r="M1011" s="19" t="str">
        <f>VLOOKUP($A1010,NotaIndividualPorAlunoMAT,RIGHT(L1010,2)+2,0)</f>
        <v/>
      </c>
      <c r="N1011" s="10"/>
      <c r="O1011" s="10"/>
    </row>
    <row r="1012" spans="1:15" x14ac:dyDescent="0.3">
      <c r="A1012" s="72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0"/>
      <c r="O1012" s="10"/>
    </row>
    <row r="1013" spans="1:15" x14ac:dyDescent="0.3">
      <c r="A1013" s="72"/>
      <c r="B1013" s="73" t="s">
        <v>14</v>
      </c>
      <c r="C1013" s="57" t="s">
        <v>46</v>
      </c>
      <c r="D1013" s="57" t="s">
        <v>47</v>
      </c>
      <c r="E1013" s="57" t="s">
        <v>48</v>
      </c>
      <c r="F1013" s="57" t="s">
        <v>49</v>
      </c>
      <c r="G1013" s="57" t="s">
        <v>50</v>
      </c>
      <c r="H1013" s="57" t="s">
        <v>51</v>
      </c>
      <c r="I1013" s="57" t="s">
        <v>52</v>
      </c>
      <c r="J1013" s="57" t="s">
        <v>53</v>
      </c>
      <c r="K1013" s="57" t="s">
        <v>54</v>
      </c>
      <c r="L1013" s="57" t="s">
        <v>55</v>
      </c>
      <c r="M1013" s="57" t="s">
        <v>13</v>
      </c>
      <c r="N1013" s="10"/>
      <c r="O1013" s="10"/>
    </row>
    <row r="1014" spans="1:15" ht="15.6" x14ac:dyDescent="0.3">
      <c r="A1014" s="72"/>
      <c r="B1014" s="73"/>
      <c r="C1014" s="3" t="str">
        <f t="shared" ref="C1014:L1014" si="178">VLOOKUP($A1010,NotaIndividualPorAlunoQUI,RIGHT(C1013,2)-9,0)</f>
        <v/>
      </c>
      <c r="D1014" s="3" t="str">
        <f t="shared" si="178"/>
        <v/>
      </c>
      <c r="E1014" s="3" t="str">
        <f t="shared" si="178"/>
        <v/>
      </c>
      <c r="F1014" s="3" t="str">
        <f t="shared" si="178"/>
        <v/>
      </c>
      <c r="G1014" s="3" t="str">
        <f t="shared" si="178"/>
        <v/>
      </c>
      <c r="H1014" s="3" t="str">
        <f t="shared" si="178"/>
        <v/>
      </c>
      <c r="I1014" s="3" t="str">
        <f t="shared" si="178"/>
        <v/>
      </c>
      <c r="J1014" s="3" t="str">
        <f t="shared" si="178"/>
        <v/>
      </c>
      <c r="K1014" s="3" t="str">
        <f t="shared" si="178"/>
        <v/>
      </c>
      <c r="L1014" s="3" t="str">
        <f t="shared" si="178"/>
        <v/>
      </c>
      <c r="M1014" s="19" t="str">
        <f>VLOOKUP($A1010,NotaIndividualPorAlunoQUI,RIGHT(L1013,2)-8,0)</f>
        <v/>
      </c>
      <c r="N1014" s="10"/>
      <c r="O1014" s="10"/>
    </row>
    <row r="1015" spans="1:15" x14ac:dyDescent="0.3">
      <c r="A1015" s="72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0"/>
      <c r="O1015" s="10"/>
    </row>
    <row r="1016" spans="1:15" x14ac:dyDescent="0.3">
      <c r="A1016" s="72"/>
      <c r="B1016" s="73" t="s">
        <v>12</v>
      </c>
      <c r="C1016" s="57" t="s">
        <v>2</v>
      </c>
      <c r="D1016" s="57" t="s">
        <v>3</v>
      </c>
      <c r="E1016" s="57" t="s">
        <v>4</v>
      </c>
      <c r="F1016" s="57" t="s">
        <v>5</v>
      </c>
      <c r="G1016" s="57" t="s">
        <v>6</v>
      </c>
      <c r="H1016" s="57" t="s">
        <v>7</v>
      </c>
      <c r="I1016" s="57" t="s">
        <v>8</v>
      </c>
      <c r="J1016" s="57" t="s">
        <v>9</v>
      </c>
      <c r="K1016" s="57" t="s">
        <v>10</v>
      </c>
      <c r="L1016" s="57" t="s">
        <v>11</v>
      </c>
      <c r="M1016" s="57" t="s">
        <v>13</v>
      </c>
      <c r="N1016" s="10"/>
      <c r="O1016" s="10"/>
    </row>
    <row r="1017" spans="1:15" ht="15.6" x14ac:dyDescent="0.3">
      <c r="A1017" s="72"/>
      <c r="B1017" s="73"/>
      <c r="C1017" s="3" t="str">
        <f t="shared" ref="C1017:L1017" si="179">VLOOKUP($A1010,NotaIndividualPorAlunoFIS,RIGHT(C1016,2)+1,0)</f>
        <v/>
      </c>
      <c r="D1017" s="3" t="str">
        <f t="shared" si="179"/>
        <v/>
      </c>
      <c r="E1017" s="3" t="str">
        <f t="shared" si="179"/>
        <v/>
      </c>
      <c r="F1017" s="3" t="str">
        <f t="shared" si="179"/>
        <v/>
      </c>
      <c r="G1017" s="3" t="str">
        <f t="shared" si="179"/>
        <v/>
      </c>
      <c r="H1017" s="3" t="str">
        <f t="shared" si="179"/>
        <v/>
      </c>
      <c r="I1017" s="3" t="str">
        <f t="shared" si="179"/>
        <v/>
      </c>
      <c r="J1017" s="3" t="str">
        <f t="shared" si="179"/>
        <v/>
      </c>
      <c r="K1017" s="3" t="str">
        <f t="shared" si="179"/>
        <v/>
      </c>
      <c r="L1017" s="3" t="str">
        <f t="shared" si="179"/>
        <v/>
      </c>
      <c r="M1017" s="19" t="str">
        <f>VLOOKUP($A1010,NotaIndividualPorAlunoFIS,RIGHT(L1016,2)+2,0)</f>
        <v/>
      </c>
      <c r="N1017" s="10"/>
      <c r="O1017" s="10"/>
    </row>
    <row r="1018" spans="1:15" ht="15.6" x14ac:dyDescent="0.3">
      <c r="A1018" s="72"/>
      <c r="B1018" s="12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0"/>
      <c r="O1018" s="10"/>
    </row>
    <row r="1019" spans="1:15" ht="15.6" x14ac:dyDescent="0.3">
      <c r="A1019" s="72"/>
      <c r="B1019" s="73" t="s">
        <v>16</v>
      </c>
      <c r="C1019" s="23" t="s">
        <v>41</v>
      </c>
      <c r="D1019" s="58" t="s">
        <v>42</v>
      </c>
      <c r="E1019" s="23" t="s">
        <v>43</v>
      </c>
      <c r="F1019" s="58" t="s">
        <v>44</v>
      </c>
      <c r="G1019" s="23" t="s">
        <v>63</v>
      </c>
      <c r="H1019" s="58" t="s">
        <v>32</v>
      </c>
      <c r="I1019" s="14"/>
      <c r="J1019" s="14"/>
      <c r="K1019" s="14"/>
      <c r="L1019" s="14"/>
      <c r="M1019" s="15" t="s">
        <v>18</v>
      </c>
      <c r="N1019" s="10"/>
      <c r="O1019" s="10"/>
    </row>
    <row r="1020" spans="1:15" ht="15.6" x14ac:dyDescent="0.3">
      <c r="A1020" s="72"/>
      <c r="B1020" s="73"/>
      <c r="C1020" s="26" t="str">
        <f>VLOOKUP($A1010,NotaIndividualPorAlunoRED,2,0)</f>
        <v/>
      </c>
      <c r="D1020" s="26" t="str">
        <f>VLOOKUP($A1010,NotaIndividualPorAlunoRED,3,0)</f>
        <v/>
      </c>
      <c r="E1020" s="26" t="str">
        <f>VLOOKUP($A1010,NotaIndividualPorAlunoRED,4,0)</f>
        <v/>
      </c>
      <c r="F1020" s="26" t="str">
        <f>VLOOKUP($A1010,NotaIndividualPorAlunoRED,5,0)</f>
        <v/>
      </c>
      <c r="G1020" s="26" t="str">
        <f>VLOOKUP($A1010,NotaIndividualPorAlunoRED,6,0)</f>
        <v/>
      </c>
      <c r="H1020" s="21" t="str">
        <f>VLOOKUP($A1010,NotaIndividualPorAlunoRED,7,0)</f>
        <v/>
      </c>
      <c r="I1020" s="14"/>
      <c r="J1020" s="14"/>
      <c r="K1020" s="14"/>
      <c r="L1020" s="14"/>
      <c r="M1020" s="20" t="str">
        <f>VLOOKUP(A1010,NOTAS!C:I,7,0)</f>
        <v/>
      </c>
      <c r="N1020" s="10"/>
      <c r="O1020" s="10"/>
    </row>
    <row r="1021" spans="1:15" x14ac:dyDescent="0.3">
      <c r="A1021" s="72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0"/>
      <c r="O1021" s="10"/>
    </row>
    <row r="1022" spans="1:15" x14ac:dyDescent="0.3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</row>
    <row r="1023" spans="1:15" x14ac:dyDescent="0.3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</row>
    <row r="1024" spans="1:15" x14ac:dyDescent="0.3">
      <c r="A1024" s="58" t="s">
        <v>38</v>
      </c>
      <c r="B1024" s="57" t="s">
        <v>35</v>
      </c>
      <c r="C1024" s="57" t="s">
        <v>56</v>
      </c>
      <c r="D1024" s="57" t="s">
        <v>57</v>
      </c>
      <c r="E1024" s="57" t="s">
        <v>58</v>
      </c>
      <c r="F1024" s="57" t="s">
        <v>59</v>
      </c>
      <c r="G1024" s="57" t="s">
        <v>60</v>
      </c>
      <c r="H1024" s="57" t="s">
        <v>36</v>
      </c>
      <c r="I1024" s="57" t="s">
        <v>61</v>
      </c>
      <c r="J1024" s="57" t="s">
        <v>34</v>
      </c>
      <c r="K1024" s="57" t="s">
        <v>62</v>
      </c>
      <c r="L1024" s="16" t="s">
        <v>33</v>
      </c>
      <c r="M1024" s="57" t="s">
        <v>37</v>
      </c>
      <c r="N1024" s="10"/>
      <c r="O1024" s="10"/>
    </row>
    <row r="1025" spans="1:15" ht="15.6" x14ac:dyDescent="0.3">
      <c r="A1025" s="58" t="str" cm="1">
        <f t="array" ref="A1025">IF(ISERROR(INDEX(ListaDeAlunos,(((ROW()-2)/17)+1),(COLUMN()+1))),"",INDEX(ListaDeAlunos,(((ROW()-2)/17)+1),(COLUMN()+1)))</f>
        <v/>
      </c>
      <c r="B1025" s="17" t="str">
        <f>VLOOKUP($A1025,NotaIndividualPorAlunoPROVAO,2,0)</f>
        <v/>
      </c>
      <c r="C1025" s="18" t="str">
        <f>VLOOKUP($A1025,NotaIndividualPorAlunoPROVAO,3,0)</f>
        <v/>
      </c>
      <c r="D1025" s="17" t="str">
        <f>VLOOKUP($A1025,NotaIndividualPorAlunoPROVAO,4,0)</f>
        <v/>
      </c>
      <c r="E1025" s="18" t="str">
        <f>VLOOKUP($A1025,NotaIndividualPorAlunoPROVAO,5,0)</f>
        <v/>
      </c>
      <c r="F1025" s="17" t="str">
        <f>VLOOKUP($A1025,NotaIndividualPorAlunoPROVAO,6,0)</f>
        <v/>
      </c>
      <c r="G1025" s="18" t="str">
        <f>VLOOKUP($A1025,NotaIndividualPorAlunoPROVAO,7,0)</f>
        <v/>
      </c>
      <c r="H1025" s="17" t="str">
        <f>VLOOKUP($A1025,NotaIndividualPorAlunoPROVAO,8,0)</f>
        <v/>
      </c>
      <c r="I1025" s="18" t="str">
        <f>VLOOKUP($A1025,NotaIndividualPorAlunoPROVAO,9,0)</f>
        <v/>
      </c>
      <c r="J1025" s="17" t="str">
        <f>VLOOKUP($A1025,NotaIndividualPorAlunoPROVAO,10,0)</f>
        <v/>
      </c>
      <c r="K1025" s="18" t="str">
        <f>VLOOKUP($A1025,NotaIndividualPorAlunoPROVAO,11,0)</f>
        <v/>
      </c>
      <c r="L1025" s="15" t="str">
        <f>VLOOKUP($A1025,NotaIndividualPorAlunoPROVAO,12,0)</f>
        <v/>
      </c>
      <c r="M1025" s="25" t="str">
        <f>VLOOKUP($A1025,NotaIndividualPorAlunoPROVAO,13,0)</f>
        <v/>
      </c>
      <c r="N1025" s="10"/>
      <c r="O1025" s="10"/>
    </row>
    <row r="1026" spans="1:15" x14ac:dyDescent="0.3">
      <c r="N1026" s="10"/>
      <c r="O1026" s="10"/>
    </row>
    <row r="1027" spans="1:15" x14ac:dyDescent="0.3">
      <c r="A1027" s="72" t="str">
        <f>A1025</f>
        <v/>
      </c>
      <c r="B1027" s="73" t="s">
        <v>15</v>
      </c>
      <c r="C1027" s="57" t="s">
        <v>2</v>
      </c>
      <c r="D1027" s="57" t="s">
        <v>3</v>
      </c>
      <c r="E1027" s="57" t="s">
        <v>4</v>
      </c>
      <c r="F1027" s="57" t="s">
        <v>5</v>
      </c>
      <c r="G1027" s="57" t="s">
        <v>6</v>
      </c>
      <c r="H1027" s="57" t="s">
        <v>7</v>
      </c>
      <c r="I1027" s="57" t="s">
        <v>8</v>
      </c>
      <c r="J1027" s="57" t="s">
        <v>9</v>
      </c>
      <c r="K1027" s="57" t="s">
        <v>10</v>
      </c>
      <c r="L1027" s="57" t="s">
        <v>11</v>
      </c>
      <c r="M1027" s="57" t="s">
        <v>13</v>
      </c>
      <c r="N1027" s="10"/>
      <c r="O1027" s="10"/>
    </row>
    <row r="1028" spans="1:15" ht="15.6" x14ac:dyDescent="0.3">
      <c r="A1028" s="72"/>
      <c r="B1028" s="73"/>
      <c r="C1028" s="5" t="str">
        <f t="shared" ref="C1028:L1028" si="180">VLOOKUP($A1027,NotaIndividualPorAlunoMAT,RIGHT(C1027,2)+1,0)</f>
        <v/>
      </c>
      <c r="D1028" s="5" t="str">
        <f t="shared" si="180"/>
        <v/>
      </c>
      <c r="E1028" s="5" t="str">
        <f t="shared" si="180"/>
        <v/>
      </c>
      <c r="F1028" s="5" t="str">
        <f t="shared" si="180"/>
        <v/>
      </c>
      <c r="G1028" s="5" t="str">
        <f t="shared" si="180"/>
        <v/>
      </c>
      <c r="H1028" s="5" t="str">
        <f t="shared" si="180"/>
        <v/>
      </c>
      <c r="I1028" s="5" t="str">
        <f t="shared" si="180"/>
        <v/>
      </c>
      <c r="J1028" s="5" t="str">
        <f t="shared" si="180"/>
        <v/>
      </c>
      <c r="K1028" s="5" t="str">
        <f t="shared" si="180"/>
        <v/>
      </c>
      <c r="L1028" s="5" t="str">
        <f t="shared" si="180"/>
        <v/>
      </c>
      <c r="M1028" s="19" t="str">
        <f>VLOOKUP($A1027,NotaIndividualPorAlunoMAT,RIGHT(L1027,2)+2,0)</f>
        <v/>
      </c>
      <c r="N1028" s="10"/>
      <c r="O1028" s="10"/>
    </row>
    <row r="1029" spans="1:15" x14ac:dyDescent="0.3">
      <c r="A1029" s="72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0"/>
      <c r="O1029" s="10"/>
    </row>
    <row r="1030" spans="1:15" x14ac:dyDescent="0.3">
      <c r="A1030" s="72"/>
      <c r="B1030" s="73" t="s">
        <v>14</v>
      </c>
      <c r="C1030" s="57" t="s">
        <v>46</v>
      </c>
      <c r="D1030" s="57" t="s">
        <v>47</v>
      </c>
      <c r="E1030" s="57" t="s">
        <v>48</v>
      </c>
      <c r="F1030" s="57" t="s">
        <v>49</v>
      </c>
      <c r="G1030" s="57" t="s">
        <v>50</v>
      </c>
      <c r="H1030" s="57" t="s">
        <v>51</v>
      </c>
      <c r="I1030" s="57" t="s">
        <v>52</v>
      </c>
      <c r="J1030" s="57" t="s">
        <v>53</v>
      </c>
      <c r="K1030" s="57" t="s">
        <v>54</v>
      </c>
      <c r="L1030" s="57" t="s">
        <v>55</v>
      </c>
      <c r="M1030" s="57" t="s">
        <v>13</v>
      </c>
      <c r="N1030" s="10"/>
      <c r="O1030" s="10"/>
    </row>
    <row r="1031" spans="1:15" ht="15.6" x14ac:dyDescent="0.3">
      <c r="A1031" s="72"/>
      <c r="B1031" s="73"/>
      <c r="C1031" s="3" t="str">
        <f t="shared" ref="C1031:L1031" si="181">VLOOKUP($A1027,NotaIndividualPorAlunoQUI,RIGHT(C1030,2)-9,0)</f>
        <v/>
      </c>
      <c r="D1031" s="3" t="str">
        <f t="shared" si="181"/>
        <v/>
      </c>
      <c r="E1031" s="3" t="str">
        <f t="shared" si="181"/>
        <v/>
      </c>
      <c r="F1031" s="3" t="str">
        <f t="shared" si="181"/>
        <v/>
      </c>
      <c r="G1031" s="3" t="str">
        <f t="shared" si="181"/>
        <v/>
      </c>
      <c r="H1031" s="3" t="str">
        <f t="shared" si="181"/>
        <v/>
      </c>
      <c r="I1031" s="3" t="str">
        <f t="shared" si="181"/>
        <v/>
      </c>
      <c r="J1031" s="3" t="str">
        <f t="shared" si="181"/>
        <v/>
      </c>
      <c r="K1031" s="3" t="str">
        <f t="shared" si="181"/>
        <v/>
      </c>
      <c r="L1031" s="3" t="str">
        <f t="shared" si="181"/>
        <v/>
      </c>
      <c r="M1031" s="19" t="str">
        <f>VLOOKUP($A1027,NotaIndividualPorAlunoQUI,RIGHT(L1030,2)-8,0)</f>
        <v/>
      </c>
      <c r="N1031" s="10"/>
      <c r="O1031" s="10"/>
    </row>
    <row r="1032" spans="1:15" x14ac:dyDescent="0.3">
      <c r="A1032" s="72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0"/>
      <c r="O1032" s="10"/>
    </row>
    <row r="1033" spans="1:15" x14ac:dyDescent="0.3">
      <c r="A1033" s="72"/>
      <c r="B1033" s="73" t="s">
        <v>12</v>
      </c>
      <c r="C1033" s="57" t="s">
        <v>2</v>
      </c>
      <c r="D1033" s="57" t="s">
        <v>3</v>
      </c>
      <c r="E1033" s="57" t="s">
        <v>4</v>
      </c>
      <c r="F1033" s="57" t="s">
        <v>5</v>
      </c>
      <c r="G1033" s="57" t="s">
        <v>6</v>
      </c>
      <c r="H1033" s="57" t="s">
        <v>7</v>
      </c>
      <c r="I1033" s="57" t="s">
        <v>8</v>
      </c>
      <c r="J1033" s="57" t="s">
        <v>9</v>
      </c>
      <c r="K1033" s="57" t="s">
        <v>10</v>
      </c>
      <c r="L1033" s="57" t="s">
        <v>11</v>
      </c>
      <c r="M1033" s="57" t="s">
        <v>13</v>
      </c>
      <c r="N1033" s="10"/>
      <c r="O1033" s="10"/>
    </row>
    <row r="1034" spans="1:15" ht="15.6" x14ac:dyDescent="0.3">
      <c r="A1034" s="72"/>
      <c r="B1034" s="73"/>
      <c r="C1034" s="3" t="str">
        <f t="shared" ref="C1034:L1034" si="182">VLOOKUP($A1027,NotaIndividualPorAlunoFIS,RIGHT(C1033,2)+1,0)</f>
        <v/>
      </c>
      <c r="D1034" s="3" t="str">
        <f t="shared" si="182"/>
        <v/>
      </c>
      <c r="E1034" s="3" t="str">
        <f t="shared" si="182"/>
        <v/>
      </c>
      <c r="F1034" s="3" t="str">
        <f t="shared" si="182"/>
        <v/>
      </c>
      <c r="G1034" s="3" t="str">
        <f t="shared" si="182"/>
        <v/>
      </c>
      <c r="H1034" s="3" t="str">
        <f t="shared" si="182"/>
        <v/>
      </c>
      <c r="I1034" s="3" t="str">
        <f t="shared" si="182"/>
        <v/>
      </c>
      <c r="J1034" s="3" t="str">
        <f t="shared" si="182"/>
        <v/>
      </c>
      <c r="K1034" s="3" t="str">
        <f t="shared" si="182"/>
        <v/>
      </c>
      <c r="L1034" s="3" t="str">
        <f t="shared" si="182"/>
        <v/>
      </c>
      <c r="M1034" s="19" t="str">
        <f>VLOOKUP($A1027,NotaIndividualPorAlunoFIS,RIGHT(L1033,2)+2,0)</f>
        <v/>
      </c>
      <c r="N1034" s="10"/>
      <c r="O1034" s="10"/>
    </row>
    <row r="1035" spans="1:15" ht="15.6" x14ac:dyDescent="0.3">
      <c r="A1035" s="72"/>
      <c r="B1035" s="12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0"/>
      <c r="O1035" s="10"/>
    </row>
    <row r="1036" spans="1:15" ht="15.6" x14ac:dyDescent="0.3">
      <c r="A1036" s="72"/>
      <c r="B1036" s="73" t="s">
        <v>16</v>
      </c>
      <c r="C1036" s="23" t="s">
        <v>41</v>
      </c>
      <c r="D1036" s="58" t="s">
        <v>42</v>
      </c>
      <c r="E1036" s="23" t="s">
        <v>43</v>
      </c>
      <c r="F1036" s="58" t="s">
        <v>44</v>
      </c>
      <c r="G1036" s="23" t="s">
        <v>63</v>
      </c>
      <c r="H1036" s="58" t="s">
        <v>32</v>
      </c>
      <c r="I1036" s="14"/>
      <c r="J1036" s="14"/>
      <c r="K1036" s="14"/>
      <c r="L1036" s="14"/>
      <c r="M1036" s="15" t="s">
        <v>18</v>
      </c>
      <c r="N1036" s="10"/>
      <c r="O1036" s="10"/>
    </row>
    <row r="1037" spans="1:15" ht="15.6" x14ac:dyDescent="0.3">
      <c r="A1037" s="72"/>
      <c r="B1037" s="73"/>
      <c r="C1037" s="26" t="str">
        <f>VLOOKUP($A1027,NotaIndividualPorAlunoRED,2,0)</f>
        <v/>
      </c>
      <c r="D1037" s="26" t="str">
        <f>VLOOKUP($A1027,NotaIndividualPorAlunoRED,3,0)</f>
        <v/>
      </c>
      <c r="E1037" s="26" t="str">
        <f>VLOOKUP($A1027,NotaIndividualPorAlunoRED,4,0)</f>
        <v/>
      </c>
      <c r="F1037" s="26" t="str">
        <f>VLOOKUP($A1027,NotaIndividualPorAlunoRED,5,0)</f>
        <v/>
      </c>
      <c r="G1037" s="26" t="str">
        <f>VLOOKUP($A1027,NotaIndividualPorAlunoRED,6,0)</f>
        <v/>
      </c>
      <c r="H1037" s="21" t="str">
        <f>VLOOKUP($A1027,NotaIndividualPorAlunoRED,7,0)</f>
        <v/>
      </c>
      <c r="I1037" s="14"/>
      <c r="J1037" s="14"/>
      <c r="K1037" s="14"/>
      <c r="L1037" s="14"/>
      <c r="M1037" s="20" t="str">
        <f>VLOOKUP(A1027,NOTAS!C:I,7,0)</f>
        <v/>
      </c>
      <c r="N1037" s="10"/>
      <c r="O1037" s="10"/>
    </row>
    <row r="1038" spans="1:15" x14ac:dyDescent="0.3">
      <c r="A1038" s="72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0"/>
      <c r="O1038" s="10"/>
    </row>
    <row r="1039" spans="1:15" x14ac:dyDescent="0.3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</row>
    <row r="1040" spans="1:15" x14ac:dyDescent="0.3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</row>
    <row r="1041" spans="1:15" x14ac:dyDescent="0.3">
      <c r="A1041" s="58" t="s">
        <v>38</v>
      </c>
      <c r="B1041" s="57" t="s">
        <v>35</v>
      </c>
      <c r="C1041" s="57" t="s">
        <v>56</v>
      </c>
      <c r="D1041" s="57" t="s">
        <v>57</v>
      </c>
      <c r="E1041" s="57" t="s">
        <v>58</v>
      </c>
      <c r="F1041" s="57" t="s">
        <v>59</v>
      </c>
      <c r="G1041" s="57" t="s">
        <v>60</v>
      </c>
      <c r="H1041" s="57" t="s">
        <v>36</v>
      </c>
      <c r="I1041" s="57" t="s">
        <v>61</v>
      </c>
      <c r="J1041" s="57" t="s">
        <v>34</v>
      </c>
      <c r="K1041" s="57" t="s">
        <v>62</v>
      </c>
      <c r="L1041" s="16" t="s">
        <v>33</v>
      </c>
      <c r="M1041" s="57" t="s">
        <v>37</v>
      </c>
      <c r="N1041" s="10"/>
      <c r="O1041" s="10"/>
    </row>
    <row r="1042" spans="1:15" ht="15.6" x14ac:dyDescent="0.3">
      <c r="A1042" s="58" t="str" cm="1">
        <f t="array" ref="A1042">IF(ISERROR(INDEX(ListaDeAlunos,(((ROW()-2)/17)+1),(COLUMN()+1))),"",INDEX(ListaDeAlunos,(((ROW()-2)/17)+1),(COLUMN()+1)))</f>
        <v/>
      </c>
      <c r="B1042" s="17" t="str">
        <f>VLOOKUP($A1042,NotaIndividualPorAlunoPROVAO,2,0)</f>
        <v/>
      </c>
      <c r="C1042" s="18" t="str">
        <f>VLOOKUP($A1042,NotaIndividualPorAlunoPROVAO,3,0)</f>
        <v/>
      </c>
      <c r="D1042" s="17" t="str">
        <f>VLOOKUP($A1042,NotaIndividualPorAlunoPROVAO,4,0)</f>
        <v/>
      </c>
      <c r="E1042" s="18" t="str">
        <f>VLOOKUP($A1042,NotaIndividualPorAlunoPROVAO,5,0)</f>
        <v/>
      </c>
      <c r="F1042" s="17" t="str">
        <f>VLOOKUP($A1042,NotaIndividualPorAlunoPROVAO,6,0)</f>
        <v/>
      </c>
      <c r="G1042" s="18" t="str">
        <f>VLOOKUP($A1042,NotaIndividualPorAlunoPROVAO,7,0)</f>
        <v/>
      </c>
      <c r="H1042" s="17" t="str">
        <f>VLOOKUP($A1042,NotaIndividualPorAlunoPROVAO,8,0)</f>
        <v/>
      </c>
      <c r="I1042" s="18" t="str">
        <f>VLOOKUP($A1042,NotaIndividualPorAlunoPROVAO,9,0)</f>
        <v/>
      </c>
      <c r="J1042" s="17" t="str">
        <f>VLOOKUP($A1042,NotaIndividualPorAlunoPROVAO,10,0)</f>
        <v/>
      </c>
      <c r="K1042" s="18" t="str">
        <f>VLOOKUP($A1042,NotaIndividualPorAlunoPROVAO,11,0)</f>
        <v/>
      </c>
      <c r="L1042" s="15" t="str">
        <f>VLOOKUP($A1042,NotaIndividualPorAlunoPROVAO,12,0)</f>
        <v/>
      </c>
      <c r="M1042" s="25" t="str">
        <f>VLOOKUP($A1042,NotaIndividualPorAlunoPROVAO,13,0)</f>
        <v/>
      </c>
      <c r="N1042" s="10"/>
      <c r="O1042" s="10"/>
    </row>
    <row r="1043" spans="1:15" x14ac:dyDescent="0.3">
      <c r="N1043" s="10"/>
      <c r="O1043" s="10"/>
    </row>
    <row r="1044" spans="1:15" x14ac:dyDescent="0.3">
      <c r="A1044" s="72" t="str">
        <f>A1042</f>
        <v/>
      </c>
      <c r="B1044" s="73" t="s">
        <v>15</v>
      </c>
      <c r="C1044" s="57" t="s">
        <v>2</v>
      </c>
      <c r="D1044" s="57" t="s">
        <v>3</v>
      </c>
      <c r="E1044" s="57" t="s">
        <v>4</v>
      </c>
      <c r="F1044" s="57" t="s">
        <v>5</v>
      </c>
      <c r="G1044" s="57" t="s">
        <v>6</v>
      </c>
      <c r="H1044" s="57" t="s">
        <v>7</v>
      </c>
      <c r="I1044" s="57" t="s">
        <v>8</v>
      </c>
      <c r="J1044" s="57" t="s">
        <v>9</v>
      </c>
      <c r="K1044" s="57" t="s">
        <v>10</v>
      </c>
      <c r="L1044" s="57" t="s">
        <v>11</v>
      </c>
      <c r="M1044" s="57" t="s">
        <v>13</v>
      </c>
      <c r="N1044" s="10"/>
      <c r="O1044" s="10"/>
    </row>
    <row r="1045" spans="1:15" ht="15.6" x14ac:dyDescent="0.3">
      <c r="A1045" s="72"/>
      <c r="B1045" s="73"/>
      <c r="C1045" s="5" t="str">
        <f t="shared" ref="C1045:L1045" si="183">VLOOKUP($A1044,NotaIndividualPorAlunoMAT,RIGHT(C1044,2)+1,0)</f>
        <v/>
      </c>
      <c r="D1045" s="5" t="str">
        <f t="shared" si="183"/>
        <v/>
      </c>
      <c r="E1045" s="5" t="str">
        <f t="shared" si="183"/>
        <v/>
      </c>
      <c r="F1045" s="5" t="str">
        <f t="shared" si="183"/>
        <v/>
      </c>
      <c r="G1045" s="5" t="str">
        <f t="shared" si="183"/>
        <v/>
      </c>
      <c r="H1045" s="5" t="str">
        <f t="shared" si="183"/>
        <v/>
      </c>
      <c r="I1045" s="5" t="str">
        <f t="shared" si="183"/>
        <v/>
      </c>
      <c r="J1045" s="5" t="str">
        <f t="shared" si="183"/>
        <v/>
      </c>
      <c r="K1045" s="5" t="str">
        <f t="shared" si="183"/>
        <v/>
      </c>
      <c r="L1045" s="5" t="str">
        <f t="shared" si="183"/>
        <v/>
      </c>
      <c r="M1045" s="19" t="str">
        <f>VLOOKUP($A1044,NotaIndividualPorAlunoMAT,RIGHT(L1044,2)+2,0)</f>
        <v/>
      </c>
      <c r="N1045" s="10"/>
      <c r="O1045" s="10"/>
    </row>
    <row r="1046" spans="1:15" x14ac:dyDescent="0.3">
      <c r="A1046" s="72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0"/>
      <c r="O1046" s="10"/>
    </row>
    <row r="1047" spans="1:15" x14ac:dyDescent="0.3">
      <c r="A1047" s="72"/>
      <c r="B1047" s="73" t="s">
        <v>14</v>
      </c>
      <c r="C1047" s="57" t="s">
        <v>46</v>
      </c>
      <c r="D1047" s="57" t="s">
        <v>47</v>
      </c>
      <c r="E1047" s="57" t="s">
        <v>48</v>
      </c>
      <c r="F1047" s="57" t="s">
        <v>49</v>
      </c>
      <c r="G1047" s="57" t="s">
        <v>50</v>
      </c>
      <c r="H1047" s="57" t="s">
        <v>51</v>
      </c>
      <c r="I1047" s="57" t="s">
        <v>52</v>
      </c>
      <c r="J1047" s="57" t="s">
        <v>53</v>
      </c>
      <c r="K1047" s="57" t="s">
        <v>54</v>
      </c>
      <c r="L1047" s="57" t="s">
        <v>55</v>
      </c>
      <c r="M1047" s="57" t="s">
        <v>13</v>
      </c>
      <c r="N1047" s="10"/>
      <c r="O1047" s="10"/>
    </row>
    <row r="1048" spans="1:15" ht="15.6" x14ac:dyDescent="0.3">
      <c r="A1048" s="72"/>
      <c r="B1048" s="73"/>
      <c r="C1048" s="3" t="str">
        <f t="shared" ref="C1048:L1048" si="184">VLOOKUP($A1044,NotaIndividualPorAlunoQUI,RIGHT(C1047,2)-9,0)</f>
        <v/>
      </c>
      <c r="D1048" s="3" t="str">
        <f t="shared" si="184"/>
        <v/>
      </c>
      <c r="E1048" s="3" t="str">
        <f t="shared" si="184"/>
        <v/>
      </c>
      <c r="F1048" s="3" t="str">
        <f t="shared" si="184"/>
        <v/>
      </c>
      <c r="G1048" s="3" t="str">
        <f t="shared" si="184"/>
        <v/>
      </c>
      <c r="H1048" s="3" t="str">
        <f t="shared" si="184"/>
        <v/>
      </c>
      <c r="I1048" s="3" t="str">
        <f t="shared" si="184"/>
        <v/>
      </c>
      <c r="J1048" s="3" t="str">
        <f t="shared" si="184"/>
        <v/>
      </c>
      <c r="K1048" s="3" t="str">
        <f t="shared" si="184"/>
        <v/>
      </c>
      <c r="L1048" s="3" t="str">
        <f t="shared" si="184"/>
        <v/>
      </c>
      <c r="M1048" s="19" t="str">
        <f>VLOOKUP($A1044,NotaIndividualPorAlunoQUI,RIGHT(L1047,2)-8,0)</f>
        <v/>
      </c>
      <c r="N1048" s="10"/>
      <c r="O1048" s="10"/>
    </row>
    <row r="1049" spans="1:15" x14ac:dyDescent="0.3">
      <c r="A1049" s="72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0"/>
      <c r="O1049" s="10"/>
    </row>
    <row r="1050" spans="1:15" x14ac:dyDescent="0.3">
      <c r="A1050" s="72"/>
      <c r="B1050" s="73" t="s">
        <v>12</v>
      </c>
      <c r="C1050" s="57" t="s">
        <v>2</v>
      </c>
      <c r="D1050" s="57" t="s">
        <v>3</v>
      </c>
      <c r="E1050" s="57" t="s">
        <v>4</v>
      </c>
      <c r="F1050" s="57" t="s">
        <v>5</v>
      </c>
      <c r="G1050" s="57" t="s">
        <v>6</v>
      </c>
      <c r="H1050" s="57" t="s">
        <v>7</v>
      </c>
      <c r="I1050" s="57" t="s">
        <v>8</v>
      </c>
      <c r="J1050" s="57" t="s">
        <v>9</v>
      </c>
      <c r="K1050" s="57" t="s">
        <v>10</v>
      </c>
      <c r="L1050" s="57" t="s">
        <v>11</v>
      </c>
      <c r="M1050" s="57" t="s">
        <v>13</v>
      </c>
      <c r="N1050" s="10"/>
      <c r="O1050" s="10"/>
    </row>
    <row r="1051" spans="1:15" ht="15.6" x14ac:dyDescent="0.3">
      <c r="A1051" s="72"/>
      <c r="B1051" s="73"/>
      <c r="C1051" s="3" t="str">
        <f t="shared" ref="C1051:L1051" si="185">VLOOKUP($A1044,NotaIndividualPorAlunoFIS,RIGHT(C1050,2)+1,0)</f>
        <v/>
      </c>
      <c r="D1051" s="3" t="str">
        <f t="shared" si="185"/>
        <v/>
      </c>
      <c r="E1051" s="3" t="str">
        <f t="shared" si="185"/>
        <v/>
      </c>
      <c r="F1051" s="3" t="str">
        <f t="shared" si="185"/>
        <v/>
      </c>
      <c r="G1051" s="3" t="str">
        <f t="shared" si="185"/>
        <v/>
      </c>
      <c r="H1051" s="3" t="str">
        <f t="shared" si="185"/>
        <v/>
      </c>
      <c r="I1051" s="3" t="str">
        <f t="shared" si="185"/>
        <v/>
      </c>
      <c r="J1051" s="3" t="str">
        <f t="shared" si="185"/>
        <v/>
      </c>
      <c r="K1051" s="3" t="str">
        <f t="shared" si="185"/>
        <v/>
      </c>
      <c r="L1051" s="3" t="str">
        <f t="shared" si="185"/>
        <v/>
      </c>
      <c r="M1051" s="19" t="str">
        <f>VLOOKUP($A1044,NotaIndividualPorAlunoFIS,RIGHT(L1050,2)+2,0)</f>
        <v/>
      </c>
      <c r="N1051" s="10"/>
      <c r="O1051" s="10"/>
    </row>
    <row r="1052" spans="1:15" ht="15.6" x14ac:dyDescent="0.3">
      <c r="A1052" s="72"/>
      <c r="B1052" s="12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0"/>
      <c r="O1052" s="10"/>
    </row>
    <row r="1053" spans="1:15" ht="15.6" x14ac:dyDescent="0.3">
      <c r="A1053" s="72"/>
      <c r="B1053" s="73" t="s">
        <v>16</v>
      </c>
      <c r="C1053" s="23" t="s">
        <v>41</v>
      </c>
      <c r="D1053" s="58" t="s">
        <v>42</v>
      </c>
      <c r="E1053" s="23" t="s">
        <v>43</v>
      </c>
      <c r="F1053" s="58" t="s">
        <v>44</v>
      </c>
      <c r="G1053" s="23" t="s">
        <v>63</v>
      </c>
      <c r="H1053" s="58" t="s">
        <v>32</v>
      </c>
      <c r="I1053" s="14"/>
      <c r="J1053" s="14"/>
      <c r="K1053" s="14"/>
      <c r="L1053" s="14"/>
      <c r="M1053" s="15" t="s">
        <v>18</v>
      </c>
      <c r="N1053" s="10"/>
      <c r="O1053" s="10"/>
    </row>
    <row r="1054" spans="1:15" ht="15.6" x14ac:dyDescent="0.3">
      <c r="A1054" s="72"/>
      <c r="B1054" s="73"/>
      <c r="C1054" s="26" t="str">
        <f>VLOOKUP($A1044,NotaIndividualPorAlunoRED,2,0)</f>
        <v/>
      </c>
      <c r="D1054" s="26" t="str">
        <f>VLOOKUP($A1044,NotaIndividualPorAlunoRED,3,0)</f>
        <v/>
      </c>
      <c r="E1054" s="26" t="str">
        <f>VLOOKUP($A1044,NotaIndividualPorAlunoRED,4,0)</f>
        <v/>
      </c>
      <c r="F1054" s="26" t="str">
        <f>VLOOKUP($A1044,NotaIndividualPorAlunoRED,5,0)</f>
        <v/>
      </c>
      <c r="G1054" s="26" t="str">
        <f>VLOOKUP($A1044,NotaIndividualPorAlunoRED,6,0)</f>
        <v/>
      </c>
      <c r="H1054" s="21" t="str">
        <f>VLOOKUP($A1044,NotaIndividualPorAlunoRED,7,0)</f>
        <v/>
      </c>
      <c r="I1054" s="14"/>
      <c r="J1054" s="14"/>
      <c r="K1054" s="14"/>
      <c r="L1054" s="14"/>
      <c r="M1054" s="20" t="str">
        <f>VLOOKUP(A1044,NOTAS!C:I,7,0)</f>
        <v/>
      </c>
      <c r="N1054" s="10"/>
      <c r="O1054" s="10"/>
    </row>
    <row r="1055" spans="1:15" x14ac:dyDescent="0.3">
      <c r="A1055" s="72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0"/>
      <c r="O1055" s="10"/>
    </row>
    <row r="1056" spans="1:15" x14ac:dyDescent="0.3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</row>
    <row r="1057" spans="1:15" x14ac:dyDescent="0.3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</row>
    <row r="1058" spans="1:15" x14ac:dyDescent="0.3">
      <c r="A1058" s="58" t="s">
        <v>38</v>
      </c>
      <c r="B1058" s="57" t="s">
        <v>35</v>
      </c>
      <c r="C1058" s="57" t="s">
        <v>56</v>
      </c>
      <c r="D1058" s="57" t="s">
        <v>57</v>
      </c>
      <c r="E1058" s="57" t="s">
        <v>58</v>
      </c>
      <c r="F1058" s="57" t="s">
        <v>59</v>
      </c>
      <c r="G1058" s="57" t="s">
        <v>60</v>
      </c>
      <c r="H1058" s="57" t="s">
        <v>36</v>
      </c>
      <c r="I1058" s="57" t="s">
        <v>61</v>
      </c>
      <c r="J1058" s="57" t="s">
        <v>34</v>
      </c>
      <c r="K1058" s="57" t="s">
        <v>62</v>
      </c>
      <c r="L1058" s="16" t="s">
        <v>33</v>
      </c>
      <c r="M1058" s="57" t="s">
        <v>37</v>
      </c>
      <c r="N1058" s="10"/>
      <c r="O1058" s="10"/>
    </row>
    <row r="1059" spans="1:15" ht="15.6" x14ac:dyDescent="0.3">
      <c r="A1059" s="58" t="str" cm="1">
        <f t="array" ref="A1059">IF(ISERROR(INDEX(ListaDeAlunos,(((ROW()-2)/17)+1),(COLUMN()+1))),"",INDEX(ListaDeAlunos,(((ROW()-2)/17)+1),(COLUMN()+1)))</f>
        <v/>
      </c>
      <c r="B1059" s="17" t="str">
        <f>VLOOKUP($A1059,NotaIndividualPorAlunoPROVAO,2,0)</f>
        <v/>
      </c>
      <c r="C1059" s="18" t="str">
        <f>VLOOKUP($A1059,NotaIndividualPorAlunoPROVAO,3,0)</f>
        <v/>
      </c>
      <c r="D1059" s="17" t="str">
        <f>VLOOKUP($A1059,NotaIndividualPorAlunoPROVAO,4,0)</f>
        <v/>
      </c>
      <c r="E1059" s="18" t="str">
        <f>VLOOKUP($A1059,NotaIndividualPorAlunoPROVAO,5,0)</f>
        <v/>
      </c>
      <c r="F1059" s="17" t="str">
        <f>VLOOKUP($A1059,NotaIndividualPorAlunoPROVAO,6,0)</f>
        <v/>
      </c>
      <c r="G1059" s="18" t="str">
        <f>VLOOKUP($A1059,NotaIndividualPorAlunoPROVAO,7,0)</f>
        <v/>
      </c>
      <c r="H1059" s="17" t="str">
        <f>VLOOKUP($A1059,NotaIndividualPorAlunoPROVAO,8,0)</f>
        <v/>
      </c>
      <c r="I1059" s="18" t="str">
        <f>VLOOKUP($A1059,NotaIndividualPorAlunoPROVAO,9,0)</f>
        <v/>
      </c>
      <c r="J1059" s="17" t="str">
        <f>VLOOKUP($A1059,NotaIndividualPorAlunoPROVAO,10,0)</f>
        <v/>
      </c>
      <c r="K1059" s="18" t="str">
        <f>VLOOKUP($A1059,NotaIndividualPorAlunoPROVAO,11,0)</f>
        <v/>
      </c>
      <c r="L1059" s="15" t="str">
        <f>VLOOKUP($A1059,NotaIndividualPorAlunoPROVAO,12,0)</f>
        <v/>
      </c>
      <c r="M1059" s="25" t="str">
        <f>VLOOKUP($A1059,NotaIndividualPorAlunoPROVAO,13,0)</f>
        <v/>
      </c>
      <c r="N1059" s="10"/>
      <c r="O1059" s="10"/>
    </row>
    <row r="1060" spans="1:15" x14ac:dyDescent="0.3">
      <c r="N1060" s="10"/>
      <c r="O1060" s="10"/>
    </row>
    <row r="1061" spans="1:15" x14ac:dyDescent="0.3">
      <c r="A1061" s="72" t="str">
        <f>A1059</f>
        <v/>
      </c>
      <c r="B1061" s="73" t="s">
        <v>15</v>
      </c>
      <c r="C1061" s="57" t="s">
        <v>2</v>
      </c>
      <c r="D1061" s="57" t="s">
        <v>3</v>
      </c>
      <c r="E1061" s="57" t="s">
        <v>4</v>
      </c>
      <c r="F1061" s="57" t="s">
        <v>5</v>
      </c>
      <c r="G1061" s="57" t="s">
        <v>6</v>
      </c>
      <c r="H1061" s="57" t="s">
        <v>7</v>
      </c>
      <c r="I1061" s="57" t="s">
        <v>8</v>
      </c>
      <c r="J1061" s="57" t="s">
        <v>9</v>
      </c>
      <c r="K1061" s="57" t="s">
        <v>10</v>
      </c>
      <c r="L1061" s="57" t="s">
        <v>11</v>
      </c>
      <c r="M1061" s="57" t="s">
        <v>13</v>
      </c>
      <c r="N1061" s="10"/>
      <c r="O1061" s="10"/>
    </row>
    <row r="1062" spans="1:15" ht="15.6" x14ac:dyDescent="0.3">
      <c r="A1062" s="72"/>
      <c r="B1062" s="73"/>
      <c r="C1062" s="5" t="str">
        <f t="shared" ref="C1062:L1062" si="186">VLOOKUP($A1061,NotaIndividualPorAlunoMAT,RIGHT(C1061,2)+1,0)</f>
        <v/>
      </c>
      <c r="D1062" s="5" t="str">
        <f t="shared" si="186"/>
        <v/>
      </c>
      <c r="E1062" s="5" t="str">
        <f t="shared" si="186"/>
        <v/>
      </c>
      <c r="F1062" s="5" t="str">
        <f t="shared" si="186"/>
        <v/>
      </c>
      <c r="G1062" s="5" t="str">
        <f t="shared" si="186"/>
        <v/>
      </c>
      <c r="H1062" s="5" t="str">
        <f t="shared" si="186"/>
        <v/>
      </c>
      <c r="I1062" s="5" t="str">
        <f t="shared" si="186"/>
        <v/>
      </c>
      <c r="J1062" s="5" t="str">
        <f t="shared" si="186"/>
        <v/>
      </c>
      <c r="K1062" s="5" t="str">
        <f t="shared" si="186"/>
        <v/>
      </c>
      <c r="L1062" s="5" t="str">
        <f t="shared" si="186"/>
        <v/>
      </c>
      <c r="M1062" s="19" t="str">
        <f>VLOOKUP($A1061,NotaIndividualPorAlunoMAT,RIGHT(L1061,2)+2,0)</f>
        <v/>
      </c>
      <c r="N1062" s="10"/>
      <c r="O1062" s="10"/>
    </row>
    <row r="1063" spans="1:15" x14ac:dyDescent="0.3">
      <c r="A1063" s="72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0"/>
      <c r="O1063" s="10"/>
    </row>
    <row r="1064" spans="1:15" x14ac:dyDescent="0.3">
      <c r="A1064" s="72"/>
      <c r="B1064" s="73" t="s">
        <v>14</v>
      </c>
      <c r="C1064" s="57" t="s">
        <v>46</v>
      </c>
      <c r="D1064" s="57" t="s">
        <v>47</v>
      </c>
      <c r="E1064" s="57" t="s">
        <v>48</v>
      </c>
      <c r="F1064" s="57" t="s">
        <v>49</v>
      </c>
      <c r="G1064" s="57" t="s">
        <v>50</v>
      </c>
      <c r="H1064" s="57" t="s">
        <v>51</v>
      </c>
      <c r="I1064" s="57" t="s">
        <v>52</v>
      </c>
      <c r="J1064" s="57" t="s">
        <v>53</v>
      </c>
      <c r="K1064" s="57" t="s">
        <v>54</v>
      </c>
      <c r="L1064" s="57" t="s">
        <v>55</v>
      </c>
      <c r="M1064" s="57" t="s">
        <v>13</v>
      </c>
      <c r="N1064" s="10"/>
      <c r="O1064" s="10"/>
    </row>
    <row r="1065" spans="1:15" ht="15.6" x14ac:dyDescent="0.3">
      <c r="A1065" s="72"/>
      <c r="B1065" s="73"/>
      <c r="C1065" s="3" t="str">
        <f t="shared" ref="C1065:L1065" si="187">VLOOKUP($A1061,NotaIndividualPorAlunoQUI,RIGHT(C1064,2)-9,0)</f>
        <v/>
      </c>
      <c r="D1065" s="3" t="str">
        <f t="shared" si="187"/>
        <v/>
      </c>
      <c r="E1065" s="3" t="str">
        <f t="shared" si="187"/>
        <v/>
      </c>
      <c r="F1065" s="3" t="str">
        <f t="shared" si="187"/>
        <v/>
      </c>
      <c r="G1065" s="3" t="str">
        <f t="shared" si="187"/>
        <v/>
      </c>
      <c r="H1065" s="3" t="str">
        <f t="shared" si="187"/>
        <v/>
      </c>
      <c r="I1065" s="3" t="str">
        <f t="shared" si="187"/>
        <v/>
      </c>
      <c r="J1065" s="3" t="str">
        <f t="shared" si="187"/>
        <v/>
      </c>
      <c r="K1065" s="3" t="str">
        <f t="shared" si="187"/>
        <v/>
      </c>
      <c r="L1065" s="3" t="str">
        <f t="shared" si="187"/>
        <v/>
      </c>
      <c r="M1065" s="19" t="str">
        <f>VLOOKUP($A1061,NotaIndividualPorAlunoQUI,RIGHT(L1064,2)-8,0)</f>
        <v/>
      </c>
      <c r="N1065" s="10"/>
      <c r="O1065" s="10"/>
    </row>
    <row r="1066" spans="1:15" x14ac:dyDescent="0.3">
      <c r="A1066" s="72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0"/>
      <c r="O1066" s="10"/>
    </row>
    <row r="1067" spans="1:15" x14ac:dyDescent="0.3">
      <c r="A1067" s="72"/>
      <c r="B1067" s="73" t="s">
        <v>12</v>
      </c>
      <c r="C1067" s="57" t="s">
        <v>2</v>
      </c>
      <c r="D1067" s="57" t="s">
        <v>3</v>
      </c>
      <c r="E1067" s="57" t="s">
        <v>4</v>
      </c>
      <c r="F1067" s="57" t="s">
        <v>5</v>
      </c>
      <c r="G1067" s="57" t="s">
        <v>6</v>
      </c>
      <c r="H1067" s="57" t="s">
        <v>7</v>
      </c>
      <c r="I1067" s="57" t="s">
        <v>8</v>
      </c>
      <c r="J1067" s="57" t="s">
        <v>9</v>
      </c>
      <c r="K1067" s="57" t="s">
        <v>10</v>
      </c>
      <c r="L1067" s="57" t="s">
        <v>11</v>
      </c>
      <c r="M1067" s="57" t="s">
        <v>13</v>
      </c>
      <c r="N1067" s="10"/>
      <c r="O1067" s="10"/>
    </row>
    <row r="1068" spans="1:15" ht="15.6" x14ac:dyDescent="0.3">
      <c r="A1068" s="72"/>
      <c r="B1068" s="73"/>
      <c r="C1068" s="3" t="str">
        <f t="shared" ref="C1068:L1068" si="188">VLOOKUP($A1061,NotaIndividualPorAlunoFIS,RIGHT(C1067,2)+1,0)</f>
        <v/>
      </c>
      <c r="D1068" s="3" t="str">
        <f t="shared" si="188"/>
        <v/>
      </c>
      <c r="E1068" s="3" t="str">
        <f t="shared" si="188"/>
        <v/>
      </c>
      <c r="F1068" s="3" t="str">
        <f t="shared" si="188"/>
        <v/>
      </c>
      <c r="G1068" s="3" t="str">
        <f t="shared" si="188"/>
        <v/>
      </c>
      <c r="H1068" s="3" t="str">
        <f t="shared" si="188"/>
        <v/>
      </c>
      <c r="I1068" s="3" t="str">
        <f t="shared" si="188"/>
        <v/>
      </c>
      <c r="J1068" s="3" t="str">
        <f t="shared" si="188"/>
        <v/>
      </c>
      <c r="K1068" s="3" t="str">
        <f t="shared" si="188"/>
        <v/>
      </c>
      <c r="L1068" s="3" t="str">
        <f t="shared" si="188"/>
        <v/>
      </c>
      <c r="M1068" s="19" t="str">
        <f>VLOOKUP($A1061,NotaIndividualPorAlunoFIS,RIGHT(L1067,2)+2,0)</f>
        <v/>
      </c>
      <c r="N1068" s="10"/>
      <c r="O1068" s="10"/>
    </row>
    <row r="1069" spans="1:15" ht="15.6" x14ac:dyDescent="0.3">
      <c r="A1069" s="72"/>
      <c r="B1069" s="12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0"/>
      <c r="O1069" s="10"/>
    </row>
    <row r="1070" spans="1:15" ht="15.6" x14ac:dyDescent="0.3">
      <c r="A1070" s="72"/>
      <c r="B1070" s="73" t="s">
        <v>16</v>
      </c>
      <c r="C1070" s="23" t="s">
        <v>41</v>
      </c>
      <c r="D1070" s="58" t="s">
        <v>42</v>
      </c>
      <c r="E1070" s="23" t="s">
        <v>43</v>
      </c>
      <c r="F1070" s="58" t="s">
        <v>44</v>
      </c>
      <c r="G1070" s="23" t="s">
        <v>63</v>
      </c>
      <c r="H1070" s="58" t="s">
        <v>32</v>
      </c>
      <c r="I1070" s="14"/>
      <c r="J1070" s="14"/>
      <c r="K1070" s="14"/>
      <c r="L1070" s="14"/>
      <c r="M1070" s="15" t="s">
        <v>18</v>
      </c>
      <c r="N1070" s="10"/>
      <c r="O1070" s="10"/>
    </row>
    <row r="1071" spans="1:15" ht="15.6" x14ac:dyDescent="0.3">
      <c r="A1071" s="72"/>
      <c r="B1071" s="73"/>
      <c r="C1071" s="26" t="str">
        <f>VLOOKUP($A1061,NotaIndividualPorAlunoRED,2,0)</f>
        <v/>
      </c>
      <c r="D1071" s="26" t="str">
        <f>VLOOKUP($A1061,NotaIndividualPorAlunoRED,3,0)</f>
        <v/>
      </c>
      <c r="E1071" s="26" t="str">
        <f>VLOOKUP($A1061,NotaIndividualPorAlunoRED,4,0)</f>
        <v/>
      </c>
      <c r="F1071" s="26" t="str">
        <f>VLOOKUP($A1061,NotaIndividualPorAlunoRED,5,0)</f>
        <v/>
      </c>
      <c r="G1071" s="26" t="str">
        <f>VLOOKUP($A1061,NotaIndividualPorAlunoRED,6,0)</f>
        <v/>
      </c>
      <c r="H1071" s="21" t="str">
        <f>VLOOKUP($A1061,NotaIndividualPorAlunoRED,7,0)</f>
        <v/>
      </c>
      <c r="I1071" s="14"/>
      <c r="J1071" s="14"/>
      <c r="K1071" s="14"/>
      <c r="L1071" s="14"/>
      <c r="M1071" s="20" t="str">
        <f>VLOOKUP(A1061,NOTAS!C:I,7,0)</f>
        <v/>
      </c>
      <c r="N1071" s="10"/>
      <c r="O1071" s="10"/>
    </row>
    <row r="1072" spans="1:15" x14ac:dyDescent="0.3">
      <c r="A1072" s="72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0"/>
      <c r="O1072" s="10"/>
    </row>
    <row r="1073" spans="1:15" x14ac:dyDescent="0.3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</row>
    <row r="1074" spans="1:15" x14ac:dyDescent="0.3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</row>
    <row r="1075" spans="1:15" x14ac:dyDescent="0.3">
      <c r="A1075" s="58" t="s">
        <v>38</v>
      </c>
      <c r="B1075" s="57" t="s">
        <v>35</v>
      </c>
      <c r="C1075" s="57" t="s">
        <v>56</v>
      </c>
      <c r="D1075" s="57" t="s">
        <v>57</v>
      </c>
      <c r="E1075" s="57" t="s">
        <v>58</v>
      </c>
      <c r="F1075" s="57" t="s">
        <v>59</v>
      </c>
      <c r="G1075" s="57" t="s">
        <v>60</v>
      </c>
      <c r="H1075" s="57" t="s">
        <v>36</v>
      </c>
      <c r="I1075" s="57" t="s">
        <v>61</v>
      </c>
      <c r="J1075" s="57" t="s">
        <v>34</v>
      </c>
      <c r="K1075" s="57" t="s">
        <v>62</v>
      </c>
      <c r="L1075" s="16" t="s">
        <v>33</v>
      </c>
      <c r="M1075" s="57" t="s">
        <v>37</v>
      </c>
      <c r="N1075" s="10"/>
      <c r="O1075" s="10"/>
    </row>
    <row r="1076" spans="1:15" ht="15.6" x14ac:dyDescent="0.3">
      <c r="A1076" s="58" t="str" cm="1">
        <f t="array" ref="A1076">IF(ISERROR(INDEX(ListaDeAlunos,(((ROW()-2)/17)+1),(COLUMN()+1))),"",INDEX(ListaDeAlunos,(((ROW()-2)/17)+1),(COLUMN()+1)))</f>
        <v/>
      </c>
      <c r="B1076" s="17" t="str">
        <f>VLOOKUP($A1076,NotaIndividualPorAlunoPROVAO,2,0)</f>
        <v/>
      </c>
      <c r="C1076" s="18" t="str">
        <f>VLOOKUP($A1076,NotaIndividualPorAlunoPROVAO,3,0)</f>
        <v/>
      </c>
      <c r="D1076" s="17" t="str">
        <f>VLOOKUP($A1076,NotaIndividualPorAlunoPROVAO,4,0)</f>
        <v/>
      </c>
      <c r="E1076" s="18" t="str">
        <f>VLOOKUP($A1076,NotaIndividualPorAlunoPROVAO,5,0)</f>
        <v/>
      </c>
      <c r="F1076" s="17" t="str">
        <f>VLOOKUP($A1076,NotaIndividualPorAlunoPROVAO,6,0)</f>
        <v/>
      </c>
      <c r="G1076" s="18" t="str">
        <f>VLOOKUP($A1076,NotaIndividualPorAlunoPROVAO,7,0)</f>
        <v/>
      </c>
      <c r="H1076" s="17" t="str">
        <f>VLOOKUP($A1076,NotaIndividualPorAlunoPROVAO,8,0)</f>
        <v/>
      </c>
      <c r="I1076" s="18" t="str">
        <f>VLOOKUP($A1076,NotaIndividualPorAlunoPROVAO,9,0)</f>
        <v/>
      </c>
      <c r="J1076" s="17" t="str">
        <f>VLOOKUP($A1076,NotaIndividualPorAlunoPROVAO,10,0)</f>
        <v/>
      </c>
      <c r="K1076" s="18" t="str">
        <f>VLOOKUP($A1076,NotaIndividualPorAlunoPROVAO,11,0)</f>
        <v/>
      </c>
      <c r="L1076" s="15" t="str">
        <f>VLOOKUP($A1076,NotaIndividualPorAlunoPROVAO,12,0)</f>
        <v/>
      </c>
      <c r="M1076" s="25" t="str">
        <f>VLOOKUP($A1076,NotaIndividualPorAlunoPROVAO,13,0)</f>
        <v/>
      </c>
      <c r="N1076" s="10"/>
      <c r="O1076" s="10"/>
    </row>
    <row r="1077" spans="1:15" x14ac:dyDescent="0.3">
      <c r="N1077" s="10"/>
      <c r="O1077" s="10"/>
    </row>
    <row r="1078" spans="1:15" x14ac:dyDescent="0.3">
      <c r="A1078" s="72" t="str">
        <f>A1076</f>
        <v/>
      </c>
      <c r="B1078" s="73" t="s">
        <v>15</v>
      </c>
      <c r="C1078" s="57" t="s">
        <v>2</v>
      </c>
      <c r="D1078" s="57" t="s">
        <v>3</v>
      </c>
      <c r="E1078" s="57" t="s">
        <v>4</v>
      </c>
      <c r="F1078" s="57" t="s">
        <v>5</v>
      </c>
      <c r="G1078" s="57" t="s">
        <v>6</v>
      </c>
      <c r="H1078" s="57" t="s">
        <v>7</v>
      </c>
      <c r="I1078" s="57" t="s">
        <v>8</v>
      </c>
      <c r="J1078" s="57" t="s">
        <v>9</v>
      </c>
      <c r="K1078" s="57" t="s">
        <v>10</v>
      </c>
      <c r="L1078" s="57" t="s">
        <v>11</v>
      </c>
      <c r="M1078" s="57" t="s">
        <v>13</v>
      </c>
      <c r="N1078" s="10"/>
      <c r="O1078" s="10"/>
    </row>
    <row r="1079" spans="1:15" ht="15.6" x14ac:dyDescent="0.3">
      <c r="A1079" s="72"/>
      <c r="B1079" s="73"/>
      <c r="C1079" s="5" t="str">
        <f t="shared" ref="C1079:L1079" si="189">VLOOKUP($A1078,NotaIndividualPorAlunoMAT,RIGHT(C1078,2)+1,0)</f>
        <v/>
      </c>
      <c r="D1079" s="5" t="str">
        <f t="shared" si="189"/>
        <v/>
      </c>
      <c r="E1079" s="5" t="str">
        <f t="shared" si="189"/>
        <v/>
      </c>
      <c r="F1079" s="5" t="str">
        <f t="shared" si="189"/>
        <v/>
      </c>
      <c r="G1079" s="5" t="str">
        <f t="shared" si="189"/>
        <v/>
      </c>
      <c r="H1079" s="5" t="str">
        <f t="shared" si="189"/>
        <v/>
      </c>
      <c r="I1079" s="5" t="str">
        <f t="shared" si="189"/>
        <v/>
      </c>
      <c r="J1079" s="5" t="str">
        <f t="shared" si="189"/>
        <v/>
      </c>
      <c r="K1079" s="5" t="str">
        <f t="shared" si="189"/>
        <v/>
      </c>
      <c r="L1079" s="5" t="str">
        <f t="shared" si="189"/>
        <v/>
      </c>
      <c r="M1079" s="19" t="str">
        <f>VLOOKUP($A1078,NotaIndividualPorAlunoMAT,RIGHT(L1078,2)+2,0)</f>
        <v/>
      </c>
      <c r="N1079" s="10"/>
      <c r="O1079" s="10"/>
    </row>
    <row r="1080" spans="1:15" x14ac:dyDescent="0.3">
      <c r="A1080" s="72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0"/>
      <c r="O1080" s="10"/>
    </row>
    <row r="1081" spans="1:15" x14ac:dyDescent="0.3">
      <c r="A1081" s="72"/>
      <c r="B1081" s="73" t="s">
        <v>14</v>
      </c>
      <c r="C1081" s="57" t="s">
        <v>46</v>
      </c>
      <c r="D1081" s="57" t="s">
        <v>47</v>
      </c>
      <c r="E1081" s="57" t="s">
        <v>48</v>
      </c>
      <c r="F1081" s="57" t="s">
        <v>49</v>
      </c>
      <c r="G1081" s="57" t="s">
        <v>50</v>
      </c>
      <c r="H1081" s="57" t="s">
        <v>51</v>
      </c>
      <c r="I1081" s="57" t="s">
        <v>52</v>
      </c>
      <c r="J1081" s="57" t="s">
        <v>53</v>
      </c>
      <c r="K1081" s="57" t="s">
        <v>54</v>
      </c>
      <c r="L1081" s="57" t="s">
        <v>55</v>
      </c>
      <c r="M1081" s="57" t="s">
        <v>13</v>
      </c>
      <c r="N1081" s="10"/>
      <c r="O1081" s="10"/>
    </row>
    <row r="1082" spans="1:15" ht="15.6" x14ac:dyDescent="0.3">
      <c r="A1082" s="72"/>
      <c r="B1082" s="73"/>
      <c r="C1082" s="3" t="str">
        <f t="shared" ref="C1082:L1082" si="190">VLOOKUP($A1078,NotaIndividualPorAlunoQUI,RIGHT(C1081,2)-9,0)</f>
        <v/>
      </c>
      <c r="D1082" s="3" t="str">
        <f t="shared" si="190"/>
        <v/>
      </c>
      <c r="E1082" s="3" t="str">
        <f t="shared" si="190"/>
        <v/>
      </c>
      <c r="F1082" s="3" t="str">
        <f t="shared" si="190"/>
        <v/>
      </c>
      <c r="G1082" s="3" t="str">
        <f t="shared" si="190"/>
        <v/>
      </c>
      <c r="H1082" s="3" t="str">
        <f t="shared" si="190"/>
        <v/>
      </c>
      <c r="I1082" s="3" t="str">
        <f t="shared" si="190"/>
        <v/>
      </c>
      <c r="J1082" s="3" t="str">
        <f t="shared" si="190"/>
        <v/>
      </c>
      <c r="K1082" s="3" t="str">
        <f t="shared" si="190"/>
        <v/>
      </c>
      <c r="L1082" s="3" t="str">
        <f t="shared" si="190"/>
        <v/>
      </c>
      <c r="M1082" s="19" t="str">
        <f>VLOOKUP($A1078,NotaIndividualPorAlunoQUI,RIGHT(L1081,2)-8,0)</f>
        <v/>
      </c>
      <c r="N1082" s="10"/>
      <c r="O1082" s="10"/>
    </row>
    <row r="1083" spans="1:15" x14ac:dyDescent="0.3">
      <c r="A1083" s="72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0"/>
      <c r="O1083" s="10"/>
    </row>
    <row r="1084" spans="1:15" x14ac:dyDescent="0.3">
      <c r="A1084" s="72"/>
      <c r="B1084" s="73" t="s">
        <v>12</v>
      </c>
      <c r="C1084" s="57" t="s">
        <v>2</v>
      </c>
      <c r="D1084" s="57" t="s">
        <v>3</v>
      </c>
      <c r="E1084" s="57" t="s">
        <v>4</v>
      </c>
      <c r="F1084" s="57" t="s">
        <v>5</v>
      </c>
      <c r="G1084" s="57" t="s">
        <v>6</v>
      </c>
      <c r="H1084" s="57" t="s">
        <v>7</v>
      </c>
      <c r="I1084" s="57" t="s">
        <v>8</v>
      </c>
      <c r="J1084" s="57" t="s">
        <v>9</v>
      </c>
      <c r="K1084" s="57" t="s">
        <v>10</v>
      </c>
      <c r="L1084" s="57" t="s">
        <v>11</v>
      </c>
      <c r="M1084" s="57" t="s">
        <v>13</v>
      </c>
      <c r="N1084" s="10"/>
      <c r="O1084" s="10"/>
    </row>
    <row r="1085" spans="1:15" ht="15.6" x14ac:dyDescent="0.3">
      <c r="A1085" s="72"/>
      <c r="B1085" s="73"/>
      <c r="C1085" s="3" t="str">
        <f t="shared" ref="C1085:L1085" si="191">VLOOKUP($A1078,NotaIndividualPorAlunoFIS,RIGHT(C1084,2)+1,0)</f>
        <v/>
      </c>
      <c r="D1085" s="3" t="str">
        <f t="shared" si="191"/>
        <v/>
      </c>
      <c r="E1085" s="3" t="str">
        <f t="shared" si="191"/>
        <v/>
      </c>
      <c r="F1085" s="3" t="str">
        <f t="shared" si="191"/>
        <v/>
      </c>
      <c r="G1085" s="3" t="str">
        <f t="shared" si="191"/>
        <v/>
      </c>
      <c r="H1085" s="3" t="str">
        <f t="shared" si="191"/>
        <v/>
      </c>
      <c r="I1085" s="3" t="str">
        <f t="shared" si="191"/>
        <v/>
      </c>
      <c r="J1085" s="3" t="str">
        <f t="shared" si="191"/>
        <v/>
      </c>
      <c r="K1085" s="3" t="str">
        <f t="shared" si="191"/>
        <v/>
      </c>
      <c r="L1085" s="3" t="str">
        <f t="shared" si="191"/>
        <v/>
      </c>
      <c r="M1085" s="19" t="str">
        <f>VLOOKUP($A1078,NotaIndividualPorAlunoFIS,RIGHT(L1084,2)+2,0)</f>
        <v/>
      </c>
      <c r="N1085" s="10"/>
      <c r="O1085" s="10"/>
    </row>
    <row r="1086" spans="1:15" ht="15.6" x14ac:dyDescent="0.3">
      <c r="A1086" s="72"/>
      <c r="B1086" s="12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0"/>
      <c r="O1086" s="10"/>
    </row>
    <row r="1087" spans="1:15" ht="15.6" x14ac:dyDescent="0.3">
      <c r="A1087" s="72"/>
      <c r="B1087" s="73" t="s">
        <v>16</v>
      </c>
      <c r="C1087" s="23" t="s">
        <v>41</v>
      </c>
      <c r="D1087" s="58" t="s">
        <v>42</v>
      </c>
      <c r="E1087" s="23" t="s">
        <v>43</v>
      </c>
      <c r="F1087" s="58" t="s">
        <v>44</v>
      </c>
      <c r="G1087" s="23" t="s">
        <v>63</v>
      </c>
      <c r="H1087" s="58" t="s">
        <v>32</v>
      </c>
      <c r="I1087" s="14"/>
      <c r="J1087" s="14"/>
      <c r="K1087" s="14"/>
      <c r="L1087" s="14"/>
      <c r="M1087" s="15" t="s">
        <v>18</v>
      </c>
      <c r="N1087" s="10"/>
      <c r="O1087" s="10"/>
    </row>
    <row r="1088" spans="1:15" ht="15.6" x14ac:dyDescent="0.3">
      <c r="A1088" s="72"/>
      <c r="B1088" s="73"/>
      <c r="C1088" s="26" t="str">
        <f>VLOOKUP($A1078,NotaIndividualPorAlunoRED,2,0)</f>
        <v/>
      </c>
      <c r="D1088" s="26" t="str">
        <f>VLOOKUP($A1078,NotaIndividualPorAlunoRED,3,0)</f>
        <v/>
      </c>
      <c r="E1088" s="26" t="str">
        <f>VLOOKUP($A1078,NotaIndividualPorAlunoRED,4,0)</f>
        <v/>
      </c>
      <c r="F1088" s="26" t="str">
        <f>VLOOKUP($A1078,NotaIndividualPorAlunoRED,5,0)</f>
        <v/>
      </c>
      <c r="G1088" s="26" t="str">
        <f>VLOOKUP($A1078,NotaIndividualPorAlunoRED,6,0)</f>
        <v/>
      </c>
      <c r="H1088" s="21" t="str">
        <f>VLOOKUP($A1078,NotaIndividualPorAlunoRED,7,0)</f>
        <v/>
      </c>
      <c r="I1088" s="14"/>
      <c r="J1088" s="14"/>
      <c r="K1088" s="14"/>
      <c r="L1088" s="14"/>
      <c r="M1088" s="20" t="str">
        <f>VLOOKUP(A1078,NOTAS!C:I,7,0)</f>
        <v/>
      </c>
      <c r="N1088" s="10"/>
      <c r="O1088" s="10"/>
    </row>
    <row r="1089" spans="1:15" x14ac:dyDescent="0.3">
      <c r="A1089" s="72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0"/>
      <c r="O1089" s="10"/>
    </row>
    <row r="1090" spans="1:15" x14ac:dyDescent="0.3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</row>
    <row r="1091" spans="1:15" x14ac:dyDescent="0.3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</row>
    <row r="1092" spans="1:15" x14ac:dyDescent="0.3">
      <c r="A1092" s="58" t="s">
        <v>38</v>
      </c>
      <c r="B1092" s="57" t="s">
        <v>35</v>
      </c>
      <c r="C1092" s="57" t="s">
        <v>56</v>
      </c>
      <c r="D1092" s="57" t="s">
        <v>57</v>
      </c>
      <c r="E1092" s="57" t="s">
        <v>58</v>
      </c>
      <c r="F1092" s="57" t="s">
        <v>59</v>
      </c>
      <c r="G1092" s="57" t="s">
        <v>60</v>
      </c>
      <c r="H1092" s="57" t="s">
        <v>36</v>
      </c>
      <c r="I1092" s="57" t="s">
        <v>61</v>
      </c>
      <c r="J1092" s="57" t="s">
        <v>34</v>
      </c>
      <c r="K1092" s="57" t="s">
        <v>62</v>
      </c>
      <c r="L1092" s="16" t="s">
        <v>33</v>
      </c>
      <c r="M1092" s="57" t="s">
        <v>37</v>
      </c>
      <c r="N1092" s="10"/>
      <c r="O1092" s="10"/>
    </row>
    <row r="1093" spans="1:15" ht="15.6" x14ac:dyDescent="0.3">
      <c r="A1093" s="58" t="str" cm="1">
        <f t="array" ref="A1093">IF(ISERROR(INDEX(ListaDeAlunos,(((ROW()-2)/17)+1),(COLUMN()+1))),"",INDEX(ListaDeAlunos,(((ROW()-2)/17)+1),(COLUMN()+1)))</f>
        <v/>
      </c>
      <c r="B1093" s="17" t="str">
        <f>VLOOKUP($A1093,NotaIndividualPorAlunoPROVAO,2,0)</f>
        <v/>
      </c>
      <c r="C1093" s="18" t="str">
        <f>VLOOKUP($A1093,NotaIndividualPorAlunoPROVAO,3,0)</f>
        <v/>
      </c>
      <c r="D1093" s="17" t="str">
        <f>VLOOKUP($A1093,NotaIndividualPorAlunoPROVAO,4,0)</f>
        <v/>
      </c>
      <c r="E1093" s="18" t="str">
        <f>VLOOKUP($A1093,NotaIndividualPorAlunoPROVAO,5,0)</f>
        <v/>
      </c>
      <c r="F1093" s="17" t="str">
        <f>VLOOKUP($A1093,NotaIndividualPorAlunoPROVAO,6,0)</f>
        <v/>
      </c>
      <c r="G1093" s="18" t="str">
        <f>VLOOKUP($A1093,NotaIndividualPorAlunoPROVAO,7,0)</f>
        <v/>
      </c>
      <c r="H1093" s="17" t="str">
        <f>VLOOKUP($A1093,NotaIndividualPorAlunoPROVAO,8,0)</f>
        <v/>
      </c>
      <c r="I1093" s="18" t="str">
        <f>VLOOKUP($A1093,NotaIndividualPorAlunoPROVAO,9,0)</f>
        <v/>
      </c>
      <c r="J1093" s="17" t="str">
        <f>VLOOKUP($A1093,NotaIndividualPorAlunoPROVAO,10,0)</f>
        <v/>
      </c>
      <c r="K1093" s="18" t="str">
        <f>VLOOKUP($A1093,NotaIndividualPorAlunoPROVAO,11,0)</f>
        <v/>
      </c>
      <c r="L1093" s="15" t="str">
        <f>VLOOKUP($A1093,NotaIndividualPorAlunoPROVAO,12,0)</f>
        <v/>
      </c>
      <c r="M1093" s="25" t="str">
        <f>VLOOKUP($A1093,NotaIndividualPorAlunoPROVAO,13,0)</f>
        <v/>
      </c>
      <c r="N1093" s="10"/>
      <c r="O1093" s="10"/>
    </row>
    <row r="1094" spans="1:15" x14ac:dyDescent="0.3">
      <c r="N1094" s="10"/>
      <c r="O1094" s="10"/>
    </row>
    <row r="1095" spans="1:15" x14ac:dyDescent="0.3">
      <c r="A1095" s="72" t="str">
        <f>A1093</f>
        <v/>
      </c>
      <c r="B1095" s="73" t="s">
        <v>15</v>
      </c>
      <c r="C1095" s="57" t="s">
        <v>2</v>
      </c>
      <c r="D1095" s="57" t="s">
        <v>3</v>
      </c>
      <c r="E1095" s="57" t="s">
        <v>4</v>
      </c>
      <c r="F1095" s="57" t="s">
        <v>5</v>
      </c>
      <c r="G1095" s="57" t="s">
        <v>6</v>
      </c>
      <c r="H1095" s="57" t="s">
        <v>7</v>
      </c>
      <c r="I1095" s="57" t="s">
        <v>8</v>
      </c>
      <c r="J1095" s="57" t="s">
        <v>9</v>
      </c>
      <c r="K1095" s="57" t="s">
        <v>10</v>
      </c>
      <c r="L1095" s="57" t="s">
        <v>11</v>
      </c>
      <c r="M1095" s="57" t="s">
        <v>13</v>
      </c>
      <c r="N1095" s="10"/>
      <c r="O1095" s="10"/>
    </row>
    <row r="1096" spans="1:15" ht="15.6" x14ac:dyDescent="0.3">
      <c r="A1096" s="72"/>
      <c r="B1096" s="73"/>
      <c r="C1096" s="5" t="str">
        <f t="shared" ref="C1096:L1096" si="192">VLOOKUP($A1095,NotaIndividualPorAlunoMAT,RIGHT(C1095,2)+1,0)</f>
        <v/>
      </c>
      <c r="D1096" s="5" t="str">
        <f t="shared" si="192"/>
        <v/>
      </c>
      <c r="E1096" s="5" t="str">
        <f t="shared" si="192"/>
        <v/>
      </c>
      <c r="F1096" s="5" t="str">
        <f t="shared" si="192"/>
        <v/>
      </c>
      <c r="G1096" s="5" t="str">
        <f t="shared" si="192"/>
        <v/>
      </c>
      <c r="H1096" s="5" t="str">
        <f t="shared" si="192"/>
        <v/>
      </c>
      <c r="I1096" s="5" t="str">
        <f t="shared" si="192"/>
        <v/>
      </c>
      <c r="J1096" s="5" t="str">
        <f t="shared" si="192"/>
        <v/>
      </c>
      <c r="K1096" s="5" t="str">
        <f t="shared" si="192"/>
        <v/>
      </c>
      <c r="L1096" s="5" t="str">
        <f t="shared" si="192"/>
        <v/>
      </c>
      <c r="M1096" s="19" t="str">
        <f>VLOOKUP($A1095,NotaIndividualPorAlunoMAT,RIGHT(L1095,2)+2,0)</f>
        <v/>
      </c>
      <c r="N1096" s="10"/>
      <c r="O1096" s="10"/>
    </row>
    <row r="1097" spans="1:15" x14ac:dyDescent="0.3">
      <c r="A1097" s="72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0"/>
      <c r="O1097" s="10"/>
    </row>
    <row r="1098" spans="1:15" x14ac:dyDescent="0.3">
      <c r="A1098" s="72"/>
      <c r="B1098" s="73" t="s">
        <v>14</v>
      </c>
      <c r="C1098" s="57" t="s">
        <v>46</v>
      </c>
      <c r="D1098" s="57" t="s">
        <v>47</v>
      </c>
      <c r="E1098" s="57" t="s">
        <v>48</v>
      </c>
      <c r="F1098" s="57" t="s">
        <v>49</v>
      </c>
      <c r="G1098" s="57" t="s">
        <v>50</v>
      </c>
      <c r="H1098" s="57" t="s">
        <v>51</v>
      </c>
      <c r="I1098" s="57" t="s">
        <v>52</v>
      </c>
      <c r="J1098" s="57" t="s">
        <v>53</v>
      </c>
      <c r="K1098" s="57" t="s">
        <v>54</v>
      </c>
      <c r="L1098" s="57" t="s">
        <v>55</v>
      </c>
      <c r="M1098" s="57" t="s">
        <v>13</v>
      </c>
      <c r="N1098" s="10"/>
      <c r="O1098" s="10"/>
    </row>
    <row r="1099" spans="1:15" ht="15.6" x14ac:dyDescent="0.3">
      <c r="A1099" s="72"/>
      <c r="B1099" s="73"/>
      <c r="C1099" s="3" t="str">
        <f t="shared" ref="C1099:L1099" si="193">VLOOKUP($A1095,NotaIndividualPorAlunoQUI,RIGHT(C1098,2)-9,0)</f>
        <v/>
      </c>
      <c r="D1099" s="3" t="str">
        <f t="shared" si="193"/>
        <v/>
      </c>
      <c r="E1099" s="3" t="str">
        <f t="shared" si="193"/>
        <v/>
      </c>
      <c r="F1099" s="3" t="str">
        <f t="shared" si="193"/>
        <v/>
      </c>
      <c r="G1099" s="3" t="str">
        <f t="shared" si="193"/>
        <v/>
      </c>
      <c r="H1099" s="3" t="str">
        <f t="shared" si="193"/>
        <v/>
      </c>
      <c r="I1099" s="3" t="str">
        <f t="shared" si="193"/>
        <v/>
      </c>
      <c r="J1099" s="3" t="str">
        <f t="shared" si="193"/>
        <v/>
      </c>
      <c r="K1099" s="3" t="str">
        <f t="shared" si="193"/>
        <v/>
      </c>
      <c r="L1099" s="3" t="str">
        <f t="shared" si="193"/>
        <v/>
      </c>
      <c r="M1099" s="19" t="str">
        <f>VLOOKUP($A1095,NotaIndividualPorAlunoQUI,RIGHT(L1098,2)-8,0)</f>
        <v/>
      </c>
      <c r="N1099" s="10"/>
      <c r="O1099" s="10"/>
    </row>
    <row r="1100" spans="1:15" x14ac:dyDescent="0.3">
      <c r="A1100" s="72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0"/>
      <c r="O1100" s="10"/>
    </row>
    <row r="1101" spans="1:15" x14ac:dyDescent="0.3">
      <c r="A1101" s="72"/>
      <c r="B1101" s="73" t="s">
        <v>12</v>
      </c>
      <c r="C1101" s="57" t="s">
        <v>2</v>
      </c>
      <c r="D1101" s="57" t="s">
        <v>3</v>
      </c>
      <c r="E1101" s="57" t="s">
        <v>4</v>
      </c>
      <c r="F1101" s="57" t="s">
        <v>5</v>
      </c>
      <c r="G1101" s="57" t="s">
        <v>6</v>
      </c>
      <c r="H1101" s="57" t="s">
        <v>7</v>
      </c>
      <c r="I1101" s="57" t="s">
        <v>8</v>
      </c>
      <c r="J1101" s="57" t="s">
        <v>9</v>
      </c>
      <c r="K1101" s="57" t="s">
        <v>10</v>
      </c>
      <c r="L1101" s="57" t="s">
        <v>11</v>
      </c>
      <c r="M1101" s="57" t="s">
        <v>13</v>
      </c>
      <c r="N1101" s="10"/>
      <c r="O1101" s="10"/>
    </row>
    <row r="1102" spans="1:15" ht="15.6" x14ac:dyDescent="0.3">
      <c r="A1102" s="72"/>
      <c r="B1102" s="73"/>
      <c r="C1102" s="3" t="str">
        <f t="shared" ref="C1102:L1102" si="194">VLOOKUP($A1095,NotaIndividualPorAlunoFIS,RIGHT(C1101,2)+1,0)</f>
        <v/>
      </c>
      <c r="D1102" s="3" t="str">
        <f t="shared" si="194"/>
        <v/>
      </c>
      <c r="E1102" s="3" t="str">
        <f t="shared" si="194"/>
        <v/>
      </c>
      <c r="F1102" s="3" t="str">
        <f t="shared" si="194"/>
        <v/>
      </c>
      <c r="G1102" s="3" t="str">
        <f t="shared" si="194"/>
        <v/>
      </c>
      <c r="H1102" s="3" t="str">
        <f t="shared" si="194"/>
        <v/>
      </c>
      <c r="I1102" s="3" t="str">
        <f t="shared" si="194"/>
        <v/>
      </c>
      <c r="J1102" s="3" t="str">
        <f t="shared" si="194"/>
        <v/>
      </c>
      <c r="K1102" s="3" t="str">
        <f t="shared" si="194"/>
        <v/>
      </c>
      <c r="L1102" s="3" t="str">
        <f t="shared" si="194"/>
        <v/>
      </c>
      <c r="M1102" s="19" t="str">
        <f>VLOOKUP($A1095,NotaIndividualPorAlunoFIS,RIGHT(L1101,2)+2,0)</f>
        <v/>
      </c>
      <c r="N1102" s="10"/>
      <c r="O1102" s="10"/>
    </row>
    <row r="1103" spans="1:15" ht="15.6" x14ac:dyDescent="0.3">
      <c r="A1103" s="72"/>
      <c r="B1103" s="12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0"/>
      <c r="O1103" s="10"/>
    </row>
    <row r="1104" spans="1:15" ht="15.6" x14ac:dyDescent="0.3">
      <c r="A1104" s="72"/>
      <c r="B1104" s="73" t="s">
        <v>16</v>
      </c>
      <c r="C1104" s="23" t="s">
        <v>41</v>
      </c>
      <c r="D1104" s="58" t="s">
        <v>42</v>
      </c>
      <c r="E1104" s="23" t="s">
        <v>43</v>
      </c>
      <c r="F1104" s="58" t="s">
        <v>44</v>
      </c>
      <c r="G1104" s="23" t="s">
        <v>63</v>
      </c>
      <c r="H1104" s="58" t="s">
        <v>32</v>
      </c>
      <c r="I1104" s="14"/>
      <c r="J1104" s="14"/>
      <c r="K1104" s="14"/>
      <c r="L1104" s="14"/>
      <c r="M1104" s="15" t="s">
        <v>18</v>
      </c>
      <c r="N1104" s="10"/>
      <c r="O1104" s="10"/>
    </row>
    <row r="1105" spans="1:15" ht="15.6" x14ac:dyDescent="0.3">
      <c r="A1105" s="72"/>
      <c r="B1105" s="73"/>
      <c r="C1105" s="26" t="str">
        <f>VLOOKUP($A1095,NotaIndividualPorAlunoRED,2,0)</f>
        <v/>
      </c>
      <c r="D1105" s="26" t="str">
        <f>VLOOKUP($A1095,NotaIndividualPorAlunoRED,3,0)</f>
        <v/>
      </c>
      <c r="E1105" s="26" t="str">
        <f>VLOOKUP($A1095,NotaIndividualPorAlunoRED,4,0)</f>
        <v/>
      </c>
      <c r="F1105" s="26" t="str">
        <f>VLOOKUP($A1095,NotaIndividualPorAlunoRED,5,0)</f>
        <v/>
      </c>
      <c r="G1105" s="26" t="str">
        <f>VLOOKUP($A1095,NotaIndividualPorAlunoRED,6,0)</f>
        <v/>
      </c>
      <c r="H1105" s="21" t="str">
        <f>VLOOKUP($A1095,NotaIndividualPorAlunoRED,7,0)</f>
        <v/>
      </c>
      <c r="I1105" s="14"/>
      <c r="J1105" s="14"/>
      <c r="K1105" s="14"/>
      <c r="L1105" s="14"/>
      <c r="M1105" s="20" t="str">
        <f>VLOOKUP(A1095,NOTAS!C:I,7,0)</f>
        <v/>
      </c>
      <c r="N1105" s="10"/>
      <c r="O1105" s="10"/>
    </row>
    <row r="1106" spans="1:15" x14ac:dyDescent="0.3">
      <c r="A1106" s="72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0"/>
      <c r="O1106" s="10"/>
    </row>
    <row r="1107" spans="1:15" x14ac:dyDescent="0.3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</row>
    <row r="1108" spans="1:15" x14ac:dyDescent="0.3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</row>
    <row r="1109" spans="1:15" x14ac:dyDescent="0.3">
      <c r="A1109" s="58" t="s">
        <v>38</v>
      </c>
      <c r="B1109" s="57" t="s">
        <v>35</v>
      </c>
      <c r="C1109" s="57" t="s">
        <v>56</v>
      </c>
      <c r="D1109" s="57" t="s">
        <v>57</v>
      </c>
      <c r="E1109" s="57" t="s">
        <v>58</v>
      </c>
      <c r="F1109" s="57" t="s">
        <v>59</v>
      </c>
      <c r="G1109" s="57" t="s">
        <v>60</v>
      </c>
      <c r="H1109" s="57" t="s">
        <v>36</v>
      </c>
      <c r="I1109" s="57" t="s">
        <v>61</v>
      </c>
      <c r="J1109" s="57" t="s">
        <v>34</v>
      </c>
      <c r="K1109" s="57" t="s">
        <v>62</v>
      </c>
      <c r="L1109" s="16" t="s">
        <v>33</v>
      </c>
      <c r="M1109" s="57" t="s">
        <v>37</v>
      </c>
      <c r="N1109" s="10"/>
      <c r="O1109" s="10"/>
    </row>
    <row r="1110" spans="1:15" ht="15.6" x14ac:dyDescent="0.3">
      <c r="A1110" s="58" t="str" cm="1">
        <f t="array" ref="A1110">IF(ISERROR(INDEX(ListaDeAlunos,(((ROW()-2)/17)+1),(COLUMN()+1))),"",INDEX(ListaDeAlunos,(((ROW()-2)/17)+1),(COLUMN()+1)))</f>
        <v/>
      </c>
      <c r="B1110" s="17" t="str">
        <f>VLOOKUP($A1110,NotaIndividualPorAlunoPROVAO,2,0)</f>
        <v/>
      </c>
      <c r="C1110" s="18" t="str">
        <f>VLOOKUP($A1110,NotaIndividualPorAlunoPROVAO,3,0)</f>
        <v/>
      </c>
      <c r="D1110" s="17" t="str">
        <f>VLOOKUP($A1110,NotaIndividualPorAlunoPROVAO,4,0)</f>
        <v/>
      </c>
      <c r="E1110" s="18" t="str">
        <f>VLOOKUP($A1110,NotaIndividualPorAlunoPROVAO,5,0)</f>
        <v/>
      </c>
      <c r="F1110" s="17" t="str">
        <f>VLOOKUP($A1110,NotaIndividualPorAlunoPROVAO,6,0)</f>
        <v/>
      </c>
      <c r="G1110" s="18" t="str">
        <f>VLOOKUP($A1110,NotaIndividualPorAlunoPROVAO,7,0)</f>
        <v/>
      </c>
      <c r="H1110" s="17" t="str">
        <f>VLOOKUP($A1110,NotaIndividualPorAlunoPROVAO,8,0)</f>
        <v/>
      </c>
      <c r="I1110" s="18" t="str">
        <f>VLOOKUP($A1110,NotaIndividualPorAlunoPROVAO,9,0)</f>
        <v/>
      </c>
      <c r="J1110" s="17" t="str">
        <f>VLOOKUP($A1110,NotaIndividualPorAlunoPROVAO,10,0)</f>
        <v/>
      </c>
      <c r="K1110" s="18" t="str">
        <f>VLOOKUP($A1110,NotaIndividualPorAlunoPROVAO,11,0)</f>
        <v/>
      </c>
      <c r="L1110" s="15" t="str">
        <f>VLOOKUP($A1110,NotaIndividualPorAlunoPROVAO,12,0)</f>
        <v/>
      </c>
      <c r="M1110" s="25" t="str">
        <f>VLOOKUP($A1110,NotaIndividualPorAlunoPROVAO,13,0)</f>
        <v/>
      </c>
      <c r="N1110" s="10"/>
      <c r="O1110" s="10"/>
    </row>
    <row r="1111" spans="1:15" x14ac:dyDescent="0.3">
      <c r="N1111" s="10"/>
      <c r="O1111" s="10"/>
    </row>
    <row r="1112" spans="1:15" x14ac:dyDescent="0.3">
      <c r="A1112" s="72" t="str">
        <f>A1110</f>
        <v/>
      </c>
      <c r="B1112" s="73" t="s">
        <v>15</v>
      </c>
      <c r="C1112" s="57" t="s">
        <v>2</v>
      </c>
      <c r="D1112" s="57" t="s">
        <v>3</v>
      </c>
      <c r="E1112" s="57" t="s">
        <v>4</v>
      </c>
      <c r="F1112" s="57" t="s">
        <v>5</v>
      </c>
      <c r="G1112" s="57" t="s">
        <v>6</v>
      </c>
      <c r="H1112" s="57" t="s">
        <v>7</v>
      </c>
      <c r="I1112" s="57" t="s">
        <v>8</v>
      </c>
      <c r="J1112" s="57" t="s">
        <v>9</v>
      </c>
      <c r="K1112" s="57" t="s">
        <v>10</v>
      </c>
      <c r="L1112" s="57" t="s">
        <v>11</v>
      </c>
      <c r="M1112" s="57" t="s">
        <v>13</v>
      </c>
      <c r="N1112" s="10"/>
      <c r="O1112" s="10"/>
    </row>
    <row r="1113" spans="1:15" ht="15.6" x14ac:dyDescent="0.3">
      <c r="A1113" s="72"/>
      <c r="B1113" s="73"/>
      <c r="C1113" s="5" t="str">
        <f t="shared" ref="C1113:L1113" si="195">VLOOKUP($A1112,NotaIndividualPorAlunoMAT,RIGHT(C1112,2)+1,0)</f>
        <v/>
      </c>
      <c r="D1113" s="5" t="str">
        <f t="shared" si="195"/>
        <v/>
      </c>
      <c r="E1113" s="5" t="str">
        <f t="shared" si="195"/>
        <v/>
      </c>
      <c r="F1113" s="5" t="str">
        <f t="shared" si="195"/>
        <v/>
      </c>
      <c r="G1113" s="5" t="str">
        <f t="shared" si="195"/>
        <v/>
      </c>
      <c r="H1113" s="5" t="str">
        <f t="shared" si="195"/>
        <v/>
      </c>
      <c r="I1113" s="5" t="str">
        <f t="shared" si="195"/>
        <v/>
      </c>
      <c r="J1113" s="5" t="str">
        <f t="shared" si="195"/>
        <v/>
      </c>
      <c r="K1113" s="5" t="str">
        <f t="shared" si="195"/>
        <v/>
      </c>
      <c r="L1113" s="5" t="str">
        <f t="shared" si="195"/>
        <v/>
      </c>
      <c r="M1113" s="19" t="str">
        <f>VLOOKUP($A1112,NotaIndividualPorAlunoMAT,RIGHT(L1112,2)+2,0)</f>
        <v/>
      </c>
      <c r="N1113" s="10"/>
      <c r="O1113" s="10"/>
    </row>
    <row r="1114" spans="1:15" x14ac:dyDescent="0.3">
      <c r="A1114" s="72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0"/>
      <c r="O1114" s="10"/>
    </row>
    <row r="1115" spans="1:15" x14ac:dyDescent="0.3">
      <c r="A1115" s="72"/>
      <c r="B1115" s="73" t="s">
        <v>14</v>
      </c>
      <c r="C1115" s="57" t="s">
        <v>46</v>
      </c>
      <c r="D1115" s="57" t="s">
        <v>47</v>
      </c>
      <c r="E1115" s="57" t="s">
        <v>48</v>
      </c>
      <c r="F1115" s="57" t="s">
        <v>49</v>
      </c>
      <c r="G1115" s="57" t="s">
        <v>50</v>
      </c>
      <c r="H1115" s="57" t="s">
        <v>51</v>
      </c>
      <c r="I1115" s="57" t="s">
        <v>52</v>
      </c>
      <c r="J1115" s="57" t="s">
        <v>53</v>
      </c>
      <c r="K1115" s="57" t="s">
        <v>54</v>
      </c>
      <c r="L1115" s="57" t="s">
        <v>55</v>
      </c>
      <c r="M1115" s="57" t="s">
        <v>13</v>
      </c>
      <c r="N1115" s="10"/>
      <c r="O1115" s="10"/>
    </row>
    <row r="1116" spans="1:15" ht="15.6" x14ac:dyDescent="0.3">
      <c r="A1116" s="72"/>
      <c r="B1116" s="73"/>
      <c r="C1116" s="3" t="str">
        <f t="shared" ref="C1116:L1116" si="196">VLOOKUP($A1112,NotaIndividualPorAlunoQUI,RIGHT(C1115,2)-9,0)</f>
        <v/>
      </c>
      <c r="D1116" s="3" t="str">
        <f t="shared" si="196"/>
        <v/>
      </c>
      <c r="E1116" s="3" t="str">
        <f t="shared" si="196"/>
        <v/>
      </c>
      <c r="F1116" s="3" t="str">
        <f t="shared" si="196"/>
        <v/>
      </c>
      <c r="G1116" s="3" t="str">
        <f t="shared" si="196"/>
        <v/>
      </c>
      <c r="H1116" s="3" t="str">
        <f t="shared" si="196"/>
        <v/>
      </c>
      <c r="I1116" s="3" t="str">
        <f t="shared" si="196"/>
        <v/>
      </c>
      <c r="J1116" s="3" t="str">
        <f t="shared" si="196"/>
        <v/>
      </c>
      <c r="K1116" s="3" t="str">
        <f t="shared" si="196"/>
        <v/>
      </c>
      <c r="L1116" s="3" t="str">
        <f t="shared" si="196"/>
        <v/>
      </c>
      <c r="M1116" s="19" t="str">
        <f>VLOOKUP($A1112,NotaIndividualPorAlunoQUI,RIGHT(L1115,2)-8,0)</f>
        <v/>
      </c>
      <c r="N1116" s="10"/>
      <c r="O1116" s="10"/>
    </row>
    <row r="1117" spans="1:15" x14ac:dyDescent="0.3">
      <c r="A1117" s="72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0"/>
      <c r="O1117" s="10"/>
    </row>
    <row r="1118" spans="1:15" x14ac:dyDescent="0.3">
      <c r="A1118" s="72"/>
      <c r="B1118" s="73" t="s">
        <v>12</v>
      </c>
      <c r="C1118" s="57" t="s">
        <v>2</v>
      </c>
      <c r="D1118" s="57" t="s">
        <v>3</v>
      </c>
      <c r="E1118" s="57" t="s">
        <v>4</v>
      </c>
      <c r="F1118" s="57" t="s">
        <v>5</v>
      </c>
      <c r="G1118" s="57" t="s">
        <v>6</v>
      </c>
      <c r="H1118" s="57" t="s">
        <v>7</v>
      </c>
      <c r="I1118" s="57" t="s">
        <v>8</v>
      </c>
      <c r="J1118" s="57" t="s">
        <v>9</v>
      </c>
      <c r="K1118" s="57" t="s">
        <v>10</v>
      </c>
      <c r="L1118" s="57" t="s">
        <v>11</v>
      </c>
      <c r="M1118" s="57" t="s">
        <v>13</v>
      </c>
      <c r="N1118" s="10"/>
      <c r="O1118" s="10"/>
    </row>
    <row r="1119" spans="1:15" ht="15.6" x14ac:dyDescent="0.3">
      <c r="A1119" s="72"/>
      <c r="B1119" s="73"/>
      <c r="C1119" s="3" t="str">
        <f t="shared" ref="C1119:L1119" si="197">VLOOKUP($A1112,NotaIndividualPorAlunoFIS,RIGHT(C1118,2)+1,0)</f>
        <v/>
      </c>
      <c r="D1119" s="3" t="str">
        <f t="shared" si="197"/>
        <v/>
      </c>
      <c r="E1119" s="3" t="str">
        <f t="shared" si="197"/>
        <v/>
      </c>
      <c r="F1119" s="3" t="str">
        <f t="shared" si="197"/>
        <v/>
      </c>
      <c r="G1119" s="3" t="str">
        <f t="shared" si="197"/>
        <v/>
      </c>
      <c r="H1119" s="3" t="str">
        <f t="shared" si="197"/>
        <v/>
      </c>
      <c r="I1119" s="3" t="str">
        <f t="shared" si="197"/>
        <v/>
      </c>
      <c r="J1119" s="3" t="str">
        <f t="shared" si="197"/>
        <v/>
      </c>
      <c r="K1119" s="3" t="str">
        <f t="shared" si="197"/>
        <v/>
      </c>
      <c r="L1119" s="3" t="str">
        <f t="shared" si="197"/>
        <v/>
      </c>
      <c r="M1119" s="19" t="str">
        <f>VLOOKUP($A1112,NotaIndividualPorAlunoFIS,RIGHT(L1118,2)+2,0)</f>
        <v/>
      </c>
      <c r="N1119" s="10"/>
      <c r="O1119" s="10"/>
    </row>
    <row r="1120" spans="1:15" ht="15.6" x14ac:dyDescent="0.3">
      <c r="A1120" s="72"/>
      <c r="B1120" s="12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0"/>
      <c r="O1120" s="10"/>
    </row>
    <row r="1121" spans="1:15" ht="15.6" x14ac:dyDescent="0.3">
      <c r="A1121" s="72"/>
      <c r="B1121" s="73" t="s">
        <v>16</v>
      </c>
      <c r="C1121" s="23" t="s">
        <v>41</v>
      </c>
      <c r="D1121" s="58" t="s">
        <v>42</v>
      </c>
      <c r="E1121" s="23" t="s">
        <v>43</v>
      </c>
      <c r="F1121" s="58" t="s">
        <v>44</v>
      </c>
      <c r="G1121" s="23" t="s">
        <v>63</v>
      </c>
      <c r="H1121" s="58" t="s">
        <v>32</v>
      </c>
      <c r="I1121" s="14"/>
      <c r="J1121" s="14"/>
      <c r="K1121" s="14"/>
      <c r="L1121" s="14"/>
      <c r="M1121" s="15" t="s">
        <v>18</v>
      </c>
      <c r="N1121" s="10"/>
      <c r="O1121" s="10"/>
    </row>
    <row r="1122" spans="1:15" ht="15.6" x14ac:dyDescent="0.3">
      <c r="A1122" s="72"/>
      <c r="B1122" s="73"/>
      <c r="C1122" s="26" t="str">
        <f>VLOOKUP($A1112,NotaIndividualPorAlunoRED,2,0)</f>
        <v/>
      </c>
      <c r="D1122" s="26" t="str">
        <f>VLOOKUP($A1112,NotaIndividualPorAlunoRED,3,0)</f>
        <v/>
      </c>
      <c r="E1122" s="26" t="str">
        <f>VLOOKUP($A1112,NotaIndividualPorAlunoRED,4,0)</f>
        <v/>
      </c>
      <c r="F1122" s="26" t="str">
        <f>VLOOKUP($A1112,NotaIndividualPorAlunoRED,5,0)</f>
        <v/>
      </c>
      <c r="G1122" s="26" t="str">
        <f>VLOOKUP($A1112,NotaIndividualPorAlunoRED,6,0)</f>
        <v/>
      </c>
      <c r="H1122" s="21" t="str">
        <f>VLOOKUP($A1112,NotaIndividualPorAlunoRED,7,0)</f>
        <v/>
      </c>
      <c r="I1122" s="14"/>
      <c r="J1122" s="14"/>
      <c r="K1122" s="14"/>
      <c r="L1122" s="14"/>
      <c r="M1122" s="20" t="str">
        <f>VLOOKUP(A1112,NOTAS!C:I,7,0)</f>
        <v/>
      </c>
      <c r="N1122" s="10"/>
      <c r="O1122" s="10"/>
    </row>
    <row r="1123" spans="1:15" x14ac:dyDescent="0.3">
      <c r="A1123" s="72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0"/>
      <c r="O1123" s="10"/>
    </row>
    <row r="1124" spans="1:15" x14ac:dyDescent="0.3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</row>
    <row r="1125" spans="1:15" x14ac:dyDescent="0.3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</row>
    <row r="1126" spans="1:15" x14ac:dyDescent="0.3">
      <c r="A1126" s="58" t="s">
        <v>38</v>
      </c>
      <c r="B1126" s="57" t="s">
        <v>35</v>
      </c>
      <c r="C1126" s="57" t="s">
        <v>56</v>
      </c>
      <c r="D1126" s="57" t="s">
        <v>57</v>
      </c>
      <c r="E1126" s="57" t="s">
        <v>58</v>
      </c>
      <c r="F1126" s="57" t="s">
        <v>59</v>
      </c>
      <c r="G1126" s="57" t="s">
        <v>60</v>
      </c>
      <c r="H1126" s="57" t="s">
        <v>36</v>
      </c>
      <c r="I1126" s="57" t="s">
        <v>61</v>
      </c>
      <c r="J1126" s="57" t="s">
        <v>34</v>
      </c>
      <c r="K1126" s="57" t="s">
        <v>62</v>
      </c>
      <c r="L1126" s="16" t="s">
        <v>33</v>
      </c>
      <c r="M1126" s="57" t="s">
        <v>37</v>
      </c>
      <c r="N1126" s="10"/>
      <c r="O1126" s="10"/>
    </row>
    <row r="1127" spans="1:15" ht="15.6" x14ac:dyDescent="0.3">
      <c r="A1127" s="58" t="str" cm="1">
        <f t="array" ref="A1127">IF(ISERROR(INDEX(ListaDeAlunos,(((ROW()-2)/17)+1),(COLUMN()+1))),"",INDEX(ListaDeAlunos,(((ROW()-2)/17)+1),(COLUMN()+1)))</f>
        <v/>
      </c>
      <c r="B1127" s="17" t="str">
        <f>VLOOKUP($A1127,NotaIndividualPorAlunoPROVAO,2,0)</f>
        <v/>
      </c>
      <c r="C1127" s="18" t="str">
        <f>VLOOKUP($A1127,NotaIndividualPorAlunoPROVAO,3,0)</f>
        <v/>
      </c>
      <c r="D1127" s="17" t="str">
        <f>VLOOKUP($A1127,NotaIndividualPorAlunoPROVAO,4,0)</f>
        <v/>
      </c>
      <c r="E1127" s="18" t="str">
        <f>VLOOKUP($A1127,NotaIndividualPorAlunoPROVAO,5,0)</f>
        <v/>
      </c>
      <c r="F1127" s="17" t="str">
        <f>VLOOKUP($A1127,NotaIndividualPorAlunoPROVAO,6,0)</f>
        <v/>
      </c>
      <c r="G1127" s="18" t="str">
        <f>VLOOKUP($A1127,NotaIndividualPorAlunoPROVAO,7,0)</f>
        <v/>
      </c>
      <c r="H1127" s="17" t="str">
        <f>VLOOKUP($A1127,NotaIndividualPorAlunoPROVAO,8,0)</f>
        <v/>
      </c>
      <c r="I1127" s="18" t="str">
        <f>VLOOKUP($A1127,NotaIndividualPorAlunoPROVAO,9,0)</f>
        <v/>
      </c>
      <c r="J1127" s="17" t="str">
        <f>VLOOKUP($A1127,NotaIndividualPorAlunoPROVAO,10,0)</f>
        <v/>
      </c>
      <c r="K1127" s="18" t="str">
        <f>VLOOKUP($A1127,NotaIndividualPorAlunoPROVAO,11,0)</f>
        <v/>
      </c>
      <c r="L1127" s="15" t="str">
        <f>VLOOKUP($A1127,NotaIndividualPorAlunoPROVAO,12,0)</f>
        <v/>
      </c>
      <c r="M1127" s="25" t="str">
        <f>VLOOKUP($A1127,NotaIndividualPorAlunoPROVAO,13,0)</f>
        <v/>
      </c>
      <c r="N1127" s="10"/>
      <c r="O1127" s="10"/>
    </row>
    <row r="1128" spans="1:15" x14ac:dyDescent="0.3">
      <c r="N1128" s="10"/>
      <c r="O1128" s="10"/>
    </row>
    <row r="1129" spans="1:15" x14ac:dyDescent="0.3">
      <c r="A1129" s="72" t="str">
        <f>A1127</f>
        <v/>
      </c>
      <c r="B1129" s="73" t="s">
        <v>15</v>
      </c>
      <c r="C1129" s="57" t="s">
        <v>2</v>
      </c>
      <c r="D1129" s="57" t="s">
        <v>3</v>
      </c>
      <c r="E1129" s="57" t="s">
        <v>4</v>
      </c>
      <c r="F1129" s="57" t="s">
        <v>5</v>
      </c>
      <c r="G1129" s="57" t="s">
        <v>6</v>
      </c>
      <c r="H1129" s="57" t="s">
        <v>7</v>
      </c>
      <c r="I1129" s="57" t="s">
        <v>8</v>
      </c>
      <c r="J1129" s="57" t="s">
        <v>9</v>
      </c>
      <c r="K1129" s="57" t="s">
        <v>10</v>
      </c>
      <c r="L1129" s="57" t="s">
        <v>11</v>
      </c>
      <c r="M1129" s="57" t="s">
        <v>13</v>
      </c>
      <c r="N1129" s="10"/>
      <c r="O1129" s="10"/>
    </row>
    <row r="1130" spans="1:15" ht="15.6" x14ac:dyDescent="0.3">
      <c r="A1130" s="72"/>
      <c r="B1130" s="73"/>
      <c r="C1130" s="5" t="str">
        <f t="shared" ref="C1130:L1130" si="198">VLOOKUP($A1129,NotaIndividualPorAlunoMAT,RIGHT(C1129,2)+1,0)</f>
        <v/>
      </c>
      <c r="D1130" s="5" t="str">
        <f t="shared" si="198"/>
        <v/>
      </c>
      <c r="E1130" s="5" t="str">
        <f t="shared" si="198"/>
        <v/>
      </c>
      <c r="F1130" s="5" t="str">
        <f t="shared" si="198"/>
        <v/>
      </c>
      <c r="G1130" s="5" t="str">
        <f t="shared" si="198"/>
        <v/>
      </c>
      <c r="H1130" s="5" t="str">
        <f t="shared" si="198"/>
        <v/>
      </c>
      <c r="I1130" s="5" t="str">
        <f t="shared" si="198"/>
        <v/>
      </c>
      <c r="J1130" s="5" t="str">
        <f t="shared" si="198"/>
        <v/>
      </c>
      <c r="K1130" s="5" t="str">
        <f t="shared" si="198"/>
        <v/>
      </c>
      <c r="L1130" s="5" t="str">
        <f t="shared" si="198"/>
        <v/>
      </c>
      <c r="M1130" s="19" t="str">
        <f>VLOOKUP($A1129,NotaIndividualPorAlunoMAT,RIGHT(L1129,2)+2,0)</f>
        <v/>
      </c>
      <c r="N1130" s="10"/>
      <c r="O1130" s="10"/>
    </row>
    <row r="1131" spans="1:15" x14ac:dyDescent="0.3">
      <c r="A1131" s="72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0"/>
      <c r="O1131" s="10"/>
    </row>
    <row r="1132" spans="1:15" x14ac:dyDescent="0.3">
      <c r="A1132" s="72"/>
      <c r="B1132" s="73" t="s">
        <v>14</v>
      </c>
      <c r="C1132" s="57" t="s">
        <v>46</v>
      </c>
      <c r="D1132" s="57" t="s">
        <v>47</v>
      </c>
      <c r="E1132" s="57" t="s">
        <v>48</v>
      </c>
      <c r="F1132" s="57" t="s">
        <v>49</v>
      </c>
      <c r="G1132" s="57" t="s">
        <v>50</v>
      </c>
      <c r="H1132" s="57" t="s">
        <v>51</v>
      </c>
      <c r="I1132" s="57" t="s">
        <v>52</v>
      </c>
      <c r="J1132" s="57" t="s">
        <v>53</v>
      </c>
      <c r="K1132" s="57" t="s">
        <v>54</v>
      </c>
      <c r="L1132" s="57" t="s">
        <v>55</v>
      </c>
      <c r="M1132" s="57" t="s">
        <v>13</v>
      </c>
      <c r="N1132" s="10"/>
      <c r="O1132" s="10"/>
    </row>
    <row r="1133" spans="1:15" ht="15.6" x14ac:dyDescent="0.3">
      <c r="A1133" s="72"/>
      <c r="B1133" s="73"/>
      <c r="C1133" s="3" t="str">
        <f t="shared" ref="C1133:L1133" si="199">VLOOKUP($A1129,NotaIndividualPorAlunoQUI,RIGHT(C1132,2)-9,0)</f>
        <v/>
      </c>
      <c r="D1133" s="3" t="str">
        <f t="shared" si="199"/>
        <v/>
      </c>
      <c r="E1133" s="3" t="str">
        <f t="shared" si="199"/>
        <v/>
      </c>
      <c r="F1133" s="3" t="str">
        <f t="shared" si="199"/>
        <v/>
      </c>
      <c r="G1133" s="3" t="str">
        <f t="shared" si="199"/>
        <v/>
      </c>
      <c r="H1133" s="3" t="str">
        <f t="shared" si="199"/>
        <v/>
      </c>
      <c r="I1133" s="3" t="str">
        <f t="shared" si="199"/>
        <v/>
      </c>
      <c r="J1133" s="3" t="str">
        <f t="shared" si="199"/>
        <v/>
      </c>
      <c r="K1133" s="3" t="str">
        <f t="shared" si="199"/>
        <v/>
      </c>
      <c r="L1133" s="3" t="str">
        <f t="shared" si="199"/>
        <v/>
      </c>
      <c r="M1133" s="19" t="str">
        <f>VLOOKUP($A1129,NotaIndividualPorAlunoQUI,RIGHT(L1132,2)-8,0)</f>
        <v/>
      </c>
      <c r="N1133" s="10"/>
      <c r="O1133" s="10"/>
    </row>
    <row r="1134" spans="1:15" x14ac:dyDescent="0.3">
      <c r="A1134" s="72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0"/>
      <c r="O1134" s="10"/>
    </row>
    <row r="1135" spans="1:15" x14ac:dyDescent="0.3">
      <c r="A1135" s="72"/>
      <c r="B1135" s="73" t="s">
        <v>12</v>
      </c>
      <c r="C1135" s="57" t="s">
        <v>2</v>
      </c>
      <c r="D1135" s="57" t="s">
        <v>3</v>
      </c>
      <c r="E1135" s="57" t="s">
        <v>4</v>
      </c>
      <c r="F1135" s="57" t="s">
        <v>5</v>
      </c>
      <c r="G1135" s="57" t="s">
        <v>6</v>
      </c>
      <c r="H1135" s="57" t="s">
        <v>7</v>
      </c>
      <c r="I1135" s="57" t="s">
        <v>8</v>
      </c>
      <c r="J1135" s="57" t="s">
        <v>9</v>
      </c>
      <c r="K1135" s="57" t="s">
        <v>10</v>
      </c>
      <c r="L1135" s="57" t="s">
        <v>11</v>
      </c>
      <c r="M1135" s="57" t="s">
        <v>13</v>
      </c>
      <c r="N1135" s="10"/>
      <c r="O1135" s="10"/>
    </row>
    <row r="1136" spans="1:15" ht="15.6" x14ac:dyDescent="0.3">
      <c r="A1136" s="72"/>
      <c r="B1136" s="73"/>
      <c r="C1136" s="3" t="str">
        <f t="shared" ref="C1136:L1136" si="200">VLOOKUP($A1129,NotaIndividualPorAlunoFIS,RIGHT(C1135,2)+1,0)</f>
        <v/>
      </c>
      <c r="D1136" s="3" t="str">
        <f t="shared" si="200"/>
        <v/>
      </c>
      <c r="E1136" s="3" t="str">
        <f t="shared" si="200"/>
        <v/>
      </c>
      <c r="F1136" s="3" t="str">
        <f t="shared" si="200"/>
        <v/>
      </c>
      <c r="G1136" s="3" t="str">
        <f t="shared" si="200"/>
        <v/>
      </c>
      <c r="H1136" s="3" t="str">
        <f t="shared" si="200"/>
        <v/>
      </c>
      <c r="I1136" s="3" t="str">
        <f t="shared" si="200"/>
        <v/>
      </c>
      <c r="J1136" s="3" t="str">
        <f t="shared" si="200"/>
        <v/>
      </c>
      <c r="K1136" s="3" t="str">
        <f t="shared" si="200"/>
        <v/>
      </c>
      <c r="L1136" s="3" t="str">
        <f t="shared" si="200"/>
        <v/>
      </c>
      <c r="M1136" s="19" t="str">
        <f>VLOOKUP($A1129,NotaIndividualPorAlunoFIS,RIGHT(L1135,2)+2,0)</f>
        <v/>
      </c>
      <c r="N1136" s="10"/>
      <c r="O1136" s="10"/>
    </row>
    <row r="1137" spans="1:15" ht="15.6" x14ac:dyDescent="0.3">
      <c r="A1137" s="72"/>
      <c r="B1137" s="12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0"/>
      <c r="O1137" s="10"/>
    </row>
    <row r="1138" spans="1:15" ht="15.6" x14ac:dyDescent="0.3">
      <c r="A1138" s="72"/>
      <c r="B1138" s="73" t="s">
        <v>16</v>
      </c>
      <c r="C1138" s="23" t="s">
        <v>41</v>
      </c>
      <c r="D1138" s="58" t="s">
        <v>42</v>
      </c>
      <c r="E1138" s="23" t="s">
        <v>43</v>
      </c>
      <c r="F1138" s="58" t="s">
        <v>44</v>
      </c>
      <c r="G1138" s="23" t="s">
        <v>63</v>
      </c>
      <c r="H1138" s="58" t="s">
        <v>32</v>
      </c>
      <c r="I1138" s="14"/>
      <c r="J1138" s="14"/>
      <c r="K1138" s="14"/>
      <c r="L1138" s="14"/>
      <c r="M1138" s="15" t="s">
        <v>18</v>
      </c>
      <c r="N1138" s="10"/>
      <c r="O1138" s="10"/>
    </row>
    <row r="1139" spans="1:15" ht="15.6" x14ac:dyDescent="0.3">
      <c r="A1139" s="72"/>
      <c r="B1139" s="73"/>
      <c r="C1139" s="26" t="str">
        <f>VLOOKUP($A1129,NotaIndividualPorAlunoRED,2,0)</f>
        <v/>
      </c>
      <c r="D1139" s="26" t="str">
        <f>VLOOKUP($A1129,NotaIndividualPorAlunoRED,3,0)</f>
        <v/>
      </c>
      <c r="E1139" s="26" t="str">
        <f>VLOOKUP($A1129,NotaIndividualPorAlunoRED,4,0)</f>
        <v/>
      </c>
      <c r="F1139" s="26" t="str">
        <f>VLOOKUP($A1129,NotaIndividualPorAlunoRED,5,0)</f>
        <v/>
      </c>
      <c r="G1139" s="26" t="str">
        <f>VLOOKUP($A1129,NotaIndividualPorAlunoRED,6,0)</f>
        <v/>
      </c>
      <c r="H1139" s="21" t="str">
        <f>VLOOKUP($A1129,NotaIndividualPorAlunoRED,7,0)</f>
        <v/>
      </c>
      <c r="I1139" s="14"/>
      <c r="J1139" s="14"/>
      <c r="K1139" s="14"/>
      <c r="L1139" s="14"/>
      <c r="M1139" s="20" t="str">
        <f>VLOOKUP(A1129,NOTAS!C:I,7,0)</f>
        <v/>
      </c>
      <c r="N1139" s="10"/>
      <c r="O1139" s="10"/>
    </row>
    <row r="1140" spans="1:15" x14ac:dyDescent="0.3">
      <c r="A1140" s="72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0"/>
      <c r="O1140" s="10"/>
    </row>
    <row r="1141" spans="1:15" x14ac:dyDescent="0.3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</row>
    <row r="1142" spans="1:15" x14ac:dyDescent="0.3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</row>
    <row r="1143" spans="1:15" x14ac:dyDescent="0.3">
      <c r="A1143" s="58" t="s">
        <v>38</v>
      </c>
      <c r="B1143" s="57" t="s">
        <v>35</v>
      </c>
      <c r="C1143" s="57" t="s">
        <v>56</v>
      </c>
      <c r="D1143" s="57" t="s">
        <v>57</v>
      </c>
      <c r="E1143" s="57" t="s">
        <v>58</v>
      </c>
      <c r="F1143" s="57" t="s">
        <v>59</v>
      </c>
      <c r="G1143" s="57" t="s">
        <v>60</v>
      </c>
      <c r="H1143" s="57" t="s">
        <v>36</v>
      </c>
      <c r="I1143" s="57" t="s">
        <v>61</v>
      </c>
      <c r="J1143" s="57" t="s">
        <v>34</v>
      </c>
      <c r="K1143" s="57" t="s">
        <v>62</v>
      </c>
      <c r="L1143" s="16" t="s">
        <v>33</v>
      </c>
      <c r="M1143" s="57" t="s">
        <v>37</v>
      </c>
      <c r="N1143" s="10"/>
      <c r="O1143" s="10"/>
    </row>
    <row r="1144" spans="1:15" ht="15.6" x14ac:dyDescent="0.3">
      <c r="A1144" s="58" t="str" cm="1">
        <f t="array" ref="A1144">IF(ISERROR(INDEX(ListaDeAlunos,(((ROW()-2)/17)+1),(COLUMN()+1))),"",INDEX(ListaDeAlunos,(((ROW()-2)/17)+1),(COLUMN()+1)))</f>
        <v/>
      </c>
      <c r="B1144" s="17" t="str">
        <f>VLOOKUP($A1144,NotaIndividualPorAlunoPROVAO,2,0)</f>
        <v/>
      </c>
      <c r="C1144" s="18" t="str">
        <f>VLOOKUP($A1144,NotaIndividualPorAlunoPROVAO,3,0)</f>
        <v/>
      </c>
      <c r="D1144" s="17" t="str">
        <f>VLOOKUP($A1144,NotaIndividualPorAlunoPROVAO,4,0)</f>
        <v/>
      </c>
      <c r="E1144" s="18" t="str">
        <f>VLOOKUP($A1144,NotaIndividualPorAlunoPROVAO,5,0)</f>
        <v/>
      </c>
      <c r="F1144" s="17" t="str">
        <f>VLOOKUP($A1144,NotaIndividualPorAlunoPROVAO,6,0)</f>
        <v/>
      </c>
      <c r="G1144" s="18" t="str">
        <f>VLOOKUP($A1144,NotaIndividualPorAlunoPROVAO,7,0)</f>
        <v/>
      </c>
      <c r="H1144" s="17" t="str">
        <f>VLOOKUP($A1144,NotaIndividualPorAlunoPROVAO,8,0)</f>
        <v/>
      </c>
      <c r="I1144" s="18" t="str">
        <f>VLOOKUP($A1144,NotaIndividualPorAlunoPROVAO,9,0)</f>
        <v/>
      </c>
      <c r="J1144" s="17" t="str">
        <f>VLOOKUP($A1144,NotaIndividualPorAlunoPROVAO,10,0)</f>
        <v/>
      </c>
      <c r="K1144" s="18" t="str">
        <f>VLOOKUP($A1144,NotaIndividualPorAlunoPROVAO,11,0)</f>
        <v/>
      </c>
      <c r="L1144" s="15" t="str">
        <f>VLOOKUP($A1144,NotaIndividualPorAlunoPROVAO,12,0)</f>
        <v/>
      </c>
      <c r="M1144" s="25" t="str">
        <f>VLOOKUP($A1144,NotaIndividualPorAlunoPROVAO,13,0)</f>
        <v/>
      </c>
      <c r="N1144" s="10"/>
      <c r="O1144" s="10"/>
    </row>
    <row r="1145" spans="1:15" x14ac:dyDescent="0.3">
      <c r="N1145" s="10"/>
      <c r="O1145" s="10"/>
    </row>
    <row r="1146" spans="1:15" x14ac:dyDescent="0.3">
      <c r="A1146" s="72" t="str">
        <f>A1144</f>
        <v/>
      </c>
      <c r="B1146" s="73" t="s">
        <v>15</v>
      </c>
      <c r="C1146" s="57" t="s">
        <v>2</v>
      </c>
      <c r="D1146" s="57" t="s">
        <v>3</v>
      </c>
      <c r="E1146" s="57" t="s">
        <v>4</v>
      </c>
      <c r="F1146" s="57" t="s">
        <v>5</v>
      </c>
      <c r="G1146" s="57" t="s">
        <v>6</v>
      </c>
      <c r="H1146" s="57" t="s">
        <v>7</v>
      </c>
      <c r="I1146" s="57" t="s">
        <v>8</v>
      </c>
      <c r="J1146" s="57" t="s">
        <v>9</v>
      </c>
      <c r="K1146" s="57" t="s">
        <v>10</v>
      </c>
      <c r="L1146" s="57" t="s">
        <v>11</v>
      </c>
      <c r="M1146" s="57" t="s">
        <v>13</v>
      </c>
      <c r="N1146" s="10"/>
      <c r="O1146" s="10"/>
    </row>
    <row r="1147" spans="1:15" ht="15.6" x14ac:dyDescent="0.3">
      <c r="A1147" s="72"/>
      <c r="B1147" s="73"/>
      <c r="C1147" s="5" t="str">
        <f t="shared" ref="C1147:L1147" si="201">VLOOKUP($A1146,NotaIndividualPorAlunoMAT,RIGHT(C1146,2)+1,0)</f>
        <v/>
      </c>
      <c r="D1147" s="5" t="str">
        <f t="shared" si="201"/>
        <v/>
      </c>
      <c r="E1147" s="5" t="str">
        <f t="shared" si="201"/>
        <v/>
      </c>
      <c r="F1147" s="5" t="str">
        <f t="shared" si="201"/>
        <v/>
      </c>
      <c r="G1147" s="5" t="str">
        <f t="shared" si="201"/>
        <v/>
      </c>
      <c r="H1147" s="5" t="str">
        <f t="shared" si="201"/>
        <v/>
      </c>
      <c r="I1147" s="5" t="str">
        <f t="shared" si="201"/>
        <v/>
      </c>
      <c r="J1147" s="5" t="str">
        <f t="shared" si="201"/>
        <v/>
      </c>
      <c r="K1147" s="5" t="str">
        <f t="shared" si="201"/>
        <v/>
      </c>
      <c r="L1147" s="5" t="str">
        <f t="shared" si="201"/>
        <v/>
      </c>
      <c r="M1147" s="19" t="str">
        <f>VLOOKUP($A1146,NotaIndividualPorAlunoMAT,RIGHT(L1146,2)+2,0)</f>
        <v/>
      </c>
      <c r="N1147" s="10"/>
      <c r="O1147" s="10"/>
    </row>
    <row r="1148" spans="1:15" x14ac:dyDescent="0.3">
      <c r="A1148" s="72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0"/>
      <c r="O1148" s="10"/>
    </row>
    <row r="1149" spans="1:15" x14ac:dyDescent="0.3">
      <c r="A1149" s="72"/>
      <c r="B1149" s="73" t="s">
        <v>14</v>
      </c>
      <c r="C1149" s="57" t="s">
        <v>46</v>
      </c>
      <c r="D1149" s="57" t="s">
        <v>47</v>
      </c>
      <c r="E1149" s="57" t="s">
        <v>48</v>
      </c>
      <c r="F1149" s="57" t="s">
        <v>49</v>
      </c>
      <c r="G1149" s="57" t="s">
        <v>50</v>
      </c>
      <c r="H1149" s="57" t="s">
        <v>51</v>
      </c>
      <c r="I1149" s="57" t="s">
        <v>52</v>
      </c>
      <c r="J1149" s="57" t="s">
        <v>53</v>
      </c>
      <c r="K1149" s="57" t="s">
        <v>54</v>
      </c>
      <c r="L1149" s="57" t="s">
        <v>55</v>
      </c>
      <c r="M1149" s="57" t="s">
        <v>13</v>
      </c>
      <c r="N1149" s="10"/>
      <c r="O1149" s="10"/>
    </row>
    <row r="1150" spans="1:15" ht="15.6" x14ac:dyDescent="0.3">
      <c r="A1150" s="72"/>
      <c r="B1150" s="73"/>
      <c r="C1150" s="3" t="str">
        <f t="shared" ref="C1150:L1150" si="202">VLOOKUP($A1146,NotaIndividualPorAlunoQUI,RIGHT(C1149,2)-9,0)</f>
        <v/>
      </c>
      <c r="D1150" s="3" t="str">
        <f t="shared" si="202"/>
        <v/>
      </c>
      <c r="E1150" s="3" t="str">
        <f t="shared" si="202"/>
        <v/>
      </c>
      <c r="F1150" s="3" t="str">
        <f t="shared" si="202"/>
        <v/>
      </c>
      <c r="G1150" s="3" t="str">
        <f t="shared" si="202"/>
        <v/>
      </c>
      <c r="H1150" s="3" t="str">
        <f t="shared" si="202"/>
        <v/>
      </c>
      <c r="I1150" s="3" t="str">
        <f t="shared" si="202"/>
        <v/>
      </c>
      <c r="J1150" s="3" t="str">
        <f t="shared" si="202"/>
        <v/>
      </c>
      <c r="K1150" s="3" t="str">
        <f t="shared" si="202"/>
        <v/>
      </c>
      <c r="L1150" s="3" t="str">
        <f t="shared" si="202"/>
        <v/>
      </c>
      <c r="M1150" s="19" t="str">
        <f>VLOOKUP($A1146,NotaIndividualPorAlunoQUI,RIGHT(L1149,2)-8,0)</f>
        <v/>
      </c>
      <c r="N1150" s="10"/>
      <c r="O1150" s="10"/>
    </row>
    <row r="1151" spans="1:15" x14ac:dyDescent="0.3">
      <c r="A1151" s="72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0"/>
      <c r="O1151" s="10"/>
    </row>
    <row r="1152" spans="1:15" x14ac:dyDescent="0.3">
      <c r="A1152" s="72"/>
      <c r="B1152" s="73" t="s">
        <v>12</v>
      </c>
      <c r="C1152" s="57" t="s">
        <v>2</v>
      </c>
      <c r="D1152" s="57" t="s">
        <v>3</v>
      </c>
      <c r="E1152" s="57" t="s">
        <v>4</v>
      </c>
      <c r="F1152" s="57" t="s">
        <v>5</v>
      </c>
      <c r="G1152" s="57" t="s">
        <v>6</v>
      </c>
      <c r="H1152" s="57" t="s">
        <v>7</v>
      </c>
      <c r="I1152" s="57" t="s">
        <v>8</v>
      </c>
      <c r="J1152" s="57" t="s">
        <v>9</v>
      </c>
      <c r="K1152" s="57" t="s">
        <v>10</v>
      </c>
      <c r="L1152" s="57" t="s">
        <v>11</v>
      </c>
      <c r="M1152" s="57" t="s">
        <v>13</v>
      </c>
      <c r="N1152" s="10"/>
      <c r="O1152" s="10"/>
    </row>
    <row r="1153" spans="1:15" ht="15.6" x14ac:dyDescent="0.3">
      <c r="A1153" s="72"/>
      <c r="B1153" s="73"/>
      <c r="C1153" s="3" t="str">
        <f t="shared" ref="C1153:L1153" si="203">VLOOKUP($A1146,NotaIndividualPorAlunoFIS,RIGHT(C1152,2)+1,0)</f>
        <v/>
      </c>
      <c r="D1153" s="3" t="str">
        <f t="shared" si="203"/>
        <v/>
      </c>
      <c r="E1153" s="3" t="str">
        <f t="shared" si="203"/>
        <v/>
      </c>
      <c r="F1153" s="3" t="str">
        <f t="shared" si="203"/>
        <v/>
      </c>
      <c r="G1153" s="3" t="str">
        <f t="shared" si="203"/>
        <v/>
      </c>
      <c r="H1153" s="3" t="str">
        <f t="shared" si="203"/>
        <v/>
      </c>
      <c r="I1153" s="3" t="str">
        <f t="shared" si="203"/>
        <v/>
      </c>
      <c r="J1153" s="3" t="str">
        <f t="shared" si="203"/>
        <v/>
      </c>
      <c r="K1153" s="3" t="str">
        <f t="shared" si="203"/>
        <v/>
      </c>
      <c r="L1153" s="3" t="str">
        <f t="shared" si="203"/>
        <v/>
      </c>
      <c r="M1153" s="19" t="str">
        <f>VLOOKUP($A1146,NotaIndividualPorAlunoFIS,RIGHT(L1152,2)+2,0)</f>
        <v/>
      </c>
      <c r="N1153" s="10"/>
      <c r="O1153" s="10"/>
    </row>
    <row r="1154" spans="1:15" ht="15.6" x14ac:dyDescent="0.3">
      <c r="A1154" s="72"/>
      <c r="B1154" s="12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0"/>
      <c r="O1154" s="10"/>
    </row>
    <row r="1155" spans="1:15" ht="15.6" x14ac:dyDescent="0.3">
      <c r="A1155" s="72"/>
      <c r="B1155" s="73" t="s">
        <v>16</v>
      </c>
      <c r="C1155" s="23" t="s">
        <v>41</v>
      </c>
      <c r="D1155" s="58" t="s">
        <v>42</v>
      </c>
      <c r="E1155" s="23" t="s">
        <v>43</v>
      </c>
      <c r="F1155" s="58" t="s">
        <v>44</v>
      </c>
      <c r="G1155" s="23" t="s">
        <v>63</v>
      </c>
      <c r="H1155" s="58" t="s">
        <v>32</v>
      </c>
      <c r="I1155" s="14"/>
      <c r="J1155" s="14"/>
      <c r="K1155" s="14"/>
      <c r="L1155" s="14"/>
      <c r="M1155" s="15" t="s">
        <v>18</v>
      </c>
      <c r="N1155" s="10"/>
      <c r="O1155" s="10"/>
    </row>
    <row r="1156" spans="1:15" ht="15.6" x14ac:dyDescent="0.3">
      <c r="A1156" s="72"/>
      <c r="B1156" s="73"/>
      <c r="C1156" s="26" t="str">
        <f>VLOOKUP($A1146,NotaIndividualPorAlunoRED,2,0)</f>
        <v/>
      </c>
      <c r="D1156" s="26" t="str">
        <f>VLOOKUP($A1146,NotaIndividualPorAlunoRED,3,0)</f>
        <v/>
      </c>
      <c r="E1156" s="26" t="str">
        <f>VLOOKUP($A1146,NotaIndividualPorAlunoRED,4,0)</f>
        <v/>
      </c>
      <c r="F1156" s="26" t="str">
        <f>VLOOKUP($A1146,NotaIndividualPorAlunoRED,5,0)</f>
        <v/>
      </c>
      <c r="G1156" s="26" t="str">
        <f>VLOOKUP($A1146,NotaIndividualPorAlunoRED,6,0)</f>
        <v/>
      </c>
      <c r="H1156" s="21" t="str">
        <f>VLOOKUP($A1146,NotaIndividualPorAlunoRED,7,0)</f>
        <v/>
      </c>
      <c r="I1156" s="14"/>
      <c r="J1156" s="14"/>
      <c r="K1156" s="14"/>
      <c r="L1156" s="14"/>
      <c r="M1156" s="20" t="str">
        <f>VLOOKUP(A1146,NOTAS!C:I,7,0)</f>
        <v/>
      </c>
      <c r="N1156" s="10"/>
      <c r="O1156" s="10"/>
    </row>
    <row r="1157" spans="1:15" x14ac:dyDescent="0.3">
      <c r="A1157" s="72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0"/>
      <c r="O1157" s="10"/>
    </row>
    <row r="1158" spans="1:15" x14ac:dyDescent="0.3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</row>
    <row r="1159" spans="1:15" x14ac:dyDescent="0.3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</row>
    <row r="1160" spans="1:15" x14ac:dyDescent="0.3">
      <c r="A1160" s="58" t="s">
        <v>38</v>
      </c>
      <c r="B1160" s="57" t="s">
        <v>35</v>
      </c>
      <c r="C1160" s="57" t="s">
        <v>56</v>
      </c>
      <c r="D1160" s="57" t="s">
        <v>57</v>
      </c>
      <c r="E1160" s="57" t="s">
        <v>58</v>
      </c>
      <c r="F1160" s="57" t="s">
        <v>59</v>
      </c>
      <c r="G1160" s="57" t="s">
        <v>60</v>
      </c>
      <c r="H1160" s="57" t="s">
        <v>36</v>
      </c>
      <c r="I1160" s="57" t="s">
        <v>61</v>
      </c>
      <c r="J1160" s="57" t="s">
        <v>34</v>
      </c>
      <c r="K1160" s="57" t="s">
        <v>62</v>
      </c>
      <c r="L1160" s="16" t="s">
        <v>33</v>
      </c>
      <c r="M1160" s="57" t="s">
        <v>37</v>
      </c>
      <c r="N1160" s="10"/>
      <c r="O1160" s="10"/>
    </row>
    <row r="1161" spans="1:15" ht="15.6" x14ac:dyDescent="0.3">
      <c r="A1161" s="58" t="str" cm="1">
        <f t="array" ref="A1161">IF(ISERROR(INDEX(ListaDeAlunos,(((ROW()-2)/17)+1),(COLUMN()+1))),"",INDEX(ListaDeAlunos,(((ROW()-2)/17)+1),(COLUMN()+1)))</f>
        <v/>
      </c>
      <c r="B1161" s="17" t="str">
        <f>VLOOKUP($A1161,NotaIndividualPorAlunoPROVAO,2,0)</f>
        <v/>
      </c>
      <c r="C1161" s="18" t="str">
        <f>VLOOKUP($A1161,NotaIndividualPorAlunoPROVAO,3,0)</f>
        <v/>
      </c>
      <c r="D1161" s="17" t="str">
        <f>VLOOKUP($A1161,NotaIndividualPorAlunoPROVAO,4,0)</f>
        <v/>
      </c>
      <c r="E1161" s="18" t="str">
        <f>VLOOKUP($A1161,NotaIndividualPorAlunoPROVAO,5,0)</f>
        <v/>
      </c>
      <c r="F1161" s="17" t="str">
        <f>VLOOKUP($A1161,NotaIndividualPorAlunoPROVAO,6,0)</f>
        <v/>
      </c>
      <c r="G1161" s="18" t="str">
        <f>VLOOKUP($A1161,NotaIndividualPorAlunoPROVAO,7,0)</f>
        <v/>
      </c>
      <c r="H1161" s="17" t="str">
        <f>VLOOKUP($A1161,NotaIndividualPorAlunoPROVAO,8,0)</f>
        <v/>
      </c>
      <c r="I1161" s="18" t="str">
        <f>VLOOKUP($A1161,NotaIndividualPorAlunoPROVAO,9,0)</f>
        <v/>
      </c>
      <c r="J1161" s="17" t="str">
        <f>VLOOKUP($A1161,NotaIndividualPorAlunoPROVAO,10,0)</f>
        <v/>
      </c>
      <c r="K1161" s="18" t="str">
        <f>VLOOKUP($A1161,NotaIndividualPorAlunoPROVAO,11,0)</f>
        <v/>
      </c>
      <c r="L1161" s="15" t="str">
        <f>VLOOKUP($A1161,NotaIndividualPorAlunoPROVAO,12,0)</f>
        <v/>
      </c>
      <c r="M1161" s="25" t="str">
        <f>VLOOKUP($A1161,NotaIndividualPorAlunoPROVAO,13,0)</f>
        <v/>
      </c>
      <c r="N1161" s="10"/>
      <c r="O1161" s="10"/>
    </row>
    <row r="1162" spans="1:15" x14ac:dyDescent="0.3">
      <c r="N1162" s="10"/>
      <c r="O1162" s="10"/>
    </row>
    <row r="1163" spans="1:15" x14ac:dyDescent="0.3">
      <c r="A1163" s="72" t="str">
        <f>A1161</f>
        <v/>
      </c>
      <c r="B1163" s="73" t="s">
        <v>15</v>
      </c>
      <c r="C1163" s="57" t="s">
        <v>2</v>
      </c>
      <c r="D1163" s="57" t="s">
        <v>3</v>
      </c>
      <c r="E1163" s="57" t="s">
        <v>4</v>
      </c>
      <c r="F1163" s="57" t="s">
        <v>5</v>
      </c>
      <c r="G1163" s="57" t="s">
        <v>6</v>
      </c>
      <c r="H1163" s="57" t="s">
        <v>7</v>
      </c>
      <c r="I1163" s="57" t="s">
        <v>8</v>
      </c>
      <c r="J1163" s="57" t="s">
        <v>9</v>
      </c>
      <c r="K1163" s="57" t="s">
        <v>10</v>
      </c>
      <c r="L1163" s="57" t="s">
        <v>11</v>
      </c>
      <c r="M1163" s="57" t="s">
        <v>13</v>
      </c>
      <c r="N1163" s="10"/>
      <c r="O1163" s="10"/>
    </row>
    <row r="1164" spans="1:15" ht="15.6" x14ac:dyDescent="0.3">
      <c r="A1164" s="72"/>
      <c r="B1164" s="73"/>
      <c r="C1164" s="5" t="str">
        <f t="shared" ref="C1164:L1164" si="204">VLOOKUP($A1163,NotaIndividualPorAlunoMAT,RIGHT(C1163,2)+1,0)</f>
        <v/>
      </c>
      <c r="D1164" s="5" t="str">
        <f t="shared" si="204"/>
        <v/>
      </c>
      <c r="E1164" s="5" t="str">
        <f t="shared" si="204"/>
        <v/>
      </c>
      <c r="F1164" s="5" t="str">
        <f t="shared" si="204"/>
        <v/>
      </c>
      <c r="G1164" s="5" t="str">
        <f t="shared" si="204"/>
        <v/>
      </c>
      <c r="H1164" s="5" t="str">
        <f t="shared" si="204"/>
        <v/>
      </c>
      <c r="I1164" s="5" t="str">
        <f t="shared" si="204"/>
        <v/>
      </c>
      <c r="J1164" s="5" t="str">
        <f t="shared" si="204"/>
        <v/>
      </c>
      <c r="K1164" s="5" t="str">
        <f t="shared" si="204"/>
        <v/>
      </c>
      <c r="L1164" s="5" t="str">
        <f t="shared" si="204"/>
        <v/>
      </c>
      <c r="M1164" s="19" t="str">
        <f>VLOOKUP($A1163,NotaIndividualPorAlunoMAT,RIGHT(L1163,2)+2,0)</f>
        <v/>
      </c>
      <c r="N1164" s="10"/>
      <c r="O1164" s="10"/>
    </row>
    <row r="1165" spans="1:15" x14ac:dyDescent="0.3">
      <c r="A1165" s="72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0"/>
      <c r="O1165" s="10"/>
    </row>
    <row r="1166" spans="1:15" x14ac:dyDescent="0.3">
      <c r="A1166" s="72"/>
      <c r="B1166" s="73" t="s">
        <v>14</v>
      </c>
      <c r="C1166" s="57" t="s">
        <v>46</v>
      </c>
      <c r="D1166" s="57" t="s">
        <v>47</v>
      </c>
      <c r="E1166" s="57" t="s">
        <v>48</v>
      </c>
      <c r="F1166" s="57" t="s">
        <v>49</v>
      </c>
      <c r="G1166" s="57" t="s">
        <v>50</v>
      </c>
      <c r="H1166" s="57" t="s">
        <v>51</v>
      </c>
      <c r="I1166" s="57" t="s">
        <v>52</v>
      </c>
      <c r="J1166" s="57" t="s">
        <v>53</v>
      </c>
      <c r="K1166" s="57" t="s">
        <v>54</v>
      </c>
      <c r="L1166" s="57" t="s">
        <v>55</v>
      </c>
      <c r="M1166" s="57" t="s">
        <v>13</v>
      </c>
      <c r="N1166" s="10"/>
      <c r="O1166" s="10"/>
    </row>
    <row r="1167" spans="1:15" ht="15.6" x14ac:dyDescent="0.3">
      <c r="A1167" s="72"/>
      <c r="B1167" s="73"/>
      <c r="C1167" s="3" t="str">
        <f t="shared" ref="C1167:L1167" si="205">VLOOKUP($A1163,NotaIndividualPorAlunoQUI,RIGHT(C1166,2)-9,0)</f>
        <v/>
      </c>
      <c r="D1167" s="3" t="str">
        <f t="shared" si="205"/>
        <v/>
      </c>
      <c r="E1167" s="3" t="str">
        <f t="shared" si="205"/>
        <v/>
      </c>
      <c r="F1167" s="3" t="str">
        <f t="shared" si="205"/>
        <v/>
      </c>
      <c r="G1167" s="3" t="str">
        <f t="shared" si="205"/>
        <v/>
      </c>
      <c r="H1167" s="3" t="str">
        <f t="shared" si="205"/>
        <v/>
      </c>
      <c r="I1167" s="3" t="str">
        <f t="shared" si="205"/>
        <v/>
      </c>
      <c r="J1167" s="3" t="str">
        <f t="shared" si="205"/>
        <v/>
      </c>
      <c r="K1167" s="3" t="str">
        <f t="shared" si="205"/>
        <v/>
      </c>
      <c r="L1167" s="3" t="str">
        <f t="shared" si="205"/>
        <v/>
      </c>
      <c r="M1167" s="19" t="str">
        <f>VLOOKUP($A1163,NotaIndividualPorAlunoQUI,RIGHT(L1166,2)-8,0)</f>
        <v/>
      </c>
      <c r="N1167" s="10"/>
      <c r="O1167" s="10"/>
    </row>
    <row r="1168" spans="1:15" x14ac:dyDescent="0.3">
      <c r="A1168" s="72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0"/>
      <c r="O1168" s="10"/>
    </row>
    <row r="1169" spans="1:15" x14ac:dyDescent="0.3">
      <c r="A1169" s="72"/>
      <c r="B1169" s="73" t="s">
        <v>12</v>
      </c>
      <c r="C1169" s="57" t="s">
        <v>2</v>
      </c>
      <c r="D1169" s="57" t="s">
        <v>3</v>
      </c>
      <c r="E1169" s="57" t="s">
        <v>4</v>
      </c>
      <c r="F1169" s="57" t="s">
        <v>5</v>
      </c>
      <c r="G1169" s="57" t="s">
        <v>6</v>
      </c>
      <c r="H1169" s="57" t="s">
        <v>7</v>
      </c>
      <c r="I1169" s="57" t="s">
        <v>8</v>
      </c>
      <c r="J1169" s="57" t="s">
        <v>9</v>
      </c>
      <c r="K1169" s="57" t="s">
        <v>10</v>
      </c>
      <c r="L1169" s="57" t="s">
        <v>11</v>
      </c>
      <c r="M1169" s="57" t="s">
        <v>13</v>
      </c>
      <c r="N1169" s="10"/>
      <c r="O1169" s="10"/>
    </row>
    <row r="1170" spans="1:15" ht="15.6" x14ac:dyDescent="0.3">
      <c r="A1170" s="72"/>
      <c r="B1170" s="73"/>
      <c r="C1170" s="3" t="str">
        <f t="shared" ref="C1170:L1170" si="206">VLOOKUP($A1163,NotaIndividualPorAlunoFIS,RIGHT(C1169,2)+1,0)</f>
        <v/>
      </c>
      <c r="D1170" s="3" t="str">
        <f t="shared" si="206"/>
        <v/>
      </c>
      <c r="E1170" s="3" t="str">
        <f t="shared" si="206"/>
        <v/>
      </c>
      <c r="F1170" s="3" t="str">
        <f t="shared" si="206"/>
        <v/>
      </c>
      <c r="G1170" s="3" t="str">
        <f t="shared" si="206"/>
        <v/>
      </c>
      <c r="H1170" s="3" t="str">
        <f t="shared" si="206"/>
        <v/>
      </c>
      <c r="I1170" s="3" t="str">
        <f t="shared" si="206"/>
        <v/>
      </c>
      <c r="J1170" s="3" t="str">
        <f t="shared" si="206"/>
        <v/>
      </c>
      <c r="K1170" s="3" t="str">
        <f t="shared" si="206"/>
        <v/>
      </c>
      <c r="L1170" s="3" t="str">
        <f t="shared" si="206"/>
        <v/>
      </c>
      <c r="M1170" s="19" t="str">
        <f>VLOOKUP($A1163,NotaIndividualPorAlunoFIS,RIGHT(L1169,2)+2,0)</f>
        <v/>
      </c>
      <c r="N1170" s="10"/>
      <c r="O1170" s="10"/>
    </row>
    <row r="1171" spans="1:15" ht="15.6" x14ac:dyDescent="0.3">
      <c r="A1171" s="72"/>
      <c r="B1171" s="12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0"/>
      <c r="O1171" s="10"/>
    </row>
    <row r="1172" spans="1:15" ht="15.6" x14ac:dyDescent="0.3">
      <c r="A1172" s="72"/>
      <c r="B1172" s="73" t="s">
        <v>16</v>
      </c>
      <c r="C1172" s="23" t="s">
        <v>41</v>
      </c>
      <c r="D1172" s="58" t="s">
        <v>42</v>
      </c>
      <c r="E1172" s="23" t="s">
        <v>43</v>
      </c>
      <c r="F1172" s="58" t="s">
        <v>44</v>
      </c>
      <c r="G1172" s="23" t="s">
        <v>63</v>
      </c>
      <c r="H1172" s="58" t="s">
        <v>32</v>
      </c>
      <c r="I1172" s="14"/>
      <c r="J1172" s="14"/>
      <c r="K1172" s="14"/>
      <c r="L1172" s="14"/>
      <c r="M1172" s="15" t="s">
        <v>18</v>
      </c>
      <c r="N1172" s="10"/>
      <c r="O1172" s="10"/>
    </row>
    <row r="1173" spans="1:15" ht="15.6" x14ac:dyDescent="0.3">
      <c r="A1173" s="72"/>
      <c r="B1173" s="73"/>
      <c r="C1173" s="26" t="str">
        <f>VLOOKUP($A1163,NotaIndividualPorAlunoRED,2,0)</f>
        <v/>
      </c>
      <c r="D1173" s="26" t="str">
        <f>VLOOKUP($A1163,NotaIndividualPorAlunoRED,3,0)</f>
        <v/>
      </c>
      <c r="E1173" s="26" t="str">
        <f>VLOOKUP($A1163,NotaIndividualPorAlunoRED,4,0)</f>
        <v/>
      </c>
      <c r="F1173" s="26" t="str">
        <f>VLOOKUP($A1163,NotaIndividualPorAlunoRED,5,0)</f>
        <v/>
      </c>
      <c r="G1173" s="26" t="str">
        <f>VLOOKUP($A1163,NotaIndividualPorAlunoRED,6,0)</f>
        <v/>
      </c>
      <c r="H1173" s="21" t="str">
        <f>VLOOKUP($A1163,NotaIndividualPorAlunoRED,7,0)</f>
        <v/>
      </c>
      <c r="I1173" s="14"/>
      <c r="J1173" s="14"/>
      <c r="K1173" s="14"/>
      <c r="L1173" s="14"/>
      <c r="M1173" s="20" t="str">
        <f>VLOOKUP(A1163,NOTAS!C:I,7,0)</f>
        <v/>
      </c>
      <c r="N1173" s="10"/>
      <c r="O1173" s="10"/>
    </row>
    <row r="1174" spans="1:15" x14ac:dyDescent="0.3">
      <c r="A1174" s="72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0"/>
      <c r="O1174" s="10"/>
    </row>
    <row r="1175" spans="1:15" x14ac:dyDescent="0.3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</row>
    <row r="1176" spans="1:15" x14ac:dyDescent="0.3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</row>
    <row r="1177" spans="1:15" x14ac:dyDescent="0.3">
      <c r="A1177" s="58" t="s">
        <v>38</v>
      </c>
      <c r="B1177" s="57" t="s">
        <v>35</v>
      </c>
      <c r="C1177" s="57" t="s">
        <v>56</v>
      </c>
      <c r="D1177" s="57" t="s">
        <v>57</v>
      </c>
      <c r="E1177" s="57" t="s">
        <v>58</v>
      </c>
      <c r="F1177" s="57" t="s">
        <v>59</v>
      </c>
      <c r="G1177" s="57" t="s">
        <v>60</v>
      </c>
      <c r="H1177" s="57" t="s">
        <v>36</v>
      </c>
      <c r="I1177" s="57" t="s">
        <v>61</v>
      </c>
      <c r="J1177" s="57" t="s">
        <v>34</v>
      </c>
      <c r="K1177" s="57" t="s">
        <v>62</v>
      </c>
      <c r="L1177" s="16" t="s">
        <v>33</v>
      </c>
      <c r="M1177" s="57" t="s">
        <v>37</v>
      </c>
      <c r="N1177" s="10"/>
      <c r="O1177" s="10"/>
    </row>
    <row r="1178" spans="1:15" ht="15.6" x14ac:dyDescent="0.3">
      <c r="A1178" s="58" t="str" cm="1">
        <f t="array" ref="A1178">IF(ISERROR(INDEX(ListaDeAlunos,(((ROW()-2)/17)+1),(COLUMN()+1))),"",INDEX(ListaDeAlunos,(((ROW()-2)/17)+1),(COLUMN()+1)))</f>
        <v/>
      </c>
      <c r="B1178" s="17" t="str">
        <f>VLOOKUP($A1178,NotaIndividualPorAlunoPROVAO,2,0)</f>
        <v/>
      </c>
      <c r="C1178" s="18" t="str">
        <f>VLOOKUP($A1178,NotaIndividualPorAlunoPROVAO,3,0)</f>
        <v/>
      </c>
      <c r="D1178" s="17" t="str">
        <f>VLOOKUP($A1178,NotaIndividualPorAlunoPROVAO,4,0)</f>
        <v/>
      </c>
      <c r="E1178" s="18" t="str">
        <f>VLOOKUP($A1178,NotaIndividualPorAlunoPROVAO,5,0)</f>
        <v/>
      </c>
      <c r="F1178" s="17" t="str">
        <f>VLOOKUP($A1178,NotaIndividualPorAlunoPROVAO,6,0)</f>
        <v/>
      </c>
      <c r="G1178" s="18" t="str">
        <f>VLOOKUP($A1178,NotaIndividualPorAlunoPROVAO,7,0)</f>
        <v/>
      </c>
      <c r="H1178" s="17" t="str">
        <f>VLOOKUP($A1178,NotaIndividualPorAlunoPROVAO,8,0)</f>
        <v/>
      </c>
      <c r="I1178" s="18" t="str">
        <f>VLOOKUP($A1178,NotaIndividualPorAlunoPROVAO,9,0)</f>
        <v/>
      </c>
      <c r="J1178" s="17" t="str">
        <f>VLOOKUP($A1178,NotaIndividualPorAlunoPROVAO,10,0)</f>
        <v/>
      </c>
      <c r="K1178" s="18" t="str">
        <f>VLOOKUP($A1178,NotaIndividualPorAlunoPROVAO,11,0)</f>
        <v/>
      </c>
      <c r="L1178" s="15" t="str">
        <f>VLOOKUP($A1178,NotaIndividualPorAlunoPROVAO,12,0)</f>
        <v/>
      </c>
      <c r="M1178" s="25" t="str">
        <f>VLOOKUP($A1178,NotaIndividualPorAlunoPROVAO,13,0)</f>
        <v/>
      </c>
      <c r="N1178" s="10"/>
      <c r="O1178" s="10"/>
    </row>
    <row r="1179" spans="1:15" x14ac:dyDescent="0.3">
      <c r="N1179" s="10"/>
      <c r="O1179" s="10"/>
    </row>
    <row r="1180" spans="1:15" x14ac:dyDescent="0.3">
      <c r="A1180" s="72" t="str">
        <f>A1178</f>
        <v/>
      </c>
      <c r="B1180" s="73" t="s">
        <v>15</v>
      </c>
      <c r="C1180" s="57" t="s">
        <v>2</v>
      </c>
      <c r="D1180" s="57" t="s">
        <v>3</v>
      </c>
      <c r="E1180" s="57" t="s">
        <v>4</v>
      </c>
      <c r="F1180" s="57" t="s">
        <v>5</v>
      </c>
      <c r="G1180" s="57" t="s">
        <v>6</v>
      </c>
      <c r="H1180" s="57" t="s">
        <v>7</v>
      </c>
      <c r="I1180" s="57" t="s">
        <v>8</v>
      </c>
      <c r="J1180" s="57" t="s">
        <v>9</v>
      </c>
      <c r="K1180" s="57" t="s">
        <v>10</v>
      </c>
      <c r="L1180" s="57" t="s">
        <v>11</v>
      </c>
      <c r="M1180" s="57" t="s">
        <v>13</v>
      </c>
      <c r="N1180" s="10"/>
      <c r="O1180" s="10"/>
    </row>
    <row r="1181" spans="1:15" ht="15.6" x14ac:dyDescent="0.3">
      <c r="A1181" s="72"/>
      <c r="B1181" s="73"/>
      <c r="C1181" s="5" t="str">
        <f t="shared" ref="C1181:L1181" si="207">VLOOKUP($A1180,NotaIndividualPorAlunoMAT,RIGHT(C1180,2)+1,0)</f>
        <v/>
      </c>
      <c r="D1181" s="5" t="str">
        <f t="shared" si="207"/>
        <v/>
      </c>
      <c r="E1181" s="5" t="str">
        <f t="shared" si="207"/>
        <v/>
      </c>
      <c r="F1181" s="5" t="str">
        <f t="shared" si="207"/>
        <v/>
      </c>
      <c r="G1181" s="5" t="str">
        <f t="shared" si="207"/>
        <v/>
      </c>
      <c r="H1181" s="5" t="str">
        <f t="shared" si="207"/>
        <v/>
      </c>
      <c r="I1181" s="5" t="str">
        <f t="shared" si="207"/>
        <v/>
      </c>
      <c r="J1181" s="5" t="str">
        <f t="shared" si="207"/>
        <v/>
      </c>
      <c r="K1181" s="5" t="str">
        <f t="shared" si="207"/>
        <v/>
      </c>
      <c r="L1181" s="5" t="str">
        <f t="shared" si="207"/>
        <v/>
      </c>
      <c r="M1181" s="19" t="str">
        <f>VLOOKUP($A1180,NotaIndividualPorAlunoMAT,RIGHT(L1180,2)+2,0)</f>
        <v/>
      </c>
      <c r="N1181" s="10"/>
      <c r="O1181" s="10"/>
    </row>
    <row r="1182" spans="1:15" x14ac:dyDescent="0.3">
      <c r="A1182" s="72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0"/>
      <c r="O1182" s="10"/>
    </row>
    <row r="1183" spans="1:15" x14ac:dyDescent="0.3">
      <c r="A1183" s="72"/>
      <c r="B1183" s="73" t="s">
        <v>14</v>
      </c>
      <c r="C1183" s="57" t="s">
        <v>46</v>
      </c>
      <c r="D1183" s="57" t="s">
        <v>47</v>
      </c>
      <c r="E1183" s="57" t="s">
        <v>48</v>
      </c>
      <c r="F1183" s="57" t="s">
        <v>49</v>
      </c>
      <c r="G1183" s="57" t="s">
        <v>50</v>
      </c>
      <c r="H1183" s="57" t="s">
        <v>51</v>
      </c>
      <c r="I1183" s="57" t="s">
        <v>52</v>
      </c>
      <c r="J1183" s="57" t="s">
        <v>53</v>
      </c>
      <c r="K1183" s="57" t="s">
        <v>54</v>
      </c>
      <c r="L1183" s="57" t="s">
        <v>55</v>
      </c>
      <c r="M1183" s="57" t="s">
        <v>13</v>
      </c>
      <c r="N1183" s="10"/>
      <c r="O1183" s="10"/>
    </row>
    <row r="1184" spans="1:15" ht="15.6" x14ac:dyDescent="0.3">
      <c r="A1184" s="72"/>
      <c r="B1184" s="73"/>
      <c r="C1184" s="3" t="str">
        <f t="shared" ref="C1184:L1184" si="208">VLOOKUP($A1180,NotaIndividualPorAlunoQUI,RIGHT(C1183,2)-9,0)</f>
        <v/>
      </c>
      <c r="D1184" s="3" t="str">
        <f t="shared" si="208"/>
        <v/>
      </c>
      <c r="E1184" s="3" t="str">
        <f t="shared" si="208"/>
        <v/>
      </c>
      <c r="F1184" s="3" t="str">
        <f t="shared" si="208"/>
        <v/>
      </c>
      <c r="G1184" s="3" t="str">
        <f t="shared" si="208"/>
        <v/>
      </c>
      <c r="H1184" s="3" t="str">
        <f t="shared" si="208"/>
        <v/>
      </c>
      <c r="I1184" s="3" t="str">
        <f t="shared" si="208"/>
        <v/>
      </c>
      <c r="J1184" s="3" t="str">
        <f t="shared" si="208"/>
        <v/>
      </c>
      <c r="K1184" s="3" t="str">
        <f t="shared" si="208"/>
        <v/>
      </c>
      <c r="L1184" s="3" t="str">
        <f t="shared" si="208"/>
        <v/>
      </c>
      <c r="M1184" s="19" t="str">
        <f>VLOOKUP($A1180,NotaIndividualPorAlunoQUI,RIGHT(L1183,2)-8,0)</f>
        <v/>
      </c>
      <c r="N1184" s="10"/>
      <c r="O1184" s="10"/>
    </row>
    <row r="1185" spans="1:15" x14ac:dyDescent="0.3">
      <c r="A1185" s="72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0"/>
      <c r="O1185" s="10"/>
    </row>
    <row r="1186" spans="1:15" x14ac:dyDescent="0.3">
      <c r="A1186" s="72"/>
      <c r="B1186" s="73" t="s">
        <v>12</v>
      </c>
      <c r="C1186" s="57" t="s">
        <v>2</v>
      </c>
      <c r="D1186" s="57" t="s">
        <v>3</v>
      </c>
      <c r="E1186" s="57" t="s">
        <v>4</v>
      </c>
      <c r="F1186" s="57" t="s">
        <v>5</v>
      </c>
      <c r="G1186" s="57" t="s">
        <v>6</v>
      </c>
      <c r="H1186" s="57" t="s">
        <v>7</v>
      </c>
      <c r="I1186" s="57" t="s">
        <v>8</v>
      </c>
      <c r="J1186" s="57" t="s">
        <v>9</v>
      </c>
      <c r="K1186" s="57" t="s">
        <v>10</v>
      </c>
      <c r="L1186" s="57" t="s">
        <v>11</v>
      </c>
      <c r="M1186" s="57" t="s">
        <v>13</v>
      </c>
      <c r="N1186" s="10"/>
      <c r="O1186" s="10"/>
    </row>
    <row r="1187" spans="1:15" ht="15.6" x14ac:dyDescent="0.3">
      <c r="A1187" s="72"/>
      <c r="B1187" s="73"/>
      <c r="C1187" s="3" t="str">
        <f t="shared" ref="C1187:L1187" si="209">VLOOKUP($A1180,NotaIndividualPorAlunoFIS,RIGHT(C1186,2)+1,0)</f>
        <v/>
      </c>
      <c r="D1187" s="3" t="str">
        <f t="shared" si="209"/>
        <v/>
      </c>
      <c r="E1187" s="3" t="str">
        <f t="shared" si="209"/>
        <v/>
      </c>
      <c r="F1187" s="3" t="str">
        <f t="shared" si="209"/>
        <v/>
      </c>
      <c r="G1187" s="3" t="str">
        <f t="shared" si="209"/>
        <v/>
      </c>
      <c r="H1187" s="3" t="str">
        <f t="shared" si="209"/>
        <v/>
      </c>
      <c r="I1187" s="3" t="str">
        <f t="shared" si="209"/>
        <v/>
      </c>
      <c r="J1187" s="3" t="str">
        <f t="shared" si="209"/>
        <v/>
      </c>
      <c r="K1187" s="3" t="str">
        <f t="shared" si="209"/>
        <v/>
      </c>
      <c r="L1187" s="3" t="str">
        <f t="shared" si="209"/>
        <v/>
      </c>
      <c r="M1187" s="19" t="str">
        <f>VLOOKUP($A1180,NotaIndividualPorAlunoFIS,RIGHT(L1186,2)+2,0)</f>
        <v/>
      </c>
      <c r="N1187" s="10"/>
      <c r="O1187" s="10"/>
    </row>
    <row r="1188" spans="1:15" ht="15.6" x14ac:dyDescent="0.3">
      <c r="A1188" s="72"/>
      <c r="B1188" s="12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0"/>
      <c r="O1188" s="10"/>
    </row>
    <row r="1189" spans="1:15" ht="15.6" x14ac:dyDescent="0.3">
      <c r="A1189" s="72"/>
      <c r="B1189" s="73" t="s">
        <v>16</v>
      </c>
      <c r="C1189" s="23" t="s">
        <v>41</v>
      </c>
      <c r="D1189" s="58" t="s">
        <v>42</v>
      </c>
      <c r="E1189" s="23" t="s">
        <v>43</v>
      </c>
      <c r="F1189" s="58" t="s">
        <v>44</v>
      </c>
      <c r="G1189" s="23" t="s">
        <v>63</v>
      </c>
      <c r="H1189" s="58" t="s">
        <v>32</v>
      </c>
      <c r="I1189" s="14"/>
      <c r="J1189" s="14"/>
      <c r="K1189" s="14"/>
      <c r="L1189" s="14"/>
      <c r="M1189" s="15" t="s">
        <v>18</v>
      </c>
      <c r="N1189" s="10"/>
      <c r="O1189" s="10"/>
    </row>
    <row r="1190" spans="1:15" ht="15.6" x14ac:dyDescent="0.3">
      <c r="A1190" s="72"/>
      <c r="B1190" s="73"/>
      <c r="C1190" s="26" t="str">
        <f>VLOOKUP($A1180,NotaIndividualPorAlunoRED,2,0)</f>
        <v/>
      </c>
      <c r="D1190" s="26" t="str">
        <f>VLOOKUP($A1180,NotaIndividualPorAlunoRED,3,0)</f>
        <v/>
      </c>
      <c r="E1190" s="26" t="str">
        <f>VLOOKUP($A1180,NotaIndividualPorAlunoRED,4,0)</f>
        <v/>
      </c>
      <c r="F1190" s="26" t="str">
        <f>VLOOKUP($A1180,NotaIndividualPorAlunoRED,5,0)</f>
        <v/>
      </c>
      <c r="G1190" s="26" t="str">
        <f>VLOOKUP($A1180,NotaIndividualPorAlunoRED,6,0)</f>
        <v/>
      </c>
      <c r="H1190" s="21" t="str">
        <f>VLOOKUP($A1180,NotaIndividualPorAlunoRED,7,0)</f>
        <v/>
      </c>
      <c r="I1190" s="14"/>
      <c r="J1190" s="14"/>
      <c r="K1190" s="14"/>
      <c r="L1190" s="14"/>
      <c r="M1190" s="20" t="str">
        <f>VLOOKUP(A1180,NOTAS!C:I,7,0)</f>
        <v/>
      </c>
      <c r="N1190" s="10"/>
      <c r="O1190" s="10"/>
    </row>
    <row r="1191" spans="1:15" x14ac:dyDescent="0.3">
      <c r="A1191" s="72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0"/>
      <c r="O1191" s="10"/>
    </row>
    <row r="1192" spans="1:15" x14ac:dyDescent="0.3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</row>
    <row r="1193" spans="1:15" x14ac:dyDescent="0.3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</row>
    <row r="1194" spans="1:15" x14ac:dyDescent="0.3">
      <c r="A1194" s="58" t="s">
        <v>38</v>
      </c>
      <c r="B1194" s="57" t="s">
        <v>35</v>
      </c>
      <c r="C1194" s="57" t="s">
        <v>56</v>
      </c>
      <c r="D1194" s="57" t="s">
        <v>57</v>
      </c>
      <c r="E1194" s="57" t="s">
        <v>58</v>
      </c>
      <c r="F1194" s="57" t="s">
        <v>59</v>
      </c>
      <c r="G1194" s="57" t="s">
        <v>60</v>
      </c>
      <c r="H1194" s="57" t="s">
        <v>36</v>
      </c>
      <c r="I1194" s="57" t="s">
        <v>61</v>
      </c>
      <c r="J1194" s="57" t="s">
        <v>34</v>
      </c>
      <c r="K1194" s="57" t="s">
        <v>62</v>
      </c>
      <c r="L1194" s="16" t="s">
        <v>33</v>
      </c>
      <c r="M1194" s="57" t="s">
        <v>37</v>
      </c>
      <c r="N1194" s="10"/>
      <c r="O1194" s="10"/>
    </row>
    <row r="1195" spans="1:15" ht="15.6" x14ac:dyDescent="0.3">
      <c r="A1195" s="58" t="str" cm="1">
        <f t="array" ref="A1195">IF(ISERROR(INDEX(ListaDeAlunos,(((ROW()-2)/17)+1),(COLUMN()+1))),"",INDEX(ListaDeAlunos,(((ROW()-2)/17)+1),(COLUMN()+1)))</f>
        <v/>
      </c>
      <c r="B1195" s="17" t="str">
        <f>VLOOKUP($A1195,NotaIndividualPorAlunoPROVAO,2,0)</f>
        <v/>
      </c>
      <c r="C1195" s="18" t="str">
        <f>VLOOKUP($A1195,NotaIndividualPorAlunoPROVAO,3,0)</f>
        <v/>
      </c>
      <c r="D1195" s="17" t="str">
        <f>VLOOKUP($A1195,NotaIndividualPorAlunoPROVAO,4,0)</f>
        <v/>
      </c>
      <c r="E1195" s="18" t="str">
        <f>VLOOKUP($A1195,NotaIndividualPorAlunoPROVAO,5,0)</f>
        <v/>
      </c>
      <c r="F1195" s="17" t="str">
        <f>VLOOKUP($A1195,NotaIndividualPorAlunoPROVAO,6,0)</f>
        <v/>
      </c>
      <c r="G1195" s="18" t="str">
        <f>VLOOKUP($A1195,NotaIndividualPorAlunoPROVAO,7,0)</f>
        <v/>
      </c>
      <c r="H1195" s="17" t="str">
        <f>VLOOKUP($A1195,NotaIndividualPorAlunoPROVAO,8,0)</f>
        <v/>
      </c>
      <c r="I1195" s="18" t="str">
        <f>VLOOKUP($A1195,NotaIndividualPorAlunoPROVAO,9,0)</f>
        <v/>
      </c>
      <c r="J1195" s="17" t="str">
        <f>VLOOKUP($A1195,NotaIndividualPorAlunoPROVAO,10,0)</f>
        <v/>
      </c>
      <c r="K1195" s="18" t="str">
        <f>VLOOKUP($A1195,NotaIndividualPorAlunoPROVAO,11,0)</f>
        <v/>
      </c>
      <c r="L1195" s="15" t="str">
        <f>VLOOKUP($A1195,NotaIndividualPorAlunoPROVAO,12,0)</f>
        <v/>
      </c>
      <c r="M1195" s="25" t="str">
        <f>VLOOKUP($A1195,NotaIndividualPorAlunoPROVAO,13,0)</f>
        <v/>
      </c>
      <c r="N1195" s="10"/>
      <c r="O1195" s="10"/>
    </row>
    <row r="1196" spans="1:15" x14ac:dyDescent="0.3">
      <c r="N1196" s="10"/>
      <c r="O1196" s="10"/>
    </row>
    <row r="1197" spans="1:15" x14ac:dyDescent="0.3">
      <c r="A1197" s="72" t="str">
        <f>A1195</f>
        <v/>
      </c>
      <c r="B1197" s="73" t="s">
        <v>15</v>
      </c>
      <c r="C1197" s="57" t="s">
        <v>2</v>
      </c>
      <c r="D1197" s="57" t="s">
        <v>3</v>
      </c>
      <c r="E1197" s="57" t="s">
        <v>4</v>
      </c>
      <c r="F1197" s="57" t="s">
        <v>5</v>
      </c>
      <c r="G1197" s="57" t="s">
        <v>6</v>
      </c>
      <c r="H1197" s="57" t="s">
        <v>7</v>
      </c>
      <c r="I1197" s="57" t="s">
        <v>8</v>
      </c>
      <c r="J1197" s="57" t="s">
        <v>9</v>
      </c>
      <c r="K1197" s="57" t="s">
        <v>10</v>
      </c>
      <c r="L1197" s="57" t="s">
        <v>11</v>
      </c>
      <c r="M1197" s="57" t="s">
        <v>13</v>
      </c>
      <c r="N1197" s="10"/>
      <c r="O1197" s="10"/>
    </row>
    <row r="1198" spans="1:15" ht="15.6" x14ac:dyDescent="0.3">
      <c r="A1198" s="72"/>
      <c r="B1198" s="73"/>
      <c r="C1198" s="5" t="str">
        <f t="shared" ref="C1198:L1198" si="210">VLOOKUP($A1197,NotaIndividualPorAlunoMAT,RIGHT(C1197,2)+1,0)</f>
        <v/>
      </c>
      <c r="D1198" s="5" t="str">
        <f t="shared" si="210"/>
        <v/>
      </c>
      <c r="E1198" s="5" t="str">
        <f t="shared" si="210"/>
        <v/>
      </c>
      <c r="F1198" s="5" t="str">
        <f t="shared" si="210"/>
        <v/>
      </c>
      <c r="G1198" s="5" t="str">
        <f t="shared" si="210"/>
        <v/>
      </c>
      <c r="H1198" s="5" t="str">
        <f t="shared" si="210"/>
        <v/>
      </c>
      <c r="I1198" s="5" t="str">
        <f t="shared" si="210"/>
        <v/>
      </c>
      <c r="J1198" s="5" t="str">
        <f t="shared" si="210"/>
        <v/>
      </c>
      <c r="K1198" s="5" t="str">
        <f t="shared" si="210"/>
        <v/>
      </c>
      <c r="L1198" s="5" t="str">
        <f t="shared" si="210"/>
        <v/>
      </c>
      <c r="M1198" s="19" t="str">
        <f>VLOOKUP($A1197,NotaIndividualPorAlunoMAT,RIGHT(L1197,2)+2,0)</f>
        <v/>
      </c>
      <c r="N1198" s="10"/>
      <c r="O1198" s="10"/>
    </row>
    <row r="1199" spans="1:15" x14ac:dyDescent="0.3">
      <c r="A1199" s="72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0"/>
      <c r="O1199" s="10"/>
    </row>
    <row r="1200" spans="1:15" x14ac:dyDescent="0.3">
      <c r="A1200" s="72"/>
      <c r="B1200" s="73" t="s">
        <v>14</v>
      </c>
      <c r="C1200" s="57" t="s">
        <v>46</v>
      </c>
      <c r="D1200" s="57" t="s">
        <v>47</v>
      </c>
      <c r="E1200" s="57" t="s">
        <v>48</v>
      </c>
      <c r="F1200" s="57" t="s">
        <v>49</v>
      </c>
      <c r="G1200" s="57" t="s">
        <v>50</v>
      </c>
      <c r="H1200" s="57" t="s">
        <v>51</v>
      </c>
      <c r="I1200" s="57" t="s">
        <v>52</v>
      </c>
      <c r="J1200" s="57" t="s">
        <v>53</v>
      </c>
      <c r="K1200" s="57" t="s">
        <v>54</v>
      </c>
      <c r="L1200" s="57" t="s">
        <v>55</v>
      </c>
      <c r="M1200" s="57" t="s">
        <v>13</v>
      </c>
      <c r="N1200" s="10"/>
      <c r="O1200" s="10"/>
    </row>
    <row r="1201" spans="1:15" ht="15.6" x14ac:dyDescent="0.3">
      <c r="A1201" s="72"/>
      <c r="B1201" s="73"/>
      <c r="C1201" s="3" t="str">
        <f t="shared" ref="C1201:L1201" si="211">VLOOKUP($A1197,NotaIndividualPorAlunoQUI,RIGHT(C1200,2)-9,0)</f>
        <v/>
      </c>
      <c r="D1201" s="3" t="str">
        <f t="shared" si="211"/>
        <v/>
      </c>
      <c r="E1201" s="3" t="str">
        <f t="shared" si="211"/>
        <v/>
      </c>
      <c r="F1201" s="3" t="str">
        <f t="shared" si="211"/>
        <v/>
      </c>
      <c r="G1201" s="3" t="str">
        <f t="shared" si="211"/>
        <v/>
      </c>
      <c r="H1201" s="3" t="str">
        <f t="shared" si="211"/>
        <v/>
      </c>
      <c r="I1201" s="3" t="str">
        <f t="shared" si="211"/>
        <v/>
      </c>
      <c r="J1201" s="3" t="str">
        <f t="shared" si="211"/>
        <v/>
      </c>
      <c r="K1201" s="3" t="str">
        <f t="shared" si="211"/>
        <v/>
      </c>
      <c r="L1201" s="3" t="str">
        <f t="shared" si="211"/>
        <v/>
      </c>
      <c r="M1201" s="19" t="str">
        <f>VLOOKUP($A1197,NotaIndividualPorAlunoQUI,RIGHT(L1200,2)-8,0)</f>
        <v/>
      </c>
      <c r="N1201" s="10"/>
      <c r="O1201" s="10"/>
    </row>
    <row r="1202" spans="1:15" x14ac:dyDescent="0.3">
      <c r="A1202" s="72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0"/>
      <c r="O1202" s="10"/>
    </row>
    <row r="1203" spans="1:15" x14ac:dyDescent="0.3">
      <c r="A1203" s="72"/>
      <c r="B1203" s="73" t="s">
        <v>12</v>
      </c>
      <c r="C1203" s="57" t="s">
        <v>2</v>
      </c>
      <c r="D1203" s="57" t="s">
        <v>3</v>
      </c>
      <c r="E1203" s="57" t="s">
        <v>4</v>
      </c>
      <c r="F1203" s="57" t="s">
        <v>5</v>
      </c>
      <c r="G1203" s="57" t="s">
        <v>6</v>
      </c>
      <c r="H1203" s="57" t="s">
        <v>7</v>
      </c>
      <c r="I1203" s="57" t="s">
        <v>8</v>
      </c>
      <c r="J1203" s="57" t="s">
        <v>9</v>
      </c>
      <c r="K1203" s="57" t="s">
        <v>10</v>
      </c>
      <c r="L1203" s="57" t="s">
        <v>11</v>
      </c>
      <c r="M1203" s="57" t="s">
        <v>13</v>
      </c>
      <c r="N1203" s="10"/>
      <c r="O1203" s="10"/>
    </row>
    <row r="1204" spans="1:15" ht="15.6" x14ac:dyDescent="0.3">
      <c r="A1204" s="72"/>
      <c r="B1204" s="73"/>
      <c r="C1204" s="3" t="str">
        <f t="shared" ref="C1204:L1204" si="212">VLOOKUP($A1197,NotaIndividualPorAlunoFIS,RIGHT(C1203,2)+1,0)</f>
        <v/>
      </c>
      <c r="D1204" s="3" t="str">
        <f t="shared" si="212"/>
        <v/>
      </c>
      <c r="E1204" s="3" t="str">
        <f t="shared" si="212"/>
        <v/>
      </c>
      <c r="F1204" s="3" t="str">
        <f t="shared" si="212"/>
        <v/>
      </c>
      <c r="G1204" s="3" t="str">
        <f t="shared" si="212"/>
        <v/>
      </c>
      <c r="H1204" s="3" t="str">
        <f t="shared" si="212"/>
        <v/>
      </c>
      <c r="I1204" s="3" t="str">
        <f t="shared" si="212"/>
        <v/>
      </c>
      <c r="J1204" s="3" t="str">
        <f t="shared" si="212"/>
        <v/>
      </c>
      <c r="K1204" s="3" t="str">
        <f t="shared" si="212"/>
        <v/>
      </c>
      <c r="L1204" s="3" t="str">
        <f t="shared" si="212"/>
        <v/>
      </c>
      <c r="M1204" s="19" t="str">
        <f>VLOOKUP($A1197,NotaIndividualPorAlunoFIS,RIGHT(L1203,2)+2,0)</f>
        <v/>
      </c>
      <c r="N1204" s="10"/>
      <c r="O1204" s="10"/>
    </row>
    <row r="1205" spans="1:15" ht="15.6" x14ac:dyDescent="0.3">
      <c r="A1205" s="72"/>
      <c r="B1205" s="12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0"/>
      <c r="O1205" s="10"/>
    </row>
    <row r="1206" spans="1:15" ht="15.6" x14ac:dyDescent="0.3">
      <c r="A1206" s="72"/>
      <c r="B1206" s="73" t="s">
        <v>16</v>
      </c>
      <c r="C1206" s="23" t="s">
        <v>41</v>
      </c>
      <c r="D1206" s="58" t="s">
        <v>42</v>
      </c>
      <c r="E1206" s="23" t="s">
        <v>43</v>
      </c>
      <c r="F1206" s="58" t="s">
        <v>44</v>
      </c>
      <c r="G1206" s="23" t="s">
        <v>63</v>
      </c>
      <c r="H1206" s="58" t="s">
        <v>32</v>
      </c>
      <c r="I1206" s="14"/>
      <c r="J1206" s="14"/>
      <c r="K1206" s="14"/>
      <c r="L1206" s="14"/>
      <c r="M1206" s="15" t="s">
        <v>18</v>
      </c>
      <c r="N1206" s="10"/>
      <c r="O1206" s="10"/>
    </row>
    <row r="1207" spans="1:15" ht="15.6" x14ac:dyDescent="0.3">
      <c r="A1207" s="72"/>
      <c r="B1207" s="73"/>
      <c r="C1207" s="26" t="str">
        <f>VLOOKUP($A1197,NotaIndividualPorAlunoRED,2,0)</f>
        <v/>
      </c>
      <c r="D1207" s="26" t="str">
        <f>VLOOKUP($A1197,NotaIndividualPorAlunoRED,3,0)</f>
        <v/>
      </c>
      <c r="E1207" s="26" t="str">
        <f>VLOOKUP($A1197,NotaIndividualPorAlunoRED,4,0)</f>
        <v/>
      </c>
      <c r="F1207" s="26" t="str">
        <f>VLOOKUP($A1197,NotaIndividualPorAlunoRED,5,0)</f>
        <v/>
      </c>
      <c r="G1207" s="26" t="str">
        <f>VLOOKUP($A1197,NotaIndividualPorAlunoRED,6,0)</f>
        <v/>
      </c>
      <c r="H1207" s="21" t="str">
        <f>VLOOKUP($A1197,NotaIndividualPorAlunoRED,7,0)</f>
        <v/>
      </c>
      <c r="I1207" s="14"/>
      <c r="J1207" s="14"/>
      <c r="K1207" s="14"/>
      <c r="L1207" s="14"/>
      <c r="M1207" s="20" t="str">
        <f>VLOOKUP(A1197,NOTAS!C:I,7,0)</f>
        <v/>
      </c>
      <c r="N1207" s="10"/>
      <c r="O1207" s="10"/>
    </row>
    <row r="1208" spans="1:15" x14ac:dyDescent="0.3">
      <c r="A1208" s="72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0"/>
      <c r="O1208" s="10"/>
    </row>
    <row r="1209" spans="1:15" x14ac:dyDescent="0.3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</row>
    <row r="1210" spans="1:15" x14ac:dyDescent="0.3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</row>
    <row r="1211" spans="1:15" x14ac:dyDescent="0.3">
      <c r="A1211" s="58" t="s">
        <v>38</v>
      </c>
      <c r="B1211" s="57" t="s">
        <v>35</v>
      </c>
      <c r="C1211" s="57" t="s">
        <v>56</v>
      </c>
      <c r="D1211" s="57" t="s">
        <v>57</v>
      </c>
      <c r="E1211" s="57" t="s">
        <v>58</v>
      </c>
      <c r="F1211" s="57" t="s">
        <v>59</v>
      </c>
      <c r="G1211" s="57" t="s">
        <v>60</v>
      </c>
      <c r="H1211" s="57" t="s">
        <v>36</v>
      </c>
      <c r="I1211" s="57" t="s">
        <v>61</v>
      </c>
      <c r="J1211" s="57" t="s">
        <v>34</v>
      </c>
      <c r="K1211" s="57" t="s">
        <v>62</v>
      </c>
      <c r="L1211" s="16" t="s">
        <v>33</v>
      </c>
      <c r="M1211" s="57" t="s">
        <v>37</v>
      </c>
      <c r="N1211" s="10"/>
      <c r="O1211" s="10"/>
    </row>
    <row r="1212" spans="1:15" ht="15.6" x14ac:dyDescent="0.3">
      <c r="A1212" s="58" t="str" cm="1">
        <f t="array" ref="A1212">IF(ISERROR(INDEX(ListaDeAlunos,(((ROW()-2)/17)+1),(COLUMN()+1))),"",INDEX(ListaDeAlunos,(((ROW()-2)/17)+1),(COLUMN()+1)))</f>
        <v/>
      </c>
      <c r="B1212" s="17" t="str">
        <f>VLOOKUP($A1212,NotaIndividualPorAlunoPROVAO,2,0)</f>
        <v/>
      </c>
      <c r="C1212" s="18" t="str">
        <f>VLOOKUP($A1212,NotaIndividualPorAlunoPROVAO,3,0)</f>
        <v/>
      </c>
      <c r="D1212" s="17" t="str">
        <f>VLOOKUP($A1212,NotaIndividualPorAlunoPROVAO,4,0)</f>
        <v/>
      </c>
      <c r="E1212" s="18" t="str">
        <f>VLOOKUP($A1212,NotaIndividualPorAlunoPROVAO,5,0)</f>
        <v/>
      </c>
      <c r="F1212" s="17" t="str">
        <f>VLOOKUP($A1212,NotaIndividualPorAlunoPROVAO,6,0)</f>
        <v/>
      </c>
      <c r="G1212" s="18" t="str">
        <f>VLOOKUP($A1212,NotaIndividualPorAlunoPROVAO,7,0)</f>
        <v/>
      </c>
      <c r="H1212" s="17" t="str">
        <f>VLOOKUP($A1212,NotaIndividualPorAlunoPROVAO,8,0)</f>
        <v/>
      </c>
      <c r="I1212" s="18" t="str">
        <f>VLOOKUP($A1212,NotaIndividualPorAlunoPROVAO,9,0)</f>
        <v/>
      </c>
      <c r="J1212" s="17" t="str">
        <f>VLOOKUP($A1212,NotaIndividualPorAlunoPROVAO,10,0)</f>
        <v/>
      </c>
      <c r="K1212" s="18" t="str">
        <f>VLOOKUP($A1212,NotaIndividualPorAlunoPROVAO,11,0)</f>
        <v/>
      </c>
      <c r="L1212" s="15" t="str">
        <f>VLOOKUP($A1212,NotaIndividualPorAlunoPROVAO,12,0)</f>
        <v/>
      </c>
      <c r="M1212" s="25" t="str">
        <f>VLOOKUP($A1212,NotaIndividualPorAlunoPROVAO,13,0)</f>
        <v/>
      </c>
      <c r="N1212" s="10"/>
      <c r="O1212" s="10"/>
    </row>
    <row r="1213" spans="1:15" x14ac:dyDescent="0.3">
      <c r="N1213" s="10"/>
      <c r="O1213" s="10"/>
    </row>
    <row r="1214" spans="1:15" x14ac:dyDescent="0.3">
      <c r="A1214" s="72" t="str">
        <f>A1212</f>
        <v/>
      </c>
      <c r="B1214" s="73" t="s">
        <v>15</v>
      </c>
      <c r="C1214" s="57" t="s">
        <v>2</v>
      </c>
      <c r="D1214" s="57" t="s">
        <v>3</v>
      </c>
      <c r="E1214" s="57" t="s">
        <v>4</v>
      </c>
      <c r="F1214" s="57" t="s">
        <v>5</v>
      </c>
      <c r="G1214" s="57" t="s">
        <v>6</v>
      </c>
      <c r="H1214" s="57" t="s">
        <v>7</v>
      </c>
      <c r="I1214" s="57" t="s">
        <v>8</v>
      </c>
      <c r="J1214" s="57" t="s">
        <v>9</v>
      </c>
      <c r="K1214" s="57" t="s">
        <v>10</v>
      </c>
      <c r="L1214" s="57" t="s">
        <v>11</v>
      </c>
      <c r="M1214" s="57" t="s">
        <v>13</v>
      </c>
      <c r="N1214" s="10"/>
      <c r="O1214" s="10"/>
    </row>
    <row r="1215" spans="1:15" ht="15.6" x14ac:dyDescent="0.3">
      <c r="A1215" s="72"/>
      <c r="B1215" s="73"/>
      <c r="C1215" s="5" t="str">
        <f t="shared" ref="C1215:L1215" si="213">VLOOKUP($A1214,NotaIndividualPorAlunoMAT,RIGHT(C1214,2)+1,0)</f>
        <v/>
      </c>
      <c r="D1215" s="5" t="str">
        <f t="shared" si="213"/>
        <v/>
      </c>
      <c r="E1215" s="5" t="str">
        <f t="shared" si="213"/>
        <v/>
      </c>
      <c r="F1215" s="5" t="str">
        <f t="shared" si="213"/>
        <v/>
      </c>
      <c r="G1215" s="5" t="str">
        <f t="shared" si="213"/>
        <v/>
      </c>
      <c r="H1215" s="5" t="str">
        <f t="shared" si="213"/>
        <v/>
      </c>
      <c r="I1215" s="5" t="str">
        <f t="shared" si="213"/>
        <v/>
      </c>
      <c r="J1215" s="5" t="str">
        <f t="shared" si="213"/>
        <v/>
      </c>
      <c r="K1215" s="5" t="str">
        <f t="shared" si="213"/>
        <v/>
      </c>
      <c r="L1215" s="5" t="str">
        <f t="shared" si="213"/>
        <v/>
      </c>
      <c r="M1215" s="19" t="str">
        <f>VLOOKUP($A1214,NotaIndividualPorAlunoMAT,RIGHT(L1214,2)+2,0)</f>
        <v/>
      </c>
      <c r="N1215" s="10"/>
      <c r="O1215" s="10"/>
    </row>
    <row r="1216" spans="1:15" x14ac:dyDescent="0.3">
      <c r="A1216" s="72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0"/>
      <c r="O1216" s="10"/>
    </row>
    <row r="1217" spans="1:15" x14ac:dyDescent="0.3">
      <c r="A1217" s="72"/>
      <c r="B1217" s="73" t="s">
        <v>14</v>
      </c>
      <c r="C1217" s="57" t="s">
        <v>46</v>
      </c>
      <c r="D1217" s="57" t="s">
        <v>47</v>
      </c>
      <c r="E1217" s="57" t="s">
        <v>48</v>
      </c>
      <c r="F1217" s="57" t="s">
        <v>49</v>
      </c>
      <c r="G1217" s="57" t="s">
        <v>50</v>
      </c>
      <c r="H1217" s="57" t="s">
        <v>51</v>
      </c>
      <c r="I1217" s="57" t="s">
        <v>52</v>
      </c>
      <c r="J1217" s="57" t="s">
        <v>53</v>
      </c>
      <c r="K1217" s="57" t="s">
        <v>54</v>
      </c>
      <c r="L1217" s="57" t="s">
        <v>55</v>
      </c>
      <c r="M1217" s="57" t="s">
        <v>13</v>
      </c>
      <c r="N1217" s="10"/>
      <c r="O1217" s="10"/>
    </row>
    <row r="1218" spans="1:15" ht="15.6" x14ac:dyDescent="0.3">
      <c r="A1218" s="72"/>
      <c r="B1218" s="73"/>
      <c r="C1218" s="3" t="str">
        <f t="shared" ref="C1218:L1218" si="214">VLOOKUP($A1214,NotaIndividualPorAlunoQUI,RIGHT(C1217,2)-9,0)</f>
        <v/>
      </c>
      <c r="D1218" s="3" t="str">
        <f t="shared" si="214"/>
        <v/>
      </c>
      <c r="E1218" s="3" t="str">
        <f t="shared" si="214"/>
        <v/>
      </c>
      <c r="F1218" s="3" t="str">
        <f t="shared" si="214"/>
        <v/>
      </c>
      <c r="G1218" s="3" t="str">
        <f t="shared" si="214"/>
        <v/>
      </c>
      <c r="H1218" s="3" t="str">
        <f t="shared" si="214"/>
        <v/>
      </c>
      <c r="I1218" s="3" t="str">
        <f t="shared" si="214"/>
        <v/>
      </c>
      <c r="J1218" s="3" t="str">
        <f t="shared" si="214"/>
        <v/>
      </c>
      <c r="K1218" s="3" t="str">
        <f t="shared" si="214"/>
        <v/>
      </c>
      <c r="L1218" s="3" t="str">
        <f t="shared" si="214"/>
        <v/>
      </c>
      <c r="M1218" s="19" t="str">
        <f>VLOOKUP($A1214,NotaIndividualPorAlunoQUI,RIGHT(L1217,2)-8,0)</f>
        <v/>
      </c>
      <c r="N1218" s="10"/>
      <c r="O1218" s="10"/>
    </row>
    <row r="1219" spans="1:15" x14ac:dyDescent="0.3">
      <c r="A1219" s="72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0"/>
      <c r="O1219" s="10"/>
    </row>
    <row r="1220" spans="1:15" x14ac:dyDescent="0.3">
      <c r="A1220" s="72"/>
      <c r="B1220" s="73" t="s">
        <v>12</v>
      </c>
      <c r="C1220" s="57" t="s">
        <v>2</v>
      </c>
      <c r="D1220" s="57" t="s">
        <v>3</v>
      </c>
      <c r="E1220" s="57" t="s">
        <v>4</v>
      </c>
      <c r="F1220" s="57" t="s">
        <v>5</v>
      </c>
      <c r="G1220" s="57" t="s">
        <v>6</v>
      </c>
      <c r="H1220" s="57" t="s">
        <v>7</v>
      </c>
      <c r="I1220" s="57" t="s">
        <v>8</v>
      </c>
      <c r="J1220" s="57" t="s">
        <v>9</v>
      </c>
      <c r="K1220" s="57" t="s">
        <v>10</v>
      </c>
      <c r="L1220" s="57" t="s">
        <v>11</v>
      </c>
      <c r="M1220" s="57" t="s">
        <v>13</v>
      </c>
      <c r="N1220" s="10"/>
      <c r="O1220" s="10"/>
    </row>
    <row r="1221" spans="1:15" ht="15.6" x14ac:dyDescent="0.3">
      <c r="A1221" s="72"/>
      <c r="B1221" s="73"/>
      <c r="C1221" s="3" t="str">
        <f t="shared" ref="C1221:L1221" si="215">VLOOKUP($A1214,NotaIndividualPorAlunoFIS,RIGHT(C1220,2)+1,0)</f>
        <v/>
      </c>
      <c r="D1221" s="3" t="str">
        <f t="shared" si="215"/>
        <v/>
      </c>
      <c r="E1221" s="3" t="str">
        <f t="shared" si="215"/>
        <v/>
      </c>
      <c r="F1221" s="3" t="str">
        <f t="shared" si="215"/>
        <v/>
      </c>
      <c r="G1221" s="3" t="str">
        <f t="shared" si="215"/>
        <v/>
      </c>
      <c r="H1221" s="3" t="str">
        <f t="shared" si="215"/>
        <v/>
      </c>
      <c r="I1221" s="3" t="str">
        <f t="shared" si="215"/>
        <v/>
      </c>
      <c r="J1221" s="3" t="str">
        <f t="shared" si="215"/>
        <v/>
      </c>
      <c r="K1221" s="3" t="str">
        <f t="shared" si="215"/>
        <v/>
      </c>
      <c r="L1221" s="3" t="str">
        <f t="shared" si="215"/>
        <v/>
      </c>
      <c r="M1221" s="19" t="str">
        <f>VLOOKUP($A1214,NotaIndividualPorAlunoFIS,RIGHT(L1220,2)+2,0)</f>
        <v/>
      </c>
      <c r="N1221" s="10"/>
      <c r="O1221" s="10"/>
    </row>
    <row r="1222" spans="1:15" ht="15.6" x14ac:dyDescent="0.3">
      <c r="A1222" s="72"/>
      <c r="B1222" s="12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0"/>
      <c r="O1222" s="10"/>
    </row>
    <row r="1223" spans="1:15" ht="15.6" x14ac:dyDescent="0.3">
      <c r="A1223" s="72"/>
      <c r="B1223" s="73" t="s">
        <v>16</v>
      </c>
      <c r="C1223" s="23" t="s">
        <v>41</v>
      </c>
      <c r="D1223" s="58" t="s">
        <v>42</v>
      </c>
      <c r="E1223" s="23" t="s">
        <v>43</v>
      </c>
      <c r="F1223" s="58" t="s">
        <v>44</v>
      </c>
      <c r="G1223" s="23" t="s">
        <v>63</v>
      </c>
      <c r="H1223" s="58" t="s">
        <v>32</v>
      </c>
      <c r="I1223" s="14"/>
      <c r="J1223" s="14"/>
      <c r="K1223" s="14"/>
      <c r="L1223" s="14"/>
      <c r="M1223" s="15" t="s">
        <v>18</v>
      </c>
      <c r="N1223" s="10"/>
      <c r="O1223" s="10"/>
    </row>
    <row r="1224" spans="1:15" ht="15.6" x14ac:dyDescent="0.3">
      <c r="A1224" s="72"/>
      <c r="B1224" s="73"/>
      <c r="C1224" s="26" t="str">
        <f>VLOOKUP($A1214,NotaIndividualPorAlunoRED,2,0)</f>
        <v/>
      </c>
      <c r="D1224" s="26" t="str">
        <f>VLOOKUP($A1214,NotaIndividualPorAlunoRED,3,0)</f>
        <v/>
      </c>
      <c r="E1224" s="26" t="str">
        <f>VLOOKUP($A1214,NotaIndividualPorAlunoRED,4,0)</f>
        <v/>
      </c>
      <c r="F1224" s="26" t="str">
        <f>VLOOKUP($A1214,NotaIndividualPorAlunoRED,5,0)</f>
        <v/>
      </c>
      <c r="G1224" s="26" t="str">
        <f>VLOOKUP($A1214,NotaIndividualPorAlunoRED,6,0)</f>
        <v/>
      </c>
      <c r="H1224" s="21" t="str">
        <f>VLOOKUP($A1214,NotaIndividualPorAlunoRED,7,0)</f>
        <v/>
      </c>
      <c r="I1224" s="14"/>
      <c r="J1224" s="14"/>
      <c r="K1224" s="14"/>
      <c r="L1224" s="14"/>
      <c r="M1224" s="20" t="str">
        <f>VLOOKUP(A1214,NOTAS!C:I,7,0)</f>
        <v/>
      </c>
      <c r="N1224" s="10"/>
      <c r="O1224" s="10"/>
    </row>
    <row r="1225" spans="1:15" x14ac:dyDescent="0.3">
      <c r="A1225" s="72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0"/>
      <c r="O1225" s="10"/>
    </row>
    <row r="1226" spans="1:15" x14ac:dyDescent="0.3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</row>
    <row r="1227" spans="1:15" x14ac:dyDescent="0.3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</row>
    <row r="1228" spans="1:15" x14ac:dyDescent="0.3">
      <c r="A1228" s="58" t="s">
        <v>38</v>
      </c>
      <c r="B1228" s="57" t="s">
        <v>35</v>
      </c>
      <c r="C1228" s="57" t="s">
        <v>56</v>
      </c>
      <c r="D1228" s="57" t="s">
        <v>57</v>
      </c>
      <c r="E1228" s="57" t="s">
        <v>58</v>
      </c>
      <c r="F1228" s="57" t="s">
        <v>59</v>
      </c>
      <c r="G1228" s="57" t="s">
        <v>60</v>
      </c>
      <c r="H1228" s="57" t="s">
        <v>36</v>
      </c>
      <c r="I1228" s="57" t="s">
        <v>61</v>
      </c>
      <c r="J1228" s="57" t="s">
        <v>34</v>
      </c>
      <c r="K1228" s="57" t="s">
        <v>62</v>
      </c>
      <c r="L1228" s="16" t="s">
        <v>33</v>
      </c>
      <c r="M1228" s="57" t="s">
        <v>37</v>
      </c>
      <c r="N1228" s="10"/>
      <c r="O1228" s="10"/>
    </row>
    <row r="1229" spans="1:15" ht="15.6" x14ac:dyDescent="0.3">
      <c r="A1229" s="58" t="str" cm="1">
        <f t="array" ref="A1229">IF(ISERROR(INDEX(ListaDeAlunos,(((ROW()-2)/17)+1),(COLUMN()+1))),"",INDEX(ListaDeAlunos,(((ROW()-2)/17)+1),(COLUMN()+1)))</f>
        <v/>
      </c>
      <c r="B1229" s="17" t="str">
        <f>VLOOKUP($A1229,NotaIndividualPorAlunoPROVAO,2,0)</f>
        <v/>
      </c>
      <c r="C1229" s="18" t="str">
        <f>VLOOKUP($A1229,NotaIndividualPorAlunoPROVAO,3,0)</f>
        <v/>
      </c>
      <c r="D1229" s="17" t="str">
        <f>VLOOKUP($A1229,NotaIndividualPorAlunoPROVAO,4,0)</f>
        <v/>
      </c>
      <c r="E1229" s="18" t="str">
        <f>VLOOKUP($A1229,NotaIndividualPorAlunoPROVAO,5,0)</f>
        <v/>
      </c>
      <c r="F1229" s="17" t="str">
        <f>VLOOKUP($A1229,NotaIndividualPorAlunoPROVAO,6,0)</f>
        <v/>
      </c>
      <c r="G1229" s="18" t="str">
        <f>VLOOKUP($A1229,NotaIndividualPorAlunoPROVAO,7,0)</f>
        <v/>
      </c>
      <c r="H1229" s="17" t="str">
        <f>VLOOKUP($A1229,NotaIndividualPorAlunoPROVAO,8,0)</f>
        <v/>
      </c>
      <c r="I1229" s="18" t="str">
        <f>VLOOKUP($A1229,NotaIndividualPorAlunoPROVAO,9,0)</f>
        <v/>
      </c>
      <c r="J1229" s="17" t="str">
        <f>VLOOKUP($A1229,NotaIndividualPorAlunoPROVAO,10,0)</f>
        <v/>
      </c>
      <c r="K1229" s="18" t="str">
        <f>VLOOKUP($A1229,NotaIndividualPorAlunoPROVAO,11,0)</f>
        <v/>
      </c>
      <c r="L1229" s="15" t="str">
        <f>VLOOKUP($A1229,NotaIndividualPorAlunoPROVAO,12,0)</f>
        <v/>
      </c>
      <c r="M1229" s="25" t="str">
        <f>VLOOKUP($A1229,NotaIndividualPorAlunoPROVAO,13,0)</f>
        <v/>
      </c>
      <c r="N1229" s="10"/>
      <c r="O1229" s="10"/>
    </row>
    <row r="1230" spans="1:15" x14ac:dyDescent="0.3">
      <c r="N1230" s="10"/>
      <c r="O1230" s="10"/>
    </row>
    <row r="1231" spans="1:15" x14ac:dyDescent="0.3">
      <c r="A1231" s="72" t="str">
        <f>A1229</f>
        <v/>
      </c>
      <c r="B1231" s="73" t="s">
        <v>15</v>
      </c>
      <c r="C1231" s="57" t="s">
        <v>2</v>
      </c>
      <c r="D1231" s="57" t="s">
        <v>3</v>
      </c>
      <c r="E1231" s="57" t="s">
        <v>4</v>
      </c>
      <c r="F1231" s="57" t="s">
        <v>5</v>
      </c>
      <c r="G1231" s="57" t="s">
        <v>6</v>
      </c>
      <c r="H1231" s="57" t="s">
        <v>7</v>
      </c>
      <c r="I1231" s="57" t="s">
        <v>8</v>
      </c>
      <c r="J1231" s="57" t="s">
        <v>9</v>
      </c>
      <c r="K1231" s="57" t="s">
        <v>10</v>
      </c>
      <c r="L1231" s="57" t="s">
        <v>11</v>
      </c>
      <c r="M1231" s="57" t="s">
        <v>13</v>
      </c>
      <c r="N1231" s="10"/>
      <c r="O1231" s="10"/>
    </row>
    <row r="1232" spans="1:15" ht="15.6" x14ac:dyDescent="0.3">
      <c r="A1232" s="72"/>
      <c r="B1232" s="73"/>
      <c r="C1232" s="5" t="str">
        <f t="shared" ref="C1232:L1232" si="216">VLOOKUP($A1231,NotaIndividualPorAlunoMAT,RIGHT(C1231,2)+1,0)</f>
        <v/>
      </c>
      <c r="D1232" s="5" t="str">
        <f t="shared" si="216"/>
        <v/>
      </c>
      <c r="E1232" s="5" t="str">
        <f t="shared" si="216"/>
        <v/>
      </c>
      <c r="F1232" s="5" t="str">
        <f t="shared" si="216"/>
        <v/>
      </c>
      <c r="G1232" s="5" t="str">
        <f t="shared" si="216"/>
        <v/>
      </c>
      <c r="H1232" s="5" t="str">
        <f t="shared" si="216"/>
        <v/>
      </c>
      <c r="I1232" s="5" t="str">
        <f t="shared" si="216"/>
        <v/>
      </c>
      <c r="J1232" s="5" t="str">
        <f t="shared" si="216"/>
        <v/>
      </c>
      <c r="K1232" s="5" t="str">
        <f t="shared" si="216"/>
        <v/>
      </c>
      <c r="L1232" s="5" t="str">
        <f t="shared" si="216"/>
        <v/>
      </c>
      <c r="M1232" s="19" t="str">
        <f>VLOOKUP($A1231,NotaIndividualPorAlunoMAT,RIGHT(L1231,2)+2,0)</f>
        <v/>
      </c>
      <c r="N1232" s="10"/>
      <c r="O1232" s="10"/>
    </row>
    <row r="1233" spans="1:15" x14ac:dyDescent="0.3">
      <c r="A1233" s="72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0"/>
      <c r="O1233" s="10"/>
    </row>
    <row r="1234" spans="1:15" x14ac:dyDescent="0.3">
      <c r="A1234" s="72"/>
      <c r="B1234" s="73" t="s">
        <v>14</v>
      </c>
      <c r="C1234" s="57" t="s">
        <v>46</v>
      </c>
      <c r="D1234" s="57" t="s">
        <v>47</v>
      </c>
      <c r="E1234" s="57" t="s">
        <v>48</v>
      </c>
      <c r="F1234" s="57" t="s">
        <v>49</v>
      </c>
      <c r="G1234" s="57" t="s">
        <v>50</v>
      </c>
      <c r="H1234" s="57" t="s">
        <v>51</v>
      </c>
      <c r="I1234" s="57" t="s">
        <v>52</v>
      </c>
      <c r="J1234" s="57" t="s">
        <v>53</v>
      </c>
      <c r="K1234" s="57" t="s">
        <v>54</v>
      </c>
      <c r="L1234" s="57" t="s">
        <v>55</v>
      </c>
      <c r="M1234" s="57" t="s">
        <v>13</v>
      </c>
      <c r="N1234" s="10"/>
      <c r="O1234" s="10"/>
    </row>
    <row r="1235" spans="1:15" ht="15.6" x14ac:dyDescent="0.3">
      <c r="A1235" s="72"/>
      <c r="B1235" s="73"/>
      <c r="C1235" s="3" t="str">
        <f t="shared" ref="C1235:L1235" si="217">VLOOKUP($A1231,NotaIndividualPorAlunoQUI,RIGHT(C1234,2)-9,0)</f>
        <v/>
      </c>
      <c r="D1235" s="3" t="str">
        <f t="shared" si="217"/>
        <v/>
      </c>
      <c r="E1235" s="3" t="str">
        <f t="shared" si="217"/>
        <v/>
      </c>
      <c r="F1235" s="3" t="str">
        <f t="shared" si="217"/>
        <v/>
      </c>
      <c r="G1235" s="3" t="str">
        <f t="shared" si="217"/>
        <v/>
      </c>
      <c r="H1235" s="3" t="str">
        <f t="shared" si="217"/>
        <v/>
      </c>
      <c r="I1235" s="3" t="str">
        <f t="shared" si="217"/>
        <v/>
      </c>
      <c r="J1235" s="3" t="str">
        <f t="shared" si="217"/>
        <v/>
      </c>
      <c r="K1235" s="3" t="str">
        <f t="shared" si="217"/>
        <v/>
      </c>
      <c r="L1235" s="3" t="str">
        <f t="shared" si="217"/>
        <v/>
      </c>
      <c r="M1235" s="19" t="str">
        <f>VLOOKUP($A1231,NotaIndividualPorAlunoQUI,RIGHT(L1234,2)-8,0)</f>
        <v/>
      </c>
      <c r="N1235" s="10"/>
      <c r="O1235" s="10"/>
    </row>
    <row r="1236" spans="1:15" x14ac:dyDescent="0.3">
      <c r="A1236" s="72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0"/>
      <c r="O1236" s="10"/>
    </row>
    <row r="1237" spans="1:15" x14ac:dyDescent="0.3">
      <c r="A1237" s="72"/>
      <c r="B1237" s="73" t="s">
        <v>12</v>
      </c>
      <c r="C1237" s="57" t="s">
        <v>2</v>
      </c>
      <c r="D1237" s="57" t="s">
        <v>3</v>
      </c>
      <c r="E1237" s="57" t="s">
        <v>4</v>
      </c>
      <c r="F1237" s="57" t="s">
        <v>5</v>
      </c>
      <c r="G1237" s="57" t="s">
        <v>6</v>
      </c>
      <c r="H1237" s="57" t="s">
        <v>7</v>
      </c>
      <c r="I1237" s="57" t="s">
        <v>8</v>
      </c>
      <c r="J1237" s="57" t="s">
        <v>9</v>
      </c>
      <c r="K1237" s="57" t="s">
        <v>10</v>
      </c>
      <c r="L1237" s="57" t="s">
        <v>11</v>
      </c>
      <c r="M1237" s="57" t="s">
        <v>13</v>
      </c>
      <c r="N1237" s="10"/>
      <c r="O1237" s="10"/>
    </row>
    <row r="1238" spans="1:15" ht="15.6" x14ac:dyDescent="0.3">
      <c r="A1238" s="72"/>
      <c r="B1238" s="73"/>
      <c r="C1238" s="3" t="str">
        <f t="shared" ref="C1238:L1238" si="218">VLOOKUP($A1231,NotaIndividualPorAlunoFIS,RIGHT(C1237,2)+1,0)</f>
        <v/>
      </c>
      <c r="D1238" s="3" t="str">
        <f t="shared" si="218"/>
        <v/>
      </c>
      <c r="E1238" s="3" t="str">
        <f t="shared" si="218"/>
        <v/>
      </c>
      <c r="F1238" s="3" t="str">
        <f t="shared" si="218"/>
        <v/>
      </c>
      <c r="G1238" s="3" t="str">
        <f t="shared" si="218"/>
        <v/>
      </c>
      <c r="H1238" s="3" t="str">
        <f t="shared" si="218"/>
        <v/>
      </c>
      <c r="I1238" s="3" t="str">
        <f t="shared" si="218"/>
        <v/>
      </c>
      <c r="J1238" s="3" t="str">
        <f t="shared" si="218"/>
        <v/>
      </c>
      <c r="K1238" s="3" t="str">
        <f t="shared" si="218"/>
        <v/>
      </c>
      <c r="L1238" s="3" t="str">
        <f t="shared" si="218"/>
        <v/>
      </c>
      <c r="M1238" s="19" t="str">
        <f>VLOOKUP($A1231,NotaIndividualPorAlunoFIS,RIGHT(L1237,2)+2,0)</f>
        <v/>
      </c>
      <c r="N1238" s="10"/>
      <c r="O1238" s="10"/>
    </row>
    <row r="1239" spans="1:15" ht="15.6" x14ac:dyDescent="0.3">
      <c r="A1239" s="72"/>
      <c r="B1239" s="12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0"/>
      <c r="O1239" s="10"/>
    </row>
    <row r="1240" spans="1:15" ht="15.6" x14ac:dyDescent="0.3">
      <c r="A1240" s="72"/>
      <c r="B1240" s="73" t="s">
        <v>16</v>
      </c>
      <c r="C1240" s="23" t="s">
        <v>41</v>
      </c>
      <c r="D1240" s="58" t="s">
        <v>42</v>
      </c>
      <c r="E1240" s="23" t="s">
        <v>43</v>
      </c>
      <c r="F1240" s="58" t="s">
        <v>44</v>
      </c>
      <c r="G1240" s="23" t="s">
        <v>63</v>
      </c>
      <c r="H1240" s="58" t="s">
        <v>32</v>
      </c>
      <c r="I1240" s="14"/>
      <c r="J1240" s="14"/>
      <c r="K1240" s="14"/>
      <c r="L1240" s="14"/>
      <c r="M1240" s="15" t="s">
        <v>18</v>
      </c>
      <c r="N1240" s="10"/>
      <c r="O1240" s="10"/>
    </row>
    <row r="1241" spans="1:15" ht="15.6" x14ac:dyDescent="0.3">
      <c r="A1241" s="72"/>
      <c r="B1241" s="73"/>
      <c r="C1241" s="26" t="str">
        <f>VLOOKUP($A1231,NotaIndividualPorAlunoRED,2,0)</f>
        <v/>
      </c>
      <c r="D1241" s="26" t="str">
        <f>VLOOKUP($A1231,NotaIndividualPorAlunoRED,3,0)</f>
        <v/>
      </c>
      <c r="E1241" s="26" t="str">
        <f>VLOOKUP($A1231,NotaIndividualPorAlunoRED,4,0)</f>
        <v/>
      </c>
      <c r="F1241" s="26" t="str">
        <f>VLOOKUP($A1231,NotaIndividualPorAlunoRED,5,0)</f>
        <v/>
      </c>
      <c r="G1241" s="26" t="str">
        <f>VLOOKUP($A1231,NotaIndividualPorAlunoRED,6,0)</f>
        <v/>
      </c>
      <c r="H1241" s="21" t="str">
        <f>VLOOKUP($A1231,NotaIndividualPorAlunoRED,7,0)</f>
        <v/>
      </c>
      <c r="I1241" s="14"/>
      <c r="J1241" s="14"/>
      <c r="K1241" s="14"/>
      <c r="L1241" s="14"/>
      <c r="M1241" s="20" t="str">
        <f>VLOOKUP(A1231,NOTAS!C:I,7,0)</f>
        <v/>
      </c>
      <c r="N1241" s="10"/>
      <c r="O1241" s="10"/>
    </row>
    <row r="1242" spans="1:15" x14ac:dyDescent="0.3">
      <c r="A1242" s="72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0"/>
      <c r="O1242" s="10"/>
    </row>
    <row r="1243" spans="1:15" x14ac:dyDescent="0.3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</row>
    <row r="1244" spans="1:15" x14ac:dyDescent="0.3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</row>
    <row r="1245" spans="1:15" x14ac:dyDescent="0.3">
      <c r="A1245" s="58" t="s">
        <v>38</v>
      </c>
      <c r="B1245" s="57" t="s">
        <v>35</v>
      </c>
      <c r="C1245" s="57" t="s">
        <v>56</v>
      </c>
      <c r="D1245" s="57" t="s">
        <v>57</v>
      </c>
      <c r="E1245" s="57" t="s">
        <v>58</v>
      </c>
      <c r="F1245" s="57" t="s">
        <v>59</v>
      </c>
      <c r="G1245" s="57" t="s">
        <v>60</v>
      </c>
      <c r="H1245" s="57" t="s">
        <v>36</v>
      </c>
      <c r="I1245" s="57" t="s">
        <v>61</v>
      </c>
      <c r="J1245" s="57" t="s">
        <v>34</v>
      </c>
      <c r="K1245" s="57" t="s">
        <v>62</v>
      </c>
      <c r="L1245" s="16" t="s">
        <v>33</v>
      </c>
      <c r="M1245" s="57" t="s">
        <v>37</v>
      </c>
      <c r="N1245" s="10"/>
      <c r="O1245" s="10"/>
    </row>
    <row r="1246" spans="1:15" ht="15.6" x14ac:dyDescent="0.3">
      <c r="A1246" s="58" t="str" cm="1">
        <f t="array" ref="A1246">IF(ISERROR(INDEX(ListaDeAlunos,(((ROW()-2)/17)+1),(COLUMN()+1))),"",INDEX(ListaDeAlunos,(((ROW()-2)/17)+1),(COLUMN()+1)))</f>
        <v/>
      </c>
      <c r="B1246" s="17" t="str">
        <f>VLOOKUP($A1246,NotaIndividualPorAlunoPROVAO,2,0)</f>
        <v/>
      </c>
      <c r="C1246" s="18" t="str">
        <f>VLOOKUP($A1246,NotaIndividualPorAlunoPROVAO,3,0)</f>
        <v/>
      </c>
      <c r="D1246" s="17" t="str">
        <f>VLOOKUP($A1246,NotaIndividualPorAlunoPROVAO,4,0)</f>
        <v/>
      </c>
      <c r="E1246" s="18" t="str">
        <f>VLOOKUP($A1246,NotaIndividualPorAlunoPROVAO,5,0)</f>
        <v/>
      </c>
      <c r="F1246" s="17" t="str">
        <f>VLOOKUP($A1246,NotaIndividualPorAlunoPROVAO,6,0)</f>
        <v/>
      </c>
      <c r="G1246" s="18" t="str">
        <f>VLOOKUP($A1246,NotaIndividualPorAlunoPROVAO,7,0)</f>
        <v/>
      </c>
      <c r="H1246" s="17" t="str">
        <f>VLOOKUP($A1246,NotaIndividualPorAlunoPROVAO,8,0)</f>
        <v/>
      </c>
      <c r="I1246" s="18" t="str">
        <f>VLOOKUP($A1246,NotaIndividualPorAlunoPROVAO,9,0)</f>
        <v/>
      </c>
      <c r="J1246" s="17" t="str">
        <f>VLOOKUP($A1246,NotaIndividualPorAlunoPROVAO,10,0)</f>
        <v/>
      </c>
      <c r="K1246" s="18" t="str">
        <f>VLOOKUP($A1246,NotaIndividualPorAlunoPROVAO,11,0)</f>
        <v/>
      </c>
      <c r="L1246" s="15" t="str">
        <f>VLOOKUP($A1246,NotaIndividualPorAlunoPROVAO,12,0)</f>
        <v/>
      </c>
      <c r="M1246" s="25" t="str">
        <f>VLOOKUP($A1246,NotaIndividualPorAlunoPROVAO,13,0)</f>
        <v/>
      </c>
      <c r="N1246" s="10"/>
      <c r="O1246" s="10"/>
    </row>
    <row r="1247" spans="1:15" x14ac:dyDescent="0.3">
      <c r="N1247" s="10"/>
      <c r="O1247" s="10"/>
    </row>
    <row r="1248" spans="1:15" x14ac:dyDescent="0.3">
      <c r="A1248" s="72" t="str">
        <f>A1246</f>
        <v/>
      </c>
      <c r="B1248" s="73" t="s">
        <v>15</v>
      </c>
      <c r="C1248" s="57" t="s">
        <v>2</v>
      </c>
      <c r="D1248" s="57" t="s">
        <v>3</v>
      </c>
      <c r="E1248" s="57" t="s">
        <v>4</v>
      </c>
      <c r="F1248" s="57" t="s">
        <v>5</v>
      </c>
      <c r="G1248" s="57" t="s">
        <v>6</v>
      </c>
      <c r="H1248" s="57" t="s">
        <v>7</v>
      </c>
      <c r="I1248" s="57" t="s">
        <v>8</v>
      </c>
      <c r="J1248" s="57" t="s">
        <v>9</v>
      </c>
      <c r="K1248" s="57" t="s">
        <v>10</v>
      </c>
      <c r="L1248" s="57" t="s">
        <v>11</v>
      </c>
      <c r="M1248" s="57" t="s">
        <v>13</v>
      </c>
      <c r="N1248" s="10"/>
      <c r="O1248" s="10"/>
    </row>
    <row r="1249" spans="1:15" ht="15.6" x14ac:dyDescent="0.3">
      <c r="A1249" s="72"/>
      <c r="B1249" s="73"/>
      <c r="C1249" s="5" t="str">
        <f t="shared" ref="C1249:L1249" si="219">VLOOKUP($A1248,NotaIndividualPorAlunoMAT,RIGHT(C1248,2)+1,0)</f>
        <v/>
      </c>
      <c r="D1249" s="5" t="str">
        <f t="shared" si="219"/>
        <v/>
      </c>
      <c r="E1249" s="5" t="str">
        <f t="shared" si="219"/>
        <v/>
      </c>
      <c r="F1249" s="5" t="str">
        <f t="shared" si="219"/>
        <v/>
      </c>
      <c r="G1249" s="5" t="str">
        <f t="shared" si="219"/>
        <v/>
      </c>
      <c r="H1249" s="5" t="str">
        <f t="shared" si="219"/>
        <v/>
      </c>
      <c r="I1249" s="5" t="str">
        <f t="shared" si="219"/>
        <v/>
      </c>
      <c r="J1249" s="5" t="str">
        <f t="shared" si="219"/>
        <v/>
      </c>
      <c r="K1249" s="5" t="str">
        <f t="shared" si="219"/>
        <v/>
      </c>
      <c r="L1249" s="5" t="str">
        <f t="shared" si="219"/>
        <v/>
      </c>
      <c r="M1249" s="19" t="str">
        <f>VLOOKUP($A1248,NotaIndividualPorAlunoMAT,RIGHT(L1248,2)+2,0)</f>
        <v/>
      </c>
      <c r="N1249" s="10"/>
      <c r="O1249" s="10"/>
    </row>
    <row r="1250" spans="1:15" x14ac:dyDescent="0.3">
      <c r="A1250" s="72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0"/>
      <c r="O1250" s="10"/>
    </row>
    <row r="1251" spans="1:15" x14ac:dyDescent="0.3">
      <c r="A1251" s="72"/>
      <c r="B1251" s="73" t="s">
        <v>14</v>
      </c>
      <c r="C1251" s="57" t="s">
        <v>46</v>
      </c>
      <c r="D1251" s="57" t="s">
        <v>47</v>
      </c>
      <c r="E1251" s="57" t="s">
        <v>48</v>
      </c>
      <c r="F1251" s="57" t="s">
        <v>49</v>
      </c>
      <c r="G1251" s="57" t="s">
        <v>50</v>
      </c>
      <c r="H1251" s="57" t="s">
        <v>51</v>
      </c>
      <c r="I1251" s="57" t="s">
        <v>52</v>
      </c>
      <c r="J1251" s="57" t="s">
        <v>53</v>
      </c>
      <c r="K1251" s="57" t="s">
        <v>54</v>
      </c>
      <c r="L1251" s="57" t="s">
        <v>55</v>
      </c>
      <c r="M1251" s="57" t="s">
        <v>13</v>
      </c>
      <c r="N1251" s="10"/>
      <c r="O1251" s="10"/>
    </row>
    <row r="1252" spans="1:15" ht="15.6" x14ac:dyDescent="0.3">
      <c r="A1252" s="72"/>
      <c r="B1252" s="73"/>
      <c r="C1252" s="3" t="str">
        <f t="shared" ref="C1252:L1252" si="220">VLOOKUP($A1248,NotaIndividualPorAlunoQUI,RIGHT(C1251,2)-9,0)</f>
        <v/>
      </c>
      <c r="D1252" s="3" t="str">
        <f t="shared" si="220"/>
        <v/>
      </c>
      <c r="E1252" s="3" t="str">
        <f t="shared" si="220"/>
        <v/>
      </c>
      <c r="F1252" s="3" t="str">
        <f t="shared" si="220"/>
        <v/>
      </c>
      <c r="G1252" s="3" t="str">
        <f t="shared" si="220"/>
        <v/>
      </c>
      <c r="H1252" s="3" t="str">
        <f t="shared" si="220"/>
        <v/>
      </c>
      <c r="I1252" s="3" t="str">
        <f t="shared" si="220"/>
        <v/>
      </c>
      <c r="J1252" s="3" t="str">
        <f t="shared" si="220"/>
        <v/>
      </c>
      <c r="K1252" s="3" t="str">
        <f t="shared" si="220"/>
        <v/>
      </c>
      <c r="L1252" s="3" t="str">
        <f t="shared" si="220"/>
        <v/>
      </c>
      <c r="M1252" s="19" t="str">
        <f>VLOOKUP($A1248,NotaIndividualPorAlunoQUI,RIGHT(L1251,2)-8,0)</f>
        <v/>
      </c>
      <c r="N1252" s="10"/>
      <c r="O1252" s="10"/>
    </row>
    <row r="1253" spans="1:15" x14ac:dyDescent="0.3">
      <c r="A1253" s="72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0"/>
      <c r="O1253" s="10"/>
    </row>
    <row r="1254" spans="1:15" x14ac:dyDescent="0.3">
      <c r="A1254" s="72"/>
      <c r="B1254" s="73" t="s">
        <v>12</v>
      </c>
      <c r="C1254" s="57" t="s">
        <v>2</v>
      </c>
      <c r="D1254" s="57" t="s">
        <v>3</v>
      </c>
      <c r="E1254" s="57" t="s">
        <v>4</v>
      </c>
      <c r="F1254" s="57" t="s">
        <v>5</v>
      </c>
      <c r="G1254" s="57" t="s">
        <v>6</v>
      </c>
      <c r="H1254" s="57" t="s">
        <v>7</v>
      </c>
      <c r="I1254" s="57" t="s">
        <v>8</v>
      </c>
      <c r="J1254" s="57" t="s">
        <v>9</v>
      </c>
      <c r="K1254" s="57" t="s">
        <v>10</v>
      </c>
      <c r="L1254" s="57" t="s">
        <v>11</v>
      </c>
      <c r="M1254" s="57" t="s">
        <v>13</v>
      </c>
      <c r="N1254" s="10"/>
      <c r="O1254" s="10"/>
    </row>
    <row r="1255" spans="1:15" ht="15.6" x14ac:dyDescent="0.3">
      <c r="A1255" s="72"/>
      <c r="B1255" s="73"/>
      <c r="C1255" s="3" t="str">
        <f t="shared" ref="C1255:L1255" si="221">VLOOKUP($A1248,NotaIndividualPorAlunoFIS,RIGHT(C1254,2)+1,0)</f>
        <v/>
      </c>
      <c r="D1255" s="3" t="str">
        <f t="shared" si="221"/>
        <v/>
      </c>
      <c r="E1255" s="3" t="str">
        <f t="shared" si="221"/>
        <v/>
      </c>
      <c r="F1255" s="3" t="str">
        <f t="shared" si="221"/>
        <v/>
      </c>
      <c r="G1255" s="3" t="str">
        <f t="shared" si="221"/>
        <v/>
      </c>
      <c r="H1255" s="3" t="str">
        <f t="shared" si="221"/>
        <v/>
      </c>
      <c r="I1255" s="3" t="str">
        <f t="shared" si="221"/>
        <v/>
      </c>
      <c r="J1255" s="3" t="str">
        <f t="shared" si="221"/>
        <v/>
      </c>
      <c r="K1255" s="3" t="str">
        <f t="shared" si="221"/>
        <v/>
      </c>
      <c r="L1255" s="3" t="str">
        <f t="shared" si="221"/>
        <v/>
      </c>
      <c r="M1255" s="19" t="str">
        <f>VLOOKUP($A1248,NotaIndividualPorAlunoFIS,RIGHT(L1254,2)+2,0)</f>
        <v/>
      </c>
      <c r="N1255" s="10"/>
      <c r="O1255" s="10"/>
    </row>
    <row r="1256" spans="1:15" ht="15.6" x14ac:dyDescent="0.3">
      <c r="A1256" s="72"/>
      <c r="B1256" s="12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0"/>
      <c r="O1256" s="10"/>
    </row>
    <row r="1257" spans="1:15" ht="15.6" x14ac:dyDescent="0.3">
      <c r="A1257" s="72"/>
      <c r="B1257" s="73" t="s">
        <v>16</v>
      </c>
      <c r="C1257" s="23" t="s">
        <v>41</v>
      </c>
      <c r="D1257" s="58" t="s">
        <v>42</v>
      </c>
      <c r="E1257" s="23" t="s">
        <v>43</v>
      </c>
      <c r="F1257" s="58" t="s">
        <v>44</v>
      </c>
      <c r="G1257" s="23" t="s">
        <v>63</v>
      </c>
      <c r="H1257" s="58" t="s">
        <v>32</v>
      </c>
      <c r="I1257" s="14"/>
      <c r="J1257" s="14"/>
      <c r="K1257" s="14"/>
      <c r="L1257" s="14"/>
      <c r="M1257" s="15" t="s">
        <v>18</v>
      </c>
      <c r="N1257" s="10"/>
      <c r="O1257" s="10"/>
    </row>
    <row r="1258" spans="1:15" ht="15.6" x14ac:dyDescent="0.3">
      <c r="A1258" s="72"/>
      <c r="B1258" s="73"/>
      <c r="C1258" s="26" t="str">
        <f>VLOOKUP($A1248,NotaIndividualPorAlunoRED,2,0)</f>
        <v/>
      </c>
      <c r="D1258" s="26" t="str">
        <f>VLOOKUP($A1248,NotaIndividualPorAlunoRED,3,0)</f>
        <v/>
      </c>
      <c r="E1258" s="26" t="str">
        <f>VLOOKUP($A1248,NotaIndividualPorAlunoRED,4,0)</f>
        <v/>
      </c>
      <c r="F1258" s="26" t="str">
        <f>VLOOKUP($A1248,NotaIndividualPorAlunoRED,5,0)</f>
        <v/>
      </c>
      <c r="G1258" s="26" t="str">
        <f>VLOOKUP($A1248,NotaIndividualPorAlunoRED,6,0)</f>
        <v/>
      </c>
      <c r="H1258" s="21" t="str">
        <f>VLOOKUP($A1248,NotaIndividualPorAlunoRED,7,0)</f>
        <v/>
      </c>
      <c r="I1258" s="14"/>
      <c r="J1258" s="14"/>
      <c r="K1258" s="14"/>
      <c r="L1258" s="14"/>
      <c r="M1258" s="20" t="str">
        <f>VLOOKUP(A1248,NOTAS!C:I,7,0)</f>
        <v/>
      </c>
      <c r="N1258" s="10"/>
      <c r="O1258" s="10"/>
    </row>
    <row r="1259" spans="1:15" x14ac:dyDescent="0.3">
      <c r="A1259" s="72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0"/>
      <c r="O1259" s="10"/>
    </row>
    <row r="1260" spans="1:15" x14ac:dyDescent="0.3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</row>
    <row r="1261" spans="1:15" x14ac:dyDescent="0.3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</row>
    <row r="1262" spans="1:15" x14ac:dyDescent="0.3">
      <c r="A1262" s="58" t="s">
        <v>38</v>
      </c>
      <c r="B1262" s="57" t="s">
        <v>35</v>
      </c>
      <c r="C1262" s="57" t="s">
        <v>56</v>
      </c>
      <c r="D1262" s="57" t="s">
        <v>57</v>
      </c>
      <c r="E1262" s="57" t="s">
        <v>58</v>
      </c>
      <c r="F1262" s="57" t="s">
        <v>59</v>
      </c>
      <c r="G1262" s="57" t="s">
        <v>60</v>
      </c>
      <c r="H1262" s="57" t="s">
        <v>36</v>
      </c>
      <c r="I1262" s="57" t="s">
        <v>61</v>
      </c>
      <c r="J1262" s="57" t="s">
        <v>34</v>
      </c>
      <c r="K1262" s="57" t="s">
        <v>62</v>
      </c>
      <c r="L1262" s="16" t="s">
        <v>33</v>
      </c>
      <c r="M1262" s="57" t="s">
        <v>37</v>
      </c>
      <c r="N1262" s="10"/>
      <c r="O1262" s="10"/>
    </row>
    <row r="1263" spans="1:15" ht="15.6" x14ac:dyDescent="0.3">
      <c r="A1263" s="58" t="str" cm="1">
        <f t="array" ref="A1263">IF(ISERROR(INDEX(ListaDeAlunos,(((ROW()-2)/17)+1),(COLUMN()+1))),"",INDEX(ListaDeAlunos,(((ROW()-2)/17)+1),(COLUMN()+1)))</f>
        <v/>
      </c>
      <c r="B1263" s="17" t="str">
        <f>VLOOKUP($A1263,NotaIndividualPorAlunoPROVAO,2,0)</f>
        <v/>
      </c>
      <c r="C1263" s="18" t="str">
        <f>VLOOKUP($A1263,NotaIndividualPorAlunoPROVAO,3,0)</f>
        <v/>
      </c>
      <c r="D1263" s="17" t="str">
        <f>VLOOKUP($A1263,NotaIndividualPorAlunoPROVAO,4,0)</f>
        <v/>
      </c>
      <c r="E1263" s="18" t="str">
        <f>VLOOKUP($A1263,NotaIndividualPorAlunoPROVAO,5,0)</f>
        <v/>
      </c>
      <c r="F1263" s="17" t="str">
        <f>VLOOKUP($A1263,NotaIndividualPorAlunoPROVAO,6,0)</f>
        <v/>
      </c>
      <c r="G1263" s="18" t="str">
        <f>VLOOKUP($A1263,NotaIndividualPorAlunoPROVAO,7,0)</f>
        <v/>
      </c>
      <c r="H1263" s="17" t="str">
        <f>VLOOKUP($A1263,NotaIndividualPorAlunoPROVAO,8,0)</f>
        <v/>
      </c>
      <c r="I1263" s="18" t="str">
        <f>VLOOKUP($A1263,NotaIndividualPorAlunoPROVAO,9,0)</f>
        <v/>
      </c>
      <c r="J1263" s="17" t="str">
        <f>VLOOKUP($A1263,NotaIndividualPorAlunoPROVAO,10,0)</f>
        <v/>
      </c>
      <c r="K1263" s="18" t="str">
        <f>VLOOKUP($A1263,NotaIndividualPorAlunoPROVAO,11,0)</f>
        <v/>
      </c>
      <c r="L1263" s="15" t="str">
        <f>VLOOKUP($A1263,NotaIndividualPorAlunoPROVAO,12,0)</f>
        <v/>
      </c>
      <c r="M1263" s="25" t="str">
        <f>VLOOKUP($A1263,NotaIndividualPorAlunoPROVAO,13,0)</f>
        <v/>
      </c>
      <c r="N1263" s="10"/>
      <c r="O1263" s="10"/>
    </row>
    <row r="1264" spans="1:15" x14ac:dyDescent="0.3">
      <c r="N1264" s="10"/>
      <c r="O1264" s="10"/>
    </row>
    <row r="1265" spans="1:15" x14ac:dyDescent="0.3">
      <c r="A1265" s="72" t="str">
        <f>A1263</f>
        <v/>
      </c>
      <c r="B1265" s="73" t="s">
        <v>15</v>
      </c>
      <c r="C1265" s="57" t="s">
        <v>2</v>
      </c>
      <c r="D1265" s="57" t="s">
        <v>3</v>
      </c>
      <c r="E1265" s="57" t="s">
        <v>4</v>
      </c>
      <c r="F1265" s="57" t="s">
        <v>5</v>
      </c>
      <c r="G1265" s="57" t="s">
        <v>6</v>
      </c>
      <c r="H1265" s="57" t="s">
        <v>7</v>
      </c>
      <c r="I1265" s="57" t="s">
        <v>8</v>
      </c>
      <c r="J1265" s="57" t="s">
        <v>9</v>
      </c>
      <c r="K1265" s="57" t="s">
        <v>10</v>
      </c>
      <c r="L1265" s="57" t="s">
        <v>11</v>
      </c>
      <c r="M1265" s="57" t="s">
        <v>13</v>
      </c>
      <c r="N1265" s="10"/>
      <c r="O1265" s="10"/>
    </row>
    <row r="1266" spans="1:15" ht="15.6" x14ac:dyDescent="0.3">
      <c r="A1266" s="72"/>
      <c r="B1266" s="73"/>
      <c r="C1266" s="5" t="str">
        <f t="shared" ref="C1266:L1266" si="222">VLOOKUP($A1265,NotaIndividualPorAlunoMAT,RIGHT(C1265,2)+1,0)</f>
        <v/>
      </c>
      <c r="D1266" s="5" t="str">
        <f t="shared" si="222"/>
        <v/>
      </c>
      <c r="E1266" s="5" t="str">
        <f t="shared" si="222"/>
        <v/>
      </c>
      <c r="F1266" s="5" t="str">
        <f t="shared" si="222"/>
        <v/>
      </c>
      <c r="G1266" s="5" t="str">
        <f t="shared" si="222"/>
        <v/>
      </c>
      <c r="H1266" s="5" t="str">
        <f t="shared" si="222"/>
        <v/>
      </c>
      <c r="I1266" s="5" t="str">
        <f t="shared" si="222"/>
        <v/>
      </c>
      <c r="J1266" s="5" t="str">
        <f t="shared" si="222"/>
        <v/>
      </c>
      <c r="K1266" s="5" t="str">
        <f t="shared" si="222"/>
        <v/>
      </c>
      <c r="L1266" s="5" t="str">
        <f t="shared" si="222"/>
        <v/>
      </c>
      <c r="M1266" s="19" t="str">
        <f>VLOOKUP($A1265,NotaIndividualPorAlunoMAT,RIGHT(L1265,2)+2,0)</f>
        <v/>
      </c>
      <c r="N1266" s="10"/>
      <c r="O1266" s="10"/>
    </row>
    <row r="1267" spans="1:15" x14ac:dyDescent="0.3">
      <c r="A1267" s="72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0"/>
      <c r="O1267" s="10"/>
    </row>
    <row r="1268" spans="1:15" x14ac:dyDescent="0.3">
      <c r="A1268" s="72"/>
      <c r="B1268" s="73" t="s">
        <v>14</v>
      </c>
      <c r="C1268" s="57" t="s">
        <v>46</v>
      </c>
      <c r="D1268" s="57" t="s">
        <v>47</v>
      </c>
      <c r="E1268" s="57" t="s">
        <v>48</v>
      </c>
      <c r="F1268" s="57" t="s">
        <v>49</v>
      </c>
      <c r="G1268" s="57" t="s">
        <v>50</v>
      </c>
      <c r="H1268" s="57" t="s">
        <v>51</v>
      </c>
      <c r="I1268" s="57" t="s">
        <v>52</v>
      </c>
      <c r="J1268" s="57" t="s">
        <v>53</v>
      </c>
      <c r="K1268" s="57" t="s">
        <v>54</v>
      </c>
      <c r="L1268" s="57" t="s">
        <v>55</v>
      </c>
      <c r="M1268" s="57" t="s">
        <v>13</v>
      </c>
      <c r="N1268" s="10"/>
      <c r="O1268" s="10"/>
    </row>
    <row r="1269" spans="1:15" ht="15.6" x14ac:dyDescent="0.3">
      <c r="A1269" s="72"/>
      <c r="B1269" s="73"/>
      <c r="C1269" s="3" t="str">
        <f t="shared" ref="C1269:L1269" si="223">VLOOKUP($A1265,NotaIndividualPorAlunoQUI,RIGHT(C1268,2)-9,0)</f>
        <v/>
      </c>
      <c r="D1269" s="3" t="str">
        <f t="shared" si="223"/>
        <v/>
      </c>
      <c r="E1269" s="3" t="str">
        <f t="shared" si="223"/>
        <v/>
      </c>
      <c r="F1269" s="3" t="str">
        <f t="shared" si="223"/>
        <v/>
      </c>
      <c r="G1269" s="3" t="str">
        <f t="shared" si="223"/>
        <v/>
      </c>
      <c r="H1269" s="3" t="str">
        <f t="shared" si="223"/>
        <v/>
      </c>
      <c r="I1269" s="3" t="str">
        <f t="shared" si="223"/>
        <v/>
      </c>
      <c r="J1269" s="3" t="str">
        <f t="shared" si="223"/>
        <v/>
      </c>
      <c r="K1269" s="3" t="str">
        <f t="shared" si="223"/>
        <v/>
      </c>
      <c r="L1269" s="3" t="str">
        <f t="shared" si="223"/>
        <v/>
      </c>
      <c r="M1269" s="19" t="str">
        <f>VLOOKUP($A1265,NotaIndividualPorAlunoQUI,RIGHT(L1268,2)-8,0)</f>
        <v/>
      </c>
      <c r="N1269" s="10"/>
      <c r="O1269" s="10"/>
    </row>
    <row r="1270" spans="1:15" x14ac:dyDescent="0.3">
      <c r="A1270" s="72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0"/>
      <c r="O1270" s="10"/>
    </row>
    <row r="1271" spans="1:15" x14ac:dyDescent="0.3">
      <c r="A1271" s="72"/>
      <c r="B1271" s="73" t="s">
        <v>12</v>
      </c>
      <c r="C1271" s="57" t="s">
        <v>2</v>
      </c>
      <c r="D1271" s="57" t="s">
        <v>3</v>
      </c>
      <c r="E1271" s="57" t="s">
        <v>4</v>
      </c>
      <c r="F1271" s="57" t="s">
        <v>5</v>
      </c>
      <c r="G1271" s="57" t="s">
        <v>6</v>
      </c>
      <c r="H1271" s="57" t="s">
        <v>7</v>
      </c>
      <c r="I1271" s="57" t="s">
        <v>8</v>
      </c>
      <c r="J1271" s="57" t="s">
        <v>9</v>
      </c>
      <c r="K1271" s="57" t="s">
        <v>10</v>
      </c>
      <c r="L1271" s="57" t="s">
        <v>11</v>
      </c>
      <c r="M1271" s="57" t="s">
        <v>13</v>
      </c>
      <c r="N1271" s="10"/>
      <c r="O1271" s="10"/>
    </row>
    <row r="1272" spans="1:15" ht="15.6" x14ac:dyDescent="0.3">
      <c r="A1272" s="72"/>
      <c r="B1272" s="73"/>
      <c r="C1272" s="3" t="str">
        <f t="shared" ref="C1272:L1272" si="224">VLOOKUP($A1265,NotaIndividualPorAlunoFIS,RIGHT(C1271,2)+1,0)</f>
        <v/>
      </c>
      <c r="D1272" s="3" t="str">
        <f t="shared" si="224"/>
        <v/>
      </c>
      <c r="E1272" s="3" t="str">
        <f t="shared" si="224"/>
        <v/>
      </c>
      <c r="F1272" s="3" t="str">
        <f t="shared" si="224"/>
        <v/>
      </c>
      <c r="G1272" s="3" t="str">
        <f t="shared" si="224"/>
        <v/>
      </c>
      <c r="H1272" s="3" t="str">
        <f t="shared" si="224"/>
        <v/>
      </c>
      <c r="I1272" s="3" t="str">
        <f t="shared" si="224"/>
        <v/>
      </c>
      <c r="J1272" s="3" t="str">
        <f t="shared" si="224"/>
        <v/>
      </c>
      <c r="K1272" s="3" t="str">
        <f t="shared" si="224"/>
        <v/>
      </c>
      <c r="L1272" s="3" t="str">
        <f t="shared" si="224"/>
        <v/>
      </c>
      <c r="M1272" s="19" t="str">
        <f>VLOOKUP($A1265,NotaIndividualPorAlunoFIS,RIGHT(L1271,2)+2,0)</f>
        <v/>
      </c>
      <c r="N1272" s="10"/>
      <c r="O1272" s="10"/>
    </row>
    <row r="1273" spans="1:15" ht="15.6" x14ac:dyDescent="0.3">
      <c r="A1273" s="72"/>
      <c r="B1273" s="12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0"/>
      <c r="O1273" s="10"/>
    </row>
    <row r="1274" spans="1:15" ht="15.6" x14ac:dyDescent="0.3">
      <c r="A1274" s="72"/>
      <c r="B1274" s="73" t="s">
        <v>16</v>
      </c>
      <c r="C1274" s="23" t="s">
        <v>41</v>
      </c>
      <c r="D1274" s="58" t="s">
        <v>42</v>
      </c>
      <c r="E1274" s="23" t="s">
        <v>43</v>
      </c>
      <c r="F1274" s="58" t="s">
        <v>44</v>
      </c>
      <c r="G1274" s="23" t="s">
        <v>63</v>
      </c>
      <c r="H1274" s="58" t="s">
        <v>32</v>
      </c>
      <c r="I1274" s="14"/>
      <c r="J1274" s="14"/>
      <c r="K1274" s="14"/>
      <c r="L1274" s="14"/>
      <c r="M1274" s="15" t="s">
        <v>18</v>
      </c>
      <c r="N1274" s="10"/>
      <c r="O1274" s="10"/>
    </row>
    <row r="1275" spans="1:15" ht="15.6" x14ac:dyDescent="0.3">
      <c r="A1275" s="72"/>
      <c r="B1275" s="73"/>
      <c r="C1275" s="26" t="str">
        <f>VLOOKUP($A1265,NotaIndividualPorAlunoRED,2,0)</f>
        <v/>
      </c>
      <c r="D1275" s="26" t="str">
        <f>VLOOKUP($A1265,NotaIndividualPorAlunoRED,3,0)</f>
        <v/>
      </c>
      <c r="E1275" s="26" t="str">
        <f>VLOOKUP($A1265,NotaIndividualPorAlunoRED,4,0)</f>
        <v/>
      </c>
      <c r="F1275" s="26" t="str">
        <f>VLOOKUP($A1265,NotaIndividualPorAlunoRED,5,0)</f>
        <v/>
      </c>
      <c r="G1275" s="26" t="str">
        <f>VLOOKUP($A1265,NotaIndividualPorAlunoRED,6,0)</f>
        <v/>
      </c>
      <c r="H1275" s="21" t="str">
        <f>VLOOKUP($A1265,NotaIndividualPorAlunoRED,7,0)</f>
        <v/>
      </c>
      <c r="I1275" s="14"/>
      <c r="J1275" s="14"/>
      <c r="K1275" s="14"/>
      <c r="L1275" s="14"/>
      <c r="M1275" s="20" t="str">
        <f>VLOOKUP(A1265,NOTAS!C:I,7,0)</f>
        <v/>
      </c>
      <c r="N1275" s="10"/>
      <c r="O1275" s="10"/>
    </row>
    <row r="1276" spans="1:15" x14ac:dyDescent="0.3">
      <c r="A1276" s="72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0"/>
      <c r="O1276" s="10"/>
    </row>
    <row r="1277" spans="1:15" x14ac:dyDescent="0.3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</row>
    <row r="1278" spans="1:15" x14ac:dyDescent="0.3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</row>
    <row r="1279" spans="1:15" x14ac:dyDescent="0.3">
      <c r="A1279" s="58" t="s">
        <v>38</v>
      </c>
      <c r="B1279" s="57" t="s">
        <v>35</v>
      </c>
      <c r="C1279" s="57" t="s">
        <v>56</v>
      </c>
      <c r="D1279" s="57" t="s">
        <v>57</v>
      </c>
      <c r="E1279" s="57" t="s">
        <v>58</v>
      </c>
      <c r="F1279" s="57" t="s">
        <v>59</v>
      </c>
      <c r="G1279" s="57" t="s">
        <v>60</v>
      </c>
      <c r="H1279" s="57" t="s">
        <v>36</v>
      </c>
      <c r="I1279" s="57" t="s">
        <v>61</v>
      </c>
      <c r="J1279" s="57" t="s">
        <v>34</v>
      </c>
      <c r="K1279" s="57" t="s">
        <v>62</v>
      </c>
      <c r="L1279" s="16" t="s">
        <v>33</v>
      </c>
      <c r="M1279" s="57" t="s">
        <v>37</v>
      </c>
      <c r="N1279" s="10"/>
      <c r="O1279" s="10"/>
    </row>
    <row r="1280" spans="1:15" ht="15.6" x14ac:dyDescent="0.3">
      <c r="A1280" s="58" t="str" cm="1">
        <f t="array" ref="A1280">IF(ISERROR(INDEX(ListaDeAlunos,(((ROW()-2)/17)+1),(COLUMN()+1))),"",INDEX(ListaDeAlunos,(((ROW()-2)/17)+1),(COLUMN()+1)))</f>
        <v/>
      </c>
      <c r="B1280" s="17" t="str">
        <f>VLOOKUP($A1280,NotaIndividualPorAlunoPROVAO,2,0)</f>
        <v/>
      </c>
      <c r="C1280" s="18" t="str">
        <f>VLOOKUP($A1280,NotaIndividualPorAlunoPROVAO,3,0)</f>
        <v/>
      </c>
      <c r="D1280" s="17" t="str">
        <f>VLOOKUP($A1280,NotaIndividualPorAlunoPROVAO,4,0)</f>
        <v/>
      </c>
      <c r="E1280" s="18" t="str">
        <f>VLOOKUP($A1280,NotaIndividualPorAlunoPROVAO,5,0)</f>
        <v/>
      </c>
      <c r="F1280" s="17" t="str">
        <f>VLOOKUP($A1280,NotaIndividualPorAlunoPROVAO,6,0)</f>
        <v/>
      </c>
      <c r="G1280" s="18" t="str">
        <f>VLOOKUP($A1280,NotaIndividualPorAlunoPROVAO,7,0)</f>
        <v/>
      </c>
      <c r="H1280" s="17" t="str">
        <f>VLOOKUP($A1280,NotaIndividualPorAlunoPROVAO,8,0)</f>
        <v/>
      </c>
      <c r="I1280" s="18" t="str">
        <f>VLOOKUP($A1280,NotaIndividualPorAlunoPROVAO,9,0)</f>
        <v/>
      </c>
      <c r="J1280" s="17" t="str">
        <f>VLOOKUP($A1280,NotaIndividualPorAlunoPROVAO,10,0)</f>
        <v/>
      </c>
      <c r="K1280" s="18" t="str">
        <f>VLOOKUP($A1280,NotaIndividualPorAlunoPROVAO,11,0)</f>
        <v/>
      </c>
      <c r="L1280" s="15" t="str">
        <f>VLOOKUP($A1280,NotaIndividualPorAlunoPROVAO,12,0)</f>
        <v/>
      </c>
      <c r="M1280" s="25" t="str">
        <f>VLOOKUP($A1280,NotaIndividualPorAlunoPROVAO,13,0)</f>
        <v/>
      </c>
      <c r="N1280" s="10"/>
      <c r="O1280" s="10"/>
    </row>
    <row r="1281" spans="1:15" x14ac:dyDescent="0.3">
      <c r="N1281" s="10"/>
      <c r="O1281" s="10"/>
    </row>
    <row r="1282" spans="1:15" x14ac:dyDescent="0.3">
      <c r="A1282" s="72" t="str">
        <f>A1280</f>
        <v/>
      </c>
      <c r="B1282" s="73" t="s">
        <v>15</v>
      </c>
      <c r="C1282" s="57" t="s">
        <v>2</v>
      </c>
      <c r="D1282" s="57" t="s">
        <v>3</v>
      </c>
      <c r="E1282" s="57" t="s">
        <v>4</v>
      </c>
      <c r="F1282" s="57" t="s">
        <v>5</v>
      </c>
      <c r="G1282" s="57" t="s">
        <v>6</v>
      </c>
      <c r="H1282" s="57" t="s">
        <v>7</v>
      </c>
      <c r="I1282" s="57" t="s">
        <v>8</v>
      </c>
      <c r="J1282" s="57" t="s">
        <v>9</v>
      </c>
      <c r="K1282" s="57" t="s">
        <v>10</v>
      </c>
      <c r="L1282" s="57" t="s">
        <v>11</v>
      </c>
      <c r="M1282" s="57" t="s">
        <v>13</v>
      </c>
      <c r="N1282" s="10"/>
      <c r="O1282" s="10"/>
    </row>
    <row r="1283" spans="1:15" ht="15.6" x14ac:dyDescent="0.3">
      <c r="A1283" s="72"/>
      <c r="B1283" s="73"/>
      <c r="C1283" s="5" t="str">
        <f t="shared" ref="C1283:L1283" si="225">VLOOKUP($A1282,NotaIndividualPorAlunoMAT,RIGHT(C1282,2)+1,0)</f>
        <v/>
      </c>
      <c r="D1283" s="5" t="str">
        <f t="shared" si="225"/>
        <v/>
      </c>
      <c r="E1283" s="5" t="str">
        <f t="shared" si="225"/>
        <v/>
      </c>
      <c r="F1283" s="5" t="str">
        <f t="shared" si="225"/>
        <v/>
      </c>
      <c r="G1283" s="5" t="str">
        <f t="shared" si="225"/>
        <v/>
      </c>
      <c r="H1283" s="5" t="str">
        <f t="shared" si="225"/>
        <v/>
      </c>
      <c r="I1283" s="5" t="str">
        <f t="shared" si="225"/>
        <v/>
      </c>
      <c r="J1283" s="5" t="str">
        <f t="shared" si="225"/>
        <v/>
      </c>
      <c r="K1283" s="5" t="str">
        <f t="shared" si="225"/>
        <v/>
      </c>
      <c r="L1283" s="5" t="str">
        <f t="shared" si="225"/>
        <v/>
      </c>
      <c r="M1283" s="19" t="str">
        <f>VLOOKUP($A1282,NotaIndividualPorAlunoMAT,RIGHT(L1282,2)+2,0)</f>
        <v/>
      </c>
      <c r="N1283" s="10"/>
      <c r="O1283" s="10"/>
    </row>
    <row r="1284" spans="1:15" x14ac:dyDescent="0.3">
      <c r="A1284" s="72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0"/>
      <c r="O1284" s="10"/>
    </row>
    <row r="1285" spans="1:15" x14ac:dyDescent="0.3">
      <c r="A1285" s="72"/>
      <c r="B1285" s="73" t="s">
        <v>14</v>
      </c>
      <c r="C1285" s="57" t="s">
        <v>46</v>
      </c>
      <c r="D1285" s="57" t="s">
        <v>47</v>
      </c>
      <c r="E1285" s="57" t="s">
        <v>48</v>
      </c>
      <c r="F1285" s="57" t="s">
        <v>49</v>
      </c>
      <c r="G1285" s="57" t="s">
        <v>50</v>
      </c>
      <c r="H1285" s="57" t="s">
        <v>51</v>
      </c>
      <c r="I1285" s="57" t="s">
        <v>52</v>
      </c>
      <c r="J1285" s="57" t="s">
        <v>53</v>
      </c>
      <c r="K1285" s="57" t="s">
        <v>54</v>
      </c>
      <c r="L1285" s="57" t="s">
        <v>55</v>
      </c>
      <c r="M1285" s="57" t="s">
        <v>13</v>
      </c>
      <c r="N1285" s="10"/>
      <c r="O1285" s="10"/>
    </row>
    <row r="1286" spans="1:15" ht="15.6" x14ac:dyDescent="0.3">
      <c r="A1286" s="72"/>
      <c r="B1286" s="73"/>
      <c r="C1286" s="3" t="str">
        <f t="shared" ref="C1286:L1286" si="226">VLOOKUP($A1282,NotaIndividualPorAlunoQUI,RIGHT(C1285,2)-9,0)</f>
        <v/>
      </c>
      <c r="D1286" s="3" t="str">
        <f t="shared" si="226"/>
        <v/>
      </c>
      <c r="E1286" s="3" t="str">
        <f t="shared" si="226"/>
        <v/>
      </c>
      <c r="F1286" s="3" t="str">
        <f t="shared" si="226"/>
        <v/>
      </c>
      <c r="G1286" s="3" t="str">
        <f t="shared" si="226"/>
        <v/>
      </c>
      <c r="H1286" s="3" t="str">
        <f t="shared" si="226"/>
        <v/>
      </c>
      <c r="I1286" s="3" t="str">
        <f t="shared" si="226"/>
        <v/>
      </c>
      <c r="J1286" s="3" t="str">
        <f t="shared" si="226"/>
        <v/>
      </c>
      <c r="K1286" s="3" t="str">
        <f t="shared" si="226"/>
        <v/>
      </c>
      <c r="L1286" s="3" t="str">
        <f t="shared" si="226"/>
        <v/>
      </c>
      <c r="M1286" s="19" t="str">
        <f>VLOOKUP($A1282,NotaIndividualPorAlunoQUI,RIGHT(L1285,2)-8,0)</f>
        <v/>
      </c>
      <c r="N1286" s="10"/>
      <c r="O1286" s="10"/>
    </row>
    <row r="1287" spans="1:15" x14ac:dyDescent="0.3">
      <c r="A1287" s="72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0"/>
      <c r="O1287" s="10"/>
    </row>
    <row r="1288" spans="1:15" x14ac:dyDescent="0.3">
      <c r="A1288" s="72"/>
      <c r="B1288" s="73" t="s">
        <v>12</v>
      </c>
      <c r="C1288" s="57" t="s">
        <v>2</v>
      </c>
      <c r="D1288" s="57" t="s">
        <v>3</v>
      </c>
      <c r="E1288" s="57" t="s">
        <v>4</v>
      </c>
      <c r="F1288" s="57" t="s">
        <v>5</v>
      </c>
      <c r="G1288" s="57" t="s">
        <v>6</v>
      </c>
      <c r="H1288" s="57" t="s">
        <v>7</v>
      </c>
      <c r="I1288" s="57" t="s">
        <v>8</v>
      </c>
      <c r="J1288" s="57" t="s">
        <v>9</v>
      </c>
      <c r="K1288" s="57" t="s">
        <v>10</v>
      </c>
      <c r="L1288" s="57" t="s">
        <v>11</v>
      </c>
      <c r="M1288" s="57" t="s">
        <v>13</v>
      </c>
      <c r="N1288" s="10"/>
      <c r="O1288" s="10"/>
    </row>
    <row r="1289" spans="1:15" ht="15.6" x14ac:dyDescent="0.3">
      <c r="A1289" s="72"/>
      <c r="B1289" s="73"/>
      <c r="C1289" s="3" t="str">
        <f t="shared" ref="C1289:L1289" si="227">VLOOKUP($A1282,NotaIndividualPorAlunoFIS,RIGHT(C1288,2)+1,0)</f>
        <v/>
      </c>
      <c r="D1289" s="3" t="str">
        <f t="shared" si="227"/>
        <v/>
      </c>
      <c r="E1289" s="3" t="str">
        <f t="shared" si="227"/>
        <v/>
      </c>
      <c r="F1289" s="3" t="str">
        <f t="shared" si="227"/>
        <v/>
      </c>
      <c r="G1289" s="3" t="str">
        <f t="shared" si="227"/>
        <v/>
      </c>
      <c r="H1289" s="3" t="str">
        <f t="shared" si="227"/>
        <v/>
      </c>
      <c r="I1289" s="3" t="str">
        <f t="shared" si="227"/>
        <v/>
      </c>
      <c r="J1289" s="3" t="str">
        <f t="shared" si="227"/>
        <v/>
      </c>
      <c r="K1289" s="3" t="str">
        <f t="shared" si="227"/>
        <v/>
      </c>
      <c r="L1289" s="3" t="str">
        <f t="shared" si="227"/>
        <v/>
      </c>
      <c r="M1289" s="19" t="str">
        <f>VLOOKUP($A1282,NotaIndividualPorAlunoFIS,RIGHT(L1288,2)+2,0)</f>
        <v/>
      </c>
      <c r="N1289" s="10"/>
      <c r="O1289" s="10"/>
    </row>
    <row r="1290" spans="1:15" ht="15.6" x14ac:dyDescent="0.3">
      <c r="A1290" s="72"/>
      <c r="B1290" s="12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0"/>
      <c r="O1290" s="10"/>
    </row>
    <row r="1291" spans="1:15" ht="15.6" x14ac:dyDescent="0.3">
      <c r="A1291" s="72"/>
      <c r="B1291" s="73" t="s">
        <v>16</v>
      </c>
      <c r="C1291" s="23" t="s">
        <v>41</v>
      </c>
      <c r="D1291" s="58" t="s">
        <v>42</v>
      </c>
      <c r="E1291" s="23" t="s">
        <v>43</v>
      </c>
      <c r="F1291" s="58" t="s">
        <v>44</v>
      </c>
      <c r="G1291" s="23" t="s">
        <v>63</v>
      </c>
      <c r="H1291" s="58" t="s">
        <v>32</v>
      </c>
      <c r="I1291" s="14"/>
      <c r="J1291" s="14"/>
      <c r="K1291" s="14"/>
      <c r="L1291" s="14"/>
      <c r="M1291" s="15" t="s">
        <v>18</v>
      </c>
      <c r="N1291" s="10"/>
      <c r="O1291" s="10"/>
    </row>
    <row r="1292" spans="1:15" ht="15.6" x14ac:dyDescent="0.3">
      <c r="A1292" s="72"/>
      <c r="B1292" s="73"/>
      <c r="C1292" s="26" t="str">
        <f>VLOOKUP($A1282,NotaIndividualPorAlunoRED,2,0)</f>
        <v/>
      </c>
      <c r="D1292" s="26" t="str">
        <f>VLOOKUP($A1282,NotaIndividualPorAlunoRED,3,0)</f>
        <v/>
      </c>
      <c r="E1292" s="26" t="str">
        <f>VLOOKUP($A1282,NotaIndividualPorAlunoRED,4,0)</f>
        <v/>
      </c>
      <c r="F1292" s="26" t="str">
        <f>VLOOKUP($A1282,NotaIndividualPorAlunoRED,5,0)</f>
        <v/>
      </c>
      <c r="G1292" s="26" t="str">
        <f>VLOOKUP($A1282,NotaIndividualPorAlunoRED,6,0)</f>
        <v/>
      </c>
      <c r="H1292" s="21" t="str">
        <f>VLOOKUP($A1282,NotaIndividualPorAlunoRED,7,0)</f>
        <v/>
      </c>
      <c r="I1292" s="14"/>
      <c r="J1292" s="14"/>
      <c r="K1292" s="14"/>
      <c r="L1292" s="14"/>
      <c r="M1292" s="20" t="str">
        <f>VLOOKUP(A1282,NOTAS!C:I,7,0)</f>
        <v/>
      </c>
      <c r="N1292" s="10"/>
      <c r="O1292" s="10"/>
    </row>
    <row r="1293" spans="1:15" x14ac:dyDescent="0.3">
      <c r="A1293" s="72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0"/>
      <c r="O1293" s="10"/>
    </row>
    <row r="1294" spans="1:15" x14ac:dyDescent="0.3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</row>
    <row r="1295" spans="1:15" x14ac:dyDescent="0.3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</row>
    <row r="1296" spans="1:15" x14ac:dyDescent="0.3">
      <c r="A1296" s="58" t="s">
        <v>38</v>
      </c>
      <c r="B1296" s="57" t="s">
        <v>35</v>
      </c>
      <c r="C1296" s="57" t="s">
        <v>56</v>
      </c>
      <c r="D1296" s="57" t="s">
        <v>57</v>
      </c>
      <c r="E1296" s="57" t="s">
        <v>58</v>
      </c>
      <c r="F1296" s="57" t="s">
        <v>59</v>
      </c>
      <c r="G1296" s="57" t="s">
        <v>60</v>
      </c>
      <c r="H1296" s="57" t="s">
        <v>36</v>
      </c>
      <c r="I1296" s="57" t="s">
        <v>61</v>
      </c>
      <c r="J1296" s="57" t="s">
        <v>34</v>
      </c>
      <c r="K1296" s="57" t="s">
        <v>62</v>
      </c>
      <c r="L1296" s="16" t="s">
        <v>33</v>
      </c>
      <c r="M1296" s="57" t="s">
        <v>37</v>
      </c>
      <c r="N1296" s="10"/>
      <c r="O1296" s="10"/>
    </row>
    <row r="1297" spans="1:15" ht="15.6" x14ac:dyDescent="0.3">
      <c r="A1297" s="58" t="str" cm="1">
        <f t="array" ref="A1297">IF(ISERROR(INDEX(ListaDeAlunos,(((ROW()-2)/17)+1),(COLUMN()+1))),"",INDEX(ListaDeAlunos,(((ROW()-2)/17)+1),(COLUMN()+1)))</f>
        <v/>
      </c>
      <c r="B1297" s="17" t="str">
        <f>VLOOKUP($A1297,NotaIndividualPorAlunoPROVAO,2,0)</f>
        <v/>
      </c>
      <c r="C1297" s="18" t="str">
        <f>VLOOKUP($A1297,NotaIndividualPorAlunoPROVAO,3,0)</f>
        <v/>
      </c>
      <c r="D1297" s="17" t="str">
        <f>VLOOKUP($A1297,NotaIndividualPorAlunoPROVAO,4,0)</f>
        <v/>
      </c>
      <c r="E1297" s="18" t="str">
        <f>VLOOKUP($A1297,NotaIndividualPorAlunoPROVAO,5,0)</f>
        <v/>
      </c>
      <c r="F1297" s="17" t="str">
        <f>VLOOKUP($A1297,NotaIndividualPorAlunoPROVAO,6,0)</f>
        <v/>
      </c>
      <c r="G1297" s="18" t="str">
        <f>VLOOKUP($A1297,NotaIndividualPorAlunoPROVAO,7,0)</f>
        <v/>
      </c>
      <c r="H1297" s="17" t="str">
        <f>VLOOKUP($A1297,NotaIndividualPorAlunoPROVAO,8,0)</f>
        <v/>
      </c>
      <c r="I1297" s="18" t="str">
        <f>VLOOKUP($A1297,NotaIndividualPorAlunoPROVAO,9,0)</f>
        <v/>
      </c>
      <c r="J1297" s="17" t="str">
        <f>VLOOKUP($A1297,NotaIndividualPorAlunoPROVAO,10,0)</f>
        <v/>
      </c>
      <c r="K1297" s="18" t="str">
        <f>VLOOKUP($A1297,NotaIndividualPorAlunoPROVAO,11,0)</f>
        <v/>
      </c>
      <c r="L1297" s="15" t="str">
        <f>VLOOKUP($A1297,NotaIndividualPorAlunoPROVAO,12,0)</f>
        <v/>
      </c>
      <c r="M1297" s="25" t="str">
        <f>VLOOKUP($A1297,NotaIndividualPorAlunoPROVAO,13,0)</f>
        <v/>
      </c>
      <c r="N1297" s="10"/>
      <c r="O1297" s="10"/>
    </row>
    <row r="1298" spans="1:15" x14ac:dyDescent="0.3">
      <c r="N1298" s="10"/>
      <c r="O1298" s="10"/>
    </row>
    <row r="1299" spans="1:15" x14ac:dyDescent="0.3">
      <c r="A1299" s="72" t="str">
        <f>A1297</f>
        <v/>
      </c>
      <c r="B1299" s="73" t="s">
        <v>15</v>
      </c>
      <c r="C1299" s="57" t="s">
        <v>2</v>
      </c>
      <c r="D1299" s="57" t="s">
        <v>3</v>
      </c>
      <c r="E1299" s="57" t="s">
        <v>4</v>
      </c>
      <c r="F1299" s="57" t="s">
        <v>5</v>
      </c>
      <c r="G1299" s="57" t="s">
        <v>6</v>
      </c>
      <c r="H1299" s="57" t="s">
        <v>7</v>
      </c>
      <c r="I1299" s="57" t="s">
        <v>8</v>
      </c>
      <c r="J1299" s="57" t="s">
        <v>9</v>
      </c>
      <c r="K1299" s="57" t="s">
        <v>10</v>
      </c>
      <c r="L1299" s="57" t="s">
        <v>11</v>
      </c>
      <c r="M1299" s="57" t="s">
        <v>13</v>
      </c>
      <c r="N1299" s="10"/>
      <c r="O1299" s="10"/>
    </row>
    <row r="1300" spans="1:15" ht="15.6" x14ac:dyDescent="0.3">
      <c r="A1300" s="72"/>
      <c r="B1300" s="73"/>
      <c r="C1300" s="5" t="str">
        <f t="shared" ref="C1300:L1300" si="228">VLOOKUP($A1299,NotaIndividualPorAlunoMAT,RIGHT(C1299,2)+1,0)</f>
        <v/>
      </c>
      <c r="D1300" s="5" t="str">
        <f t="shared" si="228"/>
        <v/>
      </c>
      <c r="E1300" s="5" t="str">
        <f t="shared" si="228"/>
        <v/>
      </c>
      <c r="F1300" s="5" t="str">
        <f t="shared" si="228"/>
        <v/>
      </c>
      <c r="G1300" s="5" t="str">
        <f t="shared" si="228"/>
        <v/>
      </c>
      <c r="H1300" s="5" t="str">
        <f t="shared" si="228"/>
        <v/>
      </c>
      <c r="I1300" s="5" t="str">
        <f t="shared" si="228"/>
        <v/>
      </c>
      <c r="J1300" s="5" t="str">
        <f t="shared" si="228"/>
        <v/>
      </c>
      <c r="K1300" s="5" t="str">
        <f t="shared" si="228"/>
        <v/>
      </c>
      <c r="L1300" s="5" t="str">
        <f t="shared" si="228"/>
        <v/>
      </c>
      <c r="M1300" s="19" t="str">
        <f>VLOOKUP($A1299,NotaIndividualPorAlunoMAT,RIGHT(L1299,2)+2,0)</f>
        <v/>
      </c>
      <c r="N1300" s="10"/>
      <c r="O1300" s="10"/>
    </row>
    <row r="1301" spans="1:15" x14ac:dyDescent="0.3">
      <c r="A1301" s="72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0"/>
      <c r="O1301" s="10"/>
    </row>
    <row r="1302" spans="1:15" x14ac:dyDescent="0.3">
      <c r="A1302" s="72"/>
      <c r="B1302" s="73" t="s">
        <v>14</v>
      </c>
      <c r="C1302" s="57" t="s">
        <v>46</v>
      </c>
      <c r="D1302" s="57" t="s">
        <v>47</v>
      </c>
      <c r="E1302" s="57" t="s">
        <v>48</v>
      </c>
      <c r="F1302" s="57" t="s">
        <v>49</v>
      </c>
      <c r="G1302" s="57" t="s">
        <v>50</v>
      </c>
      <c r="H1302" s="57" t="s">
        <v>51</v>
      </c>
      <c r="I1302" s="57" t="s">
        <v>52</v>
      </c>
      <c r="J1302" s="57" t="s">
        <v>53</v>
      </c>
      <c r="K1302" s="57" t="s">
        <v>54</v>
      </c>
      <c r="L1302" s="57" t="s">
        <v>55</v>
      </c>
      <c r="M1302" s="57" t="s">
        <v>13</v>
      </c>
      <c r="N1302" s="10"/>
      <c r="O1302" s="10"/>
    </row>
    <row r="1303" spans="1:15" ht="15.6" x14ac:dyDescent="0.3">
      <c r="A1303" s="72"/>
      <c r="B1303" s="73"/>
      <c r="C1303" s="3" t="str">
        <f t="shared" ref="C1303:L1303" si="229">VLOOKUP($A1299,NotaIndividualPorAlunoQUI,RIGHT(C1302,2)-9,0)</f>
        <v/>
      </c>
      <c r="D1303" s="3" t="str">
        <f t="shared" si="229"/>
        <v/>
      </c>
      <c r="E1303" s="3" t="str">
        <f t="shared" si="229"/>
        <v/>
      </c>
      <c r="F1303" s="3" t="str">
        <f t="shared" si="229"/>
        <v/>
      </c>
      <c r="G1303" s="3" t="str">
        <f t="shared" si="229"/>
        <v/>
      </c>
      <c r="H1303" s="3" t="str">
        <f t="shared" si="229"/>
        <v/>
      </c>
      <c r="I1303" s="3" t="str">
        <f t="shared" si="229"/>
        <v/>
      </c>
      <c r="J1303" s="3" t="str">
        <f t="shared" si="229"/>
        <v/>
      </c>
      <c r="K1303" s="3" t="str">
        <f t="shared" si="229"/>
        <v/>
      </c>
      <c r="L1303" s="3" t="str">
        <f t="shared" si="229"/>
        <v/>
      </c>
      <c r="M1303" s="19" t="str">
        <f>VLOOKUP($A1299,NotaIndividualPorAlunoQUI,RIGHT(L1302,2)-8,0)</f>
        <v/>
      </c>
      <c r="N1303" s="10"/>
      <c r="O1303" s="10"/>
    </row>
    <row r="1304" spans="1:15" x14ac:dyDescent="0.3">
      <c r="A1304" s="72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0"/>
      <c r="O1304" s="10"/>
    </row>
    <row r="1305" spans="1:15" x14ac:dyDescent="0.3">
      <c r="A1305" s="72"/>
      <c r="B1305" s="73" t="s">
        <v>12</v>
      </c>
      <c r="C1305" s="57" t="s">
        <v>2</v>
      </c>
      <c r="D1305" s="57" t="s">
        <v>3</v>
      </c>
      <c r="E1305" s="57" t="s">
        <v>4</v>
      </c>
      <c r="F1305" s="57" t="s">
        <v>5</v>
      </c>
      <c r="G1305" s="57" t="s">
        <v>6</v>
      </c>
      <c r="H1305" s="57" t="s">
        <v>7</v>
      </c>
      <c r="I1305" s="57" t="s">
        <v>8</v>
      </c>
      <c r="J1305" s="57" t="s">
        <v>9</v>
      </c>
      <c r="K1305" s="57" t="s">
        <v>10</v>
      </c>
      <c r="L1305" s="57" t="s">
        <v>11</v>
      </c>
      <c r="M1305" s="57" t="s">
        <v>13</v>
      </c>
      <c r="N1305" s="10"/>
      <c r="O1305" s="10"/>
    </row>
    <row r="1306" spans="1:15" ht="15.6" x14ac:dyDescent="0.3">
      <c r="A1306" s="72"/>
      <c r="B1306" s="73"/>
      <c r="C1306" s="3" t="str">
        <f t="shared" ref="C1306:L1306" si="230">VLOOKUP($A1299,NotaIndividualPorAlunoFIS,RIGHT(C1305,2)+1,0)</f>
        <v/>
      </c>
      <c r="D1306" s="3" t="str">
        <f t="shared" si="230"/>
        <v/>
      </c>
      <c r="E1306" s="3" t="str">
        <f t="shared" si="230"/>
        <v/>
      </c>
      <c r="F1306" s="3" t="str">
        <f t="shared" si="230"/>
        <v/>
      </c>
      <c r="G1306" s="3" t="str">
        <f t="shared" si="230"/>
        <v/>
      </c>
      <c r="H1306" s="3" t="str">
        <f t="shared" si="230"/>
        <v/>
      </c>
      <c r="I1306" s="3" t="str">
        <f t="shared" si="230"/>
        <v/>
      </c>
      <c r="J1306" s="3" t="str">
        <f t="shared" si="230"/>
        <v/>
      </c>
      <c r="K1306" s="3" t="str">
        <f t="shared" si="230"/>
        <v/>
      </c>
      <c r="L1306" s="3" t="str">
        <f t="shared" si="230"/>
        <v/>
      </c>
      <c r="M1306" s="19" t="str">
        <f>VLOOKUP($A1299,NotaIndividualPorAlunoFIS,RIGHT(L1305,2)+2,0)</f>
        <v/>
      </c>
      <c r="N1306" s="10"/>
      <c r="O1306" s="10"/>
    </row>
    <row r="1307" spans="1:15" ht="15.6" x14ac:dyDescent="0.3">
      <c r="A1307" s="72"/>
      <c r="B1307" s="12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0"/>
      <c r="O1307" s="10"/>
    </row>
    <row r="1308" spans="1:15" ht="15.6" x14ac:dyDescent="0.3">
      <c r="A1308" s="72"/>
      <c r="B1308" s="73" t="s">
        <v>16</v>
      </c>
      <c r="C1308" s="23" t="s">
        <v>41</v>
      </c>
      <c r="D1308" s="58" t="s">
        <v>42</v>
      </c>
      <c r="E1308" s="23" t="s">
        <v>43</v>
      </c>
      <c r="F1308" s="58" t="s">
        <v>44</v>
      </c>
      <c r="G1308" s="23" t="s">
        <v>63</v>
      </c>
      <c r="H1308" s="58" t="s">
        <v>32</v>
      </c>
      <c r="I1308" s="14"/>
      <c r="J1308" s="14"/>
      <c r="K1308" s="14"/>
      <c r="L1308" s="14"/>
      <c r="M1308" s="15" t="s">
        <v>18</v>
      </c>
      <c r="N1308" s="10"/>
      <c r="O1308" s="10"/>
    </row>
    <row r="1309" spans="1:15" ht="15.6" x14ac:dyDescent="0.3">
      <c r="A1309" s="72"/>
      <c r="B1309" s="73"/>
      <c r="C1309" s="26" t="str">
        <f>VLOOKUP($A1299,NotaIndividualPorAlunoRED,2,0)</f>
        <v/>
      </c>
      <c r="D1309" s="26" t="str">
        <f>VLOOKUP($A1299,NotaIndividualPorAlunoRED,3,0)</f>
        <v/>
      </c>
      <c r="E1309" s="26" t="str">
        <f>VLOOKUP($A1299,NotaIndividualPorAlunoRED,4,0)</f>
        <v/>
      </c>
      <c r="F1309" s="26" t="str">
        <f>VLOOKUP($A1299,NotaIndividualPorAlunoRED,5,0)</f>
        <v/>
      </c>
      <c r="G1309" s="26" t="str">
        <f>VLOOKUP($A1299,NotaIndividualPorAlunoRED,6,0)</f>
        <v/>
      </c>
      <c r="H1309" s="21" t="str">
        <f>VLOOKUP($A1299,NotaIndividualPorAlunoRED,7,0)</f>
        <v/>
      </c>
      <c r="I1309" s="14"/>
      <c r="J1309" s="14"/>
      <c r="K1309" s="14"/>
      <c r="L1309" s="14"/>
      <c r="M1309" s="20" t="str">
        <f>VLOOKUP(A1299,NOTAS!C:I,7,0)</f>
        <v/>
      </c>
      <c r="N1309" s="10"/>
      <c r="O1309" s="10"/>
    </row>
    <row r="1310" spans="1:15" x14ac:dyDescent="0.3">
      <c r="A1310" s="72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0"/>
      <c r="O1310" s="10"/>
    </row>
    <row r="1311" spans="1:15" x14ac:dyDescent="0.3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</row>
    <row r="1312" spans="1:15" x14ac:dyDescent="0.3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</row>
    <row r="1313" spans="1:15" x14ac:dyDescent="0.3">
      <c r="A1313" s="58" t="s">
        <v>38</v>
      </c>
      <c r="B1313" s="57" t="s">
        <v>35</v>
      </c>
      <c r="C1313" s="57" t="s">
        <v>56</v>
      </c>
      <c r="D1313" s="57" t="s">
        <v>57</v>
      </c>
      <c r="E1313" s="57" t="s">
        <v>58</v>
      </c>
      <c r="F1313" s="57" t="s">
        <v>59</v>
      </c>
      <c r="G1313" s="57" t="s">
        <v>60</v>
      </c>
      <c r="H1313" s="57" t="s">
        <v>36</v>
      </c>
      <c r="I1313" s="57" t="s">
        <v>61</v>
      </c>
      <c r="J1313" s="57" t="s">
        <v>34</v>
      </c>
      <c r="K1313" s="57" t="s">
        <v>62</v>
      </c>
      <c r="L1313" s="16" t="s">
        <v>33</v>
      </c>
      <c r="M1313" s="57" t="s">
        <v>37</v>
      </c>
      <c r="N1313" s="10"/>
      <c r="O1313" s="10"/>
    </row>
    <row r="1314" spans="1:15" ht="15.6" x14ac:dyDescent="0.3">
      <c r="A1314" s="58" t="str" cm="1">
        <f t="array" ref="A1314">IF(ISERROR(INDEX(ListaDeAlunos,(((ROW()-2)/17)+1),(COLUMN()+1))),"",INDEX(ListaDeAlunos,(((ROW()-2)/17)+1),(COLUMN()+1)))</f>
        <v/>
      </c>
      <c r="B1314" s="17" t="str">
        <f>VLOOKUP($A1314,NotaIndividualPorAlunoPROVAO,2,0)</f>
        <v/>
      </c>
      <c r="C1314" s="18" t="str">
        <f>VLOOKUP($A1314,NotaIndividualPorAlunoPROVAO,3,0)</f>
        <v/>
      </c>
      <c r="D1314" s="17" t="str">
        <f>VLOOKUP($A1314,NotaIndividualPorAlunoPROVAO,4,0)</f>
        <v/>
      </c>
      <c r="E1314" s="18" t="str">
        <f>VLOOKUP($A1314,NotaIndividualPorAlunoPROVAO,5,0)</f>
        <v/>
      </c>
      <c r="F1314" s="17" t="str">
        <f>VLOOKUP($A1314,NotaIndividualPorAlunoPROVAO,6,0)</f>
        <v/>
      </c>
      <c r="G1314" s="18" t="str">
        <f>VLOOKUP($A1314,NotaIndividualPorAlunoPROVAO,7,0)</f>
        <v/>
      </c>
      <c r="H1314" s="17" t="str">
        <f>VLOOKUP($A1314,NotaIndividualPorAlunoPROVAO,8,0)</f>
        <v/>
      </c>
      <c r="I1314" s="18" t="str">
        <f>VLOOKUP($A1314,NotaIndividualPorAlunoPROVAO,9,0)</f>
        <v/>
      </c>
      <c r="J1314" s="17" t="str">
        <f>VLOOKUP($A1314,NotaIndividualPorAlunoPROVAO,10,0)</f>
        <v/>
      </c>
      <c r="K1314" s="18" t="str">
        <f>VLOOKUP($A1314,NotaIndividualPorAlunoPROVAO,11,0)</f>
        <v/>
      </c>
      <c r="L1314" s="15" t="str">
        <f>VLOOKUP($A1314,NotaIndividualPorAlunoPROVAO,12,0)</f>
        <v/>
      </c>
      <c r="M1314" s="25" t="str">
        <f>VLOOKUP($A1314,NotaIndividualPorAlunoPROVAO,13,0)</f>
        <v/>
      </c>
      <c r="N1314" s="10"/>
      <c r="O1314" s="10"/>
    </row>
    <row r="1315" spans="1:15" x14ac:dyDescent="0.3">
      <c r="N1315" s="10"/>
      <c r="O1315" s="10"/>
    </row>
    <row r="1316" spans="1:15" x14ac:dyDescent="0.3">
      <c r="A1316" s="72" t="str">
        <f>A1314</f>
        <v/>
      </c>
      <c r="B1316" s="73" t="s">
        <v>15</v>
      </c>
      <c r="C1316" s="57" t="s">
        <v>2</v>
      </c>
      <c r="D1316" s="57" t="s">
        <v>3</v>
      </c>
      <c r="E1316" s="57" t="s">
        <v>4</v>
      </c>
      <c r="F1316" s="57" t="s">
        <v>5</v>
      </c>
      <c r="G1316" s="57" t="s">
        <v>6</v>
      </c>
      <c r="H1316" s="57" t="s">
        <v>7</v>
      </c>
      <c r="I1316" s="57" t="s">
        <v>8</v>
      </c>
      <c r="J1316" s="57" t="s">
        <v>9</v>
      </c>
      <c r="K1316" s="57" t="s">
        <v>10</v>
      </c>
      <c r="L1316" s="57" t="s">
        <v>11</v>
      </c>
      <c r="M1316" s="57" t="s">
        <v>13</v>
      </c>
      <c r="N1316" s="10"/>
      <c r="O1316" s="10"/>
    </row>
    <row r="1317" spans="1:15" ht="15.6" x14ac:dyDescent="0.3">
      <c r="A1317" s="72"/>
      <c r="B1317" s="73"/>
      <c r="C1317" s="5" t="str">
        <f t="shared" ref="C1317:L1317" si="231">VLOOKUP($A1316,NotaIndividualPorAlunoMAT,RIGHT(C1316,2)+1,0)</f>
        <v/>
      </c>
      <c r="D1317" s="5" t="str">
        <f t="shared" si="231"/>
        <v/>
      </c>
      <c r="E1317" s="5" t="str">
        <f t="shared" si="231"/>
        <v/>
      </c>
      <c r="F1317" s="5" t="str">
        <f t="shared" si="231"/>
        <v/>
      </c>
      <c r="G1317" s="5" t="str">
        <f t="shared" si="231"/>
        <v/>
      </c>
      <c r="H1317" s="5" t="str">
        <f t="shared" si="231"/>
        <v/>
      </c>
      <c r="I1317" s="5" t="str">
        <f t="shared" si="231"/>
        <v/>
      </c>
      <c r="J1317" s="5" t="str">
        <f t="shared" si="231"/>
        <v/>
      </c>
      <c r="K1317" s="5" t="str">
        <f t="shared" si="231"/>
        <v/>
      </c>
      <c r="L1317" s="5" t="str">
        <f t="shared" si="231"/>
        <v/>
      </c>
      <c r="M1317" s="19" t="str">
        <f>VLOOKUP($A1316,NotaIndividualPorAlunoMAT,RIGHT(L1316,2)+2,0)</f>
        <v/>
      </c>
      <c r="N1317" s="10"/>
      <c r="O1317" s="10"/>
    </row>
    <row r="1318" spans="1:15" x14ac:dyDescent="0.3">
      <c r="A1318" s="72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0"/>
      <c r="O1318" s="10"/>
    </row>
    <row r="1319" spans="1:15" x14ac:dyDescent="0.3">
      <c r="A1319" s="72"/>
      <c r="B1319" s="73" t="s">
        <v>14</v>
      </c>
      <c r="C1319" s="57" t="s">
        <v>46</v>
      </c>
      <c r="D1319" s="57" t="s">
        <v>47</v>
      </c>
      <c r="E1319" s="57" t="s">
        <v>48</v>
      </c>
      <c r="F1319" s="57" t="s">
        <v>49</v>
      </c>
      <c r="G1319" s="57" t="s">
        <v>50</v>
      </c>
      <c r="H1319" s="57" t="s">
        <v>51</v>
      </c>
      <c r="I1319" s="57" t="s">
        <v>52</v>
      </c>
      <c r="J1319" s="57" t="s">
        <v>53</v>
      </c>
      <c r="K1319" s="57" t="s">
        <v>54</v>
      </c>
      <c r="L1319" s="57" t="s">
        <v>55</v>
      </c>
      <c r="M1319" s="57" t="s">
        <v>13</v>
      </c>
      <c r="N1319" s="10"/>
      <c r="O1319" s="10"/>
    </row>
    <row r="1320" spans="1:15" ht="15.6" x14ac:dyDescent="0.3">
      <c r="A1320" s="72"/>
      <c r="B1320" s="73"/>
      <c r="C1320" s="3" t="str">
        <f t="shared" ref="C1320:L1320" si="232">VLOOKUP($A1316,NotaIndividualPorAlunoQUI,RIGHT(C1319,2)-9,0)</f>
        <v/>
      </c>
      <c r="D1320" s="3" t="str">
        <f t="shared" si="232"/>
        <v/>
      </c>
      <c r="E1320" s="3" t="str">
        <f t="shared" si="232"/>
        <v/>
      </c>
      <c r="F1320" s="3" t="str">
        <f t="shared" si="232"/>
        <v/>
      </c>
      <c r="G1320" s="3" t="str">
        <f t="shared" si="232"/>
        <v/>
      </c>
      <c r="H1320" s="3" t="str">
        <f t="shared" si="232"/>
        <v/>
      </c>
      <c r="I1320" s="3" t="str">
        <f t="shared" si="232"/>
        <v/>
      </c>
      <c r="J1320" s="3" t="str">
        <f t="shared" si="232"/>
        <v/>
      </c>
      <c r="K1320" s="3" t="str">
        <f t="shared" si="232"/>
        <v/>
      </c>
      <c r="L1320" s="3" t="str">
        <f t="shared" si="232"/>
        <v/>
      </c>
      <c r="M1320" s="19" t="str">
        <f>VLOOKUP($A1316,NotaIndividualPorAlunoQUI,RIGHT(L1319,2)-8,0)</f>
        <v/>
      </c>
      <c r="N1320" s="10"/>
      <c r="O1320" s="10"/>
    </row>
    <row r="1321" spans="1:15" x14ac:dyDescent="0.3">
      <c r="A1321" s="72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0"/>
      <c r="O1321" s="10"/>
    </row>
    <row r="1322" spans="1:15" x14ac:dyDescent="0.3">
      <c r="A1322" s="72"/>
      <c r="B1322" s="73" t="s">
        <v>12</v>
      </c>
      <c r="C1322" s="57" t="s">
        <v>2</v>
      </c>
      <c r="D1322" s="57" t="s">
        <v>3</v>
      </c>
      <c r="E1322" s="57" t="s">
        <v>4</v>
      </c>
      <c r="F1322" s="57" t="s">
        <v>5</v>
      </c>
      <c r="G1322" s="57" t="s">
        <v>6</v>
      </c>
      <c r="H1322" s="57" t="s">
        <v>7</v>
      </c>
      <c r="I1322" s="57" t="s">
        <v>8</v>
      </c>
      <c r="J1322" s="57" t="s">
        <v>9</v>
      </c>
      <c r="K1322" s="57" t="s">
        <v>10</v>
      </c>
      <c r="L1322" s="57" t="s">
        <v>11</v>
      </c>
      <c r="M1322" s="57" t="s">
        <v>13</v>
      </c>
      <c r="N1322" s="10"/>
      <c r="O1322" s="10"/>
    </row>
    <row r="1323" spans="1:15" ht="15.6" x14ac:dyDescent="0.3">
      <c r="A1323" s="72"/>
      <c r="B1323" s="73"/>
      <c r="C1323" s="3" t="str">
        <f t="shared" ref="C1323:L1323" si="233">VLOOKUP($A1316,NotaIndividualPorAlunoFIS,RIGHT(C1322,2)+1,0)</f>
        <v/>
      </c>
      <c r="D1323" s="3" t="str">
        <f t="shared" si="233"/>
        <v/>
      </c>
      <c r="E1323" s="3" t="str">
        <f t="shared" si="233"/>
        <v/>
      </c>
      <c r="F1323" s="3" t="str">
        <f t="shared" si="233"/>
        <v/>
      </c>
      <c r="G1323" s="3" t="str">
        <f t="shared" si="233"/>
        <v/>
      </c>
      <c r="H1323" s="3" t="str">
        <f t="shared" si="233"/>
        <v/>
      </c>
      <c r="I1323" s="3" t="str">
        <f t="shared" si="233"/>
        <v/>
      </c>
      <c r="J1323" s="3" t="str">
        <f t="shared" si="233"/>
        <v/>
      </c>
      <c r="K1323" s="3" t="str">
        <f t="shared" si="233"/>
        <v/>
      </c>
      <c r="L1323" s="3" t="str">
        <f t="shared" si="233"/>
        <v/>
      </c>
      <c r="M1323" s="19" t="str">
        <f>VLOOKUP($A1316,NotaIndividualPorAlunoFIS,RIGHT(L1322,2)+2,0)</f>
        <v/>
      </c>
      <c r="N1323" s="10"/>
      <c r="O1323" s="10"/>
    </row>
    <row r="1324" spans="1:15" ht="15.6" x14ac:dyDescent="0.3">
      <c r="A1324" s="72"/>
      <c r="B1324" s="12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0"/>
      <c r="O1324" s="10"/>
    </row>
    <row r="1325" spans="1:15" ht="15.6" x14ac:dyDescent="0.3">
      <c r="A1325" s="72"/>
      <c r="B1325" s="73" t="s">
        <v>16</v>
      </c>
      <c r="C1325" s="23" t="s">
        <v>41</v>
      </c>
      <c r="D1325" s="58" t="s">
        <v>42</v>
      </c>
      <c r="E1325" s="23" t="s">
        <v>43</v>
      </c>
      <c r="F1325" s="58" t="s">
        <v>44</v>
      </c>
      <c r="G1325" s="23" t="s">
        <v>63</v>
      </c>
      <c r="H1325" s="58" t="s">
        <v>32</v>
      </c>
      <c r="I1325" s="14"/>
      <c r="J1325" s="14"/>
      <c r="K1325" s="14"/>
      <c r="L1325" s="14"/>
      <c r="M1325" s="15" t="s">
        <v>18</v>
      </c>
      <c r="N1325" s="10"/>
      <c r="O1325" s="10"/>
    </row>
    <row r="1326" spans="1:15" ht="15.6" x14ac:dyDescent="0.3">
      <c r="A1326" s="72"/>
      <c r="B1326" s="73"/>
      <c r="C1326" s="26" t="str">
        <f>VLOOKUP($A1316,NotaIndividualPorAlunoRED,2,0)</f>
        <v/>
      </c>
      <c r="D1326" s="26" t="str">
        <f>VLOOKUP($A1316,NotaIndividualPorAlunoRED,3,0)</f>
        <v/>
      </c>
      <c r="E1326" s="26" t="str">
        <f>VLOOKUP($A1316,NotaIndividualPorAlunoRED,4,0)</f>
        <v/>
      </c>
      <c r="F1326" s="26" t="str">
        <f>VLOOKUP($A1316,NotaIndividualPorAlunoRED,5,0)</f>
        <v/>
      </c>
      <c r="G1326" s="26" t="str">
        <f>VLOOKUP($A1316,NotaIndividualPorAlunoRED,6,0)</f>
        <v/>
      </c>
      <c r="H1326" s="21" t="str">
        <f>VLOOKUP($A1316,NotaIndividualPorAlunoRED,7,0)</f>
        <v/>
      </c>
      <c r="I1326" s="14"/>
      <c r="J1326" s="14"/>
      <c r="K1326" s="14"/>
      <c r="L1326" s="14"/>
      <c r="M1326" s="20" t="str">
        <f>VLOOKUP(A1316,NOTAS!C:I,7,0)</f>
        <v/>
      </c>
      <c r="N1326" s="10"/>
      <c r="O1326" s="10"/>
    </row>
    <row r="1327" spans="1:15" x14ac:dyDescent="0.3">
      <c r="A1327" s="72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0"/>
      <c r="O1327" s="10"/>
    </row>
    <row r="1328" spans="1:15" x14ac:dyDescent="0.3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</row>
    <row r="1329" spans="1:15" x14ac:dyDescent="0.3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</row>
    <row r="1330" spans="1:15" x14ac:dyDescent="0.3">
      <c r="A1330" s="58" t="s">
        <v>38</v>
      </c>
      <c r="B1330" s="57" t="s">
        <v>35</v>
      </c>
      <c r="C1330" s="57" t="s">
        <v>56</v>
      </c>
      <c r="D1330" s="57" t="s">
        <v>57</v>
      </c>
      <c r="E1330" s="57" t="s">
        <v>58</v>
      </c>
      <c r="F1330" s="57" t="s">
        <v>59</v>
      </c>
      <c r="G1330" s="57" t="s">
        <v>60</v>
      </c>
      <c r="H1330" s="57" t="s">
        <v>36</v>
      </c>
      <c r="I1330" s="57" t="s">
        <v>61</v>
      </c>
      <c r="J1330" s="57" t="s">
        <v>34</v>
      </c>
      <c r="K1330" s="57" t="s">
        <v>62</v>
      </c>
      <c r="L1330" s="16" t="s">
        <v>33</v>
      </c>
      <c r="M1330" s="57" t="s">
        <v>37</v>
      </c>
      <c r="N1330" s="10"/>
      <c r="O1330" s="10"/>
    </row>
    <row r="1331" spans="1:15" ht="15.6" x14ac:dyDescent="0.3">
      <c r="A1331" s="58" t="str" cm="1">
        <f t="array" ref="A1331">IF(ISERROR(INDEX(ListaDeAlunos,(((ROW()-2)/17)+1),(COLUMN()+1))),"",INDEX(ListaDeAlunos,(((ROW()-2)/17)+1),(COLUMN()+1)))</f>
        <v/>
      </c>
      <c r="B1331" s="17" t="str">
        <f>VLOOKUP($A1331,NotaIndividualPorAlunoPROVAO,2,0)</f>
        <v/>
      </c>
      <c r="C1331" s="18" t="str">
        <f>VLOOKUP($A1331,NotaIndividualPorAlunoPROVAO,3,0)</f>
        <v/>
      </c>
      <c r="D1331" s="17" t="str">
        <f>VLOOKUP($A1331,NotaIndividualPorAlunoPROVAO,4,0)</f>
        <v/>
      </c>
      <c r="E1331" s="18" t="str">
        <f>VLOOKUP($A1331,NotaIndividualPorAlunoPROVAO,5,0)</f>
        <v/>
      </c>
      <c r="F1331" s="17" t="str">
        <f>VLOOKUP($A1331,NotaIndividualPorAlunoPROVAO,6,0)</f>
        <v/>
      </c>
      <c r="G1331" s="18" t="str">
        <f>VLOOKUP($A1331,NotaIndividualPorAlunoPROVAO,7,0)</f>
        <v/>
      </c>
      <c r="H1331" s="17" t="str">
        <f>VLOOKUP($A1331,NotaIndividualPorAlunoPROVAO,8,0)</f>
        <v/>
      </c>
      <c r="I1331" s="18" t="str">
        <f>VLOOKUP($A1331,NotaIndividualPorAlunoPROVAO,9,0)</f>
        <v/>
      </c>
      <c r="J1331" s="17" t="str">
        <f>VLOOKUP($A1331,NotaIndividualPorAlunoPROVAO,10,0)</f>
        <v/>
      </c>
      <c r="K1331" s="18" t="str">
        <f>VLOOKUP($A1331,NotaIndividualPorAlunoPROVAO,11,0)</f>
        <v/>
      </c>
      <c r="L1331" s="15" t="str">
        <f>VLOOKUP($A1331,NotaIndividualPorAlunoPROVAO,12,0)</f>
        <v/>
      </c>
      <c r="M1331" s="25" t="str">
        <f>VLOOKUP($A1331,NotaIndividualPorAlunoPROVAO,13,0)</f>
        <v/>
      </c>
      <c r="N1331" s="10"/>
      <c r="O1331" s="10"/>
    </row>
    <row r="1332" spans="1:15" x14ac:dyDescent="0.3">
      <c r="N1332" s="10"/>
      <c r="O1332" s="10"/>
    </row>
    <row r="1333" spans="1:15" x14ac:dyDescent="0.3">
      <c r="A1333" s="72" t="str">
        <f>A1331</f>
        <v/>
      </c>
      <c r="B1333" s="73" t="s">
        <v>15</v>
      </c>
      <c r="C1333" s="57" t="s">
        <v>2</v>
      </c>
      <c r="D1333" s="57" t="s">
        <v>3</v>
      </c>
      <c r="E1333" s="57" t="s">
        <v>4</v>
      </c>
      <c r="F1333" s="57" t="s">
        <v>5</v>
      </c>
      <c r="G1333" s="57" t="s">
        <v>6</v>
      </c>
      <c r="H1333" s="57" t="s">
        <v>7</v>
      </c>
      <c r="I1333" s="57" t="s">
        <v>8</v>
      </c>
      <c r="J1333" s="57" t="s">
        <v>9</v>
      </c>
      <c r="K1333" s="57" t="s">
        <v>10</v>
      </c>
      <c r="L1333" s="57" t="s">
        <v>11</v>
      </c>
      <c r="M1333" s="57" t="s">
        <v>13</v>
      </c>
      <c r="N1333" s="10"/>
      <c r="O1333" s="10"/>
    </row>
    <row r="1334" spans="1:15" ht="15.6" x14ac:dyDescent="0.3">
      <c r="A1334" s="72"/>
      <c r="B1334" s="73"/>
      <c r="C1334" s="5" t="str">
        <f t="shared" ref="C1334:L1334" si="234">VLOOKUP($A1333,NotaIndividualPorAlunoMAT,RIGHT(C1333,2)+1,0)</f>
        <v/>
      </c>
      <c r="D1334" s="5" t="str">
        <f t="shared" si="234"/>
        <v/>
      </c>
      <c r="E1334" s="5" t="str">
        <f t="shared" si="234"/>
        <v/>
      </c>
      <c r="F1334" s="5" t="str">
        <f t="shared" si="234"/>
        <v/>
      </c>
      <c r="G1334" s="5" t="str">
        <f t="shared" si="234"/>
        <v/>
      </c>
      <c r="H1334" s="5" t="str">
        <f t="shared" si="234"/>
        <v/>
      </c>
      <c r="I1334" s="5" t="str">
        <f t="shared" si="234"/>
        <v/>
      </c>
      <c r="J1334" s="5" t="str">
        <f t="shared" si="234"/>
        <v/>
      </c>
      <c r="K1334" s="5" t="str">
        <f t="shared" si="234"/>
        <v/>
      </c>
      <c r="L1334" s="5" t="str">
        <f t="shared" si="234"/>
        <v/>
      </c>
      <c r="M1334" s="19" t="str">
        <f>VLOOKUP($A1333,NotaIndividualPorAlunoMAT,RIGHT(L1333,2)+2,0)</f>
        <v/>
      </c>
      <c r="N1334" s="10"/>
      <c r="O1334" s="10"/>
    </row>
    <row r="1335" spans="1:15" x14ac:dyDescent="0.3">
      <c r="A1335" s="72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0"/>
      <c r="O1335" s="10"/>
    </row>
    <row r="1336" spans="1:15" x14ac:dyDescent="0.3">
      <c r="A1336" s="72"/>
      <c r="B1336" s="73" t="s">
        <v>14</v>
      </c>
      <c r="C1336" s="57" t="s">
        <v>46</v>
      </c>
      <c r="D1336" s="57" t="s">
        <v>47</v>
      </c>
      <c r="E1336" s="57" t="s">
        <v>48</v>
      </c>
      <c r="F1336" s="57" t="s">
        <v>49</v>
      </c>
      <c r="G1336" s="57" t="s">
        <v>50</v>
      </c>
      <c r="H1336" s="57" t="s">
        <v>51</v>
      </c>
      <c r="I1336" s="57" t="s">
        <v>52</v>
      </c>
      <c r="J1336" s="57" t="s">
        <v>53</v>
      </c>
      <c r="K1336" s="57" t="s">
        <v>54</v>
      </c>
      <c r="L1336" s="57" t="s">
        <v>55</v>
      </c>
      <c r="M1336" s="57" t="s">
        <v>13</v>
      </c>
      <c r="N1336" s="10"/>
      <c r="O1336" s="10"/>
    </row>
    <row r="1337" spans="1:15" ht="15.6" x14ac:dyDescent="0.3">
      <c r="A1337" s="72"/>
      <c r="B1337" s="73"/>
      <c r="C1337" s="3" t="str">
        <f t="shared" ref="C1337:L1337" si="235">VLOOKUP($A1333,NotaIndividualPorAlunoQUI,RIGHT(C1336,2)-9,0)</f>
        <v/>
      </c>
      <c r="D1337" s="3" t="str">
        <f t="shared" si="235"/>
        <v/>
      </c>
      <c r="E1337" s="3" t="str">
        <f t="shared" si="235"/>
        <v/>
      </c>
      <c r="F1337" s="3" t="str">
        <f t="shared" si="235"/>
        <v/>
      </c>
      <c r="G1337" s="3" t="str">
        <f t="shared" si="235"/>
        <v/>
      </c>
      <c r="H1337" s="3" t="str">
        <f t="shared" si="235"/>
        <v/>
      </c>
      <c r="I1337" s="3" t="str">
        <f t="shared" si="235"/>
        <v/>
      </c>
      <c r="J1337" s="3" t="str">
        <f t="shared" si="235"/>
        <v/>
      </c>
      <c r="K1337" s="3" t="str">
        <f t="shared" si="235"/>
        <v/>
      </c>
      <c r="L1337" s="3" t="str">
        <f t="shared" si="235"/>
        <v/>
      </c>
      <c r="M1337" s="19" t="str">
        <f>VLOOKUP($A1333,NotaIndividualPorAlunoQUI,RIGHT(L1336,2)-8,0)</f>
        <v/>
      </c>
      <c r="N1337" s="10"/>
      <c r="O1337" s="10"/>
    </row>
    <row r="1338" spans="1:15" x14ac:dyDescent="0.3">
      <c r="A1338" s="72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0"/>
      <c r="O1338" s="10"/>
    </row>
    <row r="1339" spans="1:15" x14ac:dyDescent="0.3">
      <c r="A1339" s="72"/>
      <c r="B1339" s="73" t="s">
        <v>12</v>
      </c>
      <c r="C1339" s="57" t="s">
        <v>2</v>
      </c>
      <c r="D1339" s="57" t="s">
        <v>3</v>
      </c>
      <c r="E1339" s="57" t="s">
        <v>4</v>
      </c>
      <c r="F1339" s="57" t="s">
        <v>5</v>
      </c>
      <c r="G1339" s="57" t="s">
        <v>6</v>
      </c>
      <c r="H1339" s="57" t="s">
        <v>7</v>
      </c>
      <c r="I1339" s="57" t="s">
        <v>8</v>
      </c>
      <c r="J1339" s="57" t="s">
        <v>9</v>
      </c>
      <c r="K1339" s="57" t="s">
        <v>10</v>
      </c>
      <c r="L1339" s="57" t="s">
        <v>11</v>
      </c>
      <c r="M1339" s="57" t="s">
        <v>13</v>
      </c>
      <c r="N1339" s="10"/>
      <c r="O1339" s="10"/>
    </row>
    <row r="1340" spans="1:15" ht="15.6" x14ac:dyDescent="0.3">
      <c r="A1340" s="72"/>
      <c r="B1340" s="73"/>
      <c r="C1340" s="3" t="str">
        <f t="shared" ref="C1340:L1340" si="236">VLOOKUP($A1333,NotaIndividualPorAlunoFIS,RIGHT(C1339,2)+1,0)</f>
        <v/>
      </c>
      <c r="D1340" s="3" t="str">
        <f t="shared" si="236"/>
        <v/>
      </c>
      <c r="E1340" s="3" t="str">
        <f t="shared" si="236"/>
        <v/>
      </c>
      <c r="F1340" s="3" t="str">
        <f t="shared" si="236"/>
        <v/>
      </c>
      <c r="G1340" s="3" t="str">
        <f t="shared" si="236"/>
        <v/>
      </c>
      <c r="H1340" s="3" t="str">
        <f t="shared" si="236"/>
        <v/>
      </c>
      <c r="I1340" s="3" t="str">
        <f t="shared" si="236"/>
        <v/>
      </c>
      <c r="J1340" s="3" t="str">
        <f t="shared" si="236"/>
        <v/>
      </c>
      <c r="K1340" s="3" t="str">
        <f t="shared" si="236"/>
        <v/>
      </c>
      <c r="L1340" s="3" t="str">
        <f t="shared" si="236"/>
        <v/>
      </c>
      <c r="M1340" s="19" t="str">
        <f>VLOOKUP($A1333,NotaIndividualPorAlunoFIS,RIGHT(L1339,2)+2,0)</f>
        <v/>
      </c>
      <c r="N1340" s="10"/>
      <c r="O1340" s="10"/>
    </row>
    <row r="1341" spans="1:15" ht="15.6" x14ac:dyDescent="0.3">
      <c r="A1341" s="72"/>
      <c r="B1341" s="12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0"/>
      <c r="O1341" s="10"/>
    </row>
    <row r="1342" spans="1:15" ht="15.6" x14ac:dyDescent="0.3">
      <c r="A1342" s="72"/>
      <c r="B1342" s="73" t="s">
        <v>16</v>
      </c>
      <c r="C1342" s="23" t="s">
        <v>41</v>
      </c>
      <c r="D1342" s="58" t="s">
        <v>42</v>
      </c>
      <c r="E1342" s="23" t="s">
        <v>43</v>
      </c>
      <c r="F1342" s="58" t="s">
        <v>44</v>
      </c>
      <c r="G1342" s="23" t="s">
        <v>63</v>
      </c>
      <c r="H1342" s="58" t="s">
        <v>32</v>
      </c>
      <c r="I1342" s="14"/>
      <c r="J1342" s="14"/>
      <c r="K1342" s="14"/>
      <c r="L1342" s="14"/>
      <c r="M1342" s="15" t="s">
        <v>18</v>
      </c>
      <c r="N1342" s="10"/>
      <c r="O1342" s="10"/>
    </row>
    <row r="1343" spans="1:15" ht="15.6" x14ac:dyDescent="0.3">
      <c r="A1343" s="72"/>
      <c r="B1343" s="73"/>
      <c r="C1343" s="26" t="str">
        <f>VLOOKUP($A1333,NotaIndividualPorAlunoRED,2,0)</f>
        <v/>
      </c>
      <c r="D1343" s="26" t="str">
        <f>VLOOKUP($A1333,NotaIndividualPorAlunoRED,3,0)</f>
        <v/>
      </c>
      <c r="E1343" s="26" t="str">
        <f>VLOOKUP($A1333,NotaIndividualPorAlunoRED,4,0)</f>
        <v/>
      </c>
      <c r="F1343" s="26" t="str">
        <f>VLOOKUP($A1333,NotaIndividualPorAlunoRED,5,0)</f>
        <v/>
      </c>
      <c r="G1343" s="26" t="str">
        <f>VLOOKUP($A1333,NotaIndividualPorAlunoRED,6,0)</f>
        <v/>
      </c>
      <c r="H1343" s="21" t="str">
        <f>VLOOKUP($A1333,NotaIndividualPorAlunoRED,7,0)</f>
        <v/>
      </c>
      <c r="I1343" s="14"/>
      <c r="J1343" s="14"/>
      <c r="K1343" s="14"/>
      <c r="L1343" s="14"/>
      <c r="M1343" s="20" t="str">
        <f>VLOOKUP(A1333,NOTAS!C:I,7,0)</f>
        <v/>
      </c>
      <c r="N1343" s="10"/>
      <c r="O1343" s="10"/>
    </row>
    <row r="1344" spans="1:15" x14ac:dyDescent="0.3">
      <c r="A1344" s="72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0"/>
      <c r="O1344" s="10"/>
    </row>
    <row r="1345" spans="1:15" x14ac:dyDescent="0.3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</row>
    <row r="1346" spans="1:15" x14ac:dyDescent="0.3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</row>
    <row r="1347" spans="1:15" x14ac:dyDescent="0.3">
      <c r="A1347" s="58" t="s">
        <v>38</v>
      </c>
      <c r="B1347" s="57" t="s">
        <v>35</v>
      </c>
      <c r="C1347" s="57" t="s">
        <v>56</v>
      </c>
      <c r="D1347" s="57" t="s">
        <v>57</v>
      </c>
      <c r="E1347" s="57" t="s">
        <v>58</v>
      </c>
      <c r="F1347" s="57" t="s">
        <v>59</v>
      </c>
      <c r="G1347" s="57" t="s">
        <v>60</v>
      </c>
      <c r="H1347" s="57" t="s">
        <v>36</v>
      </c>
      <c r="I1347" s="57" t="s">
        <v>61</v>
      </c>
      <c r="J1347" s="57" t="s">
        <v>34</v>
      </c>
      <c r="K1347" s="57" t="s">
        <v>62</v>
      </c>
      <c r="L1347" s="16" t="s">
        <v>33</v>
      </c>
      <c r="M1347" s="57" t="s">
        <v>37</v>
      </c>
      <c r="N1347" s="10"/>
      <c r="O1347" s="10"/>
    </row>
    <row r="1348" spans="1:15" ht="15.6" x14ac:dyDescent="0.3">
      <c r="A1348" s="58" t="str" cm="1">
        <f t="array" ref="A1348">IF(ISERROR(INDEX(ListaDeAlunos,(((ROW()-2)/17)+1),(COLUMN()+1))),"",INDEX(ListaDeAlunos,(((ROW()-2)/17)+1),(COLUMN()+1)))</f>
        <v/>
      </c>
      <c r="B1348" s="17" t="str">
        <f>VLOOKUP($A1348,NotaIndividualPorAlunoPROVAO,2,0)</f>
        <v/>
      </c>
      <c r="C1348" s="18" t="str">
        <f>VLOOKUP($A1348,NotaIndividualPorAlunoPROVAO,3,0)</f>
        <v/>
      </c>
      <c r="D1348" s="17" t="str">
        <f>VLOOKUP($A1348,NotaIndividualPorAlunoPROVAO,4,0)</f>
        <v/>
      </c>
      <c r="E1348" s="18" t="str">
        <f>VLOOKUP($A1348,NotaIndividualPorAlunoPROVAO,5,0)</f>
        <v/>
      </c>
      <c r="F1348" s="17" t="str">
        <f>VLOOKUP($A1348,NotaIndividualPorAlunoPROVAO,6,0)</f>
        <v/>
      </c>
      <c r="G1348" s="18" t="str">
        <f>VLOOKUP($A1348,NotaIndividualPorAlunoPROVAO,7,0)</f>
        <v/>
      </c>
      <c r="H1348" s="17" t="str">
        <f>VLOOKUP($A1348,NotaIndividualPorAlunoPROVAO,8,0)</f>
        <v/>
      </c>
      <c r="I1348" s="18" t="str">
        <f>VLOOKUP($A1348,NotaIndividualPorAlunoPROVAO,9,0)</f>
        <v/>
      </c>
      <c r="J1348" s="17" t="str">
        <f>VLOOKUP($A1348,NotaIndividualPorAlunoPROVAO,10,0)</f>
        <v/>
      </c>
      <c r="K1348" s="18" t="str">
        <f>VLOOKUP($A1348,NotaIndividualPorAlunoPROVAO,11,0)</f>
        <v/>
      </c>
      <c r="L1348" s="15" t="str">
        <f>VLOOKUP($A1348,NotaIndividualPorAlunoPROVAO,12,0)</f>
        <v/>
      </c>
      <c r="M1348" s="25" t="str">
        <f>VLOOKUP($A1348,NotaIndividualPorAlunoPROVAO,13,0)</f>
        <v/>
      </c>
      <c r="N1348" s="10"/>
      <c r="O1348" s="10"/>
    </row>
    <row r="1349" spans="1:15" x14ac:dyDescent="0.3">
      <c r="N1349" s="10"/>
      <c r="O1349" s="10"/>
    </row>
    <row r="1350" spans="1:15" x14ac:dyDescent="0.3">
      <c r="A1350" s="72" t="str">
        <f>A1348</f>
        <v/>
      </c>
      <c r="B1350" s="73" t="s">
        <v>15</v>
      </c>
      <c r="C1350" s="57" t="s">
        <v>2</v>
      </c>
      <c r="D1350" s="57" t="s">
        <v>3</v>
      </c>
      <c r="E1350" s="57" t="s">
        <v>4</v>
      </c>
      <c r="F1350" s="57" t="s">
        <v>5</v>
      </c>
      <c r="G1350" s="57" t="s">
        <v>6</v>
      </c>
      <c r="H1350" s="57" t="s">
        <v>7</v>
      </c>
      <c r="I1350" s="57" t="s">
        <v>8</v>
      </c>
      <c r="J1350" s="57" t="s">
        <v>9</v>
      </c>
      <c r="K1350" s="57" t="s">
        <v>10</v>
      </c>
      <c r="L1350" s="57" t="s">
        <v>11</v>
      </c>
      <c r="M1350" s="57" t="s">
        <v>13</v>
      </c>
      <c r="N1350" s="10"/>
      <c r="O1350" s="10"/>
    </row>
    <row r="1351" spans="1:15" ht="15.6" x14ac:dyDescent="0.3">
      <c r="A1351" s="72"/>
      <c r="B1351" s="73"/>
      <c r="C1351" s="5" t="str">
        <f t="shared" ref="C1351:L1351" si="237">VLOOKUP($A1350,NotaIndividualPorAlunoMAT,RIGHT(C1350,2)+1,0)</f>
        <v/>
      </c>
      <c r="D1351" s="5" t="str">
        <f t="shared" si="237"/>
        <v/>
      </c>
      <c r="E1351" s="5" t="str">
        <f t="shared" si="237"/>
        <v/>
      </c>
      <c r="F1351" s="5" t="str">
        <f t="shared" si="237"/>
        <v/>
      </c>
      <c r="G1351" s="5" t="str">
        <f t="shared" si="237"/>
        <v/>
      </c>
      <c r="H1351" s="5" t="str">
        <f t="shared" si="237"/>
        <v/>
      </c>
      <c r="I1351" s="5" t="str">
        <f t="shared" si="237"/>
        <v/>
      </c>
      <c r="J1351" s="5" t="str">
        <f t="shared" si="237"/>
        <v/>
      </c>
      <c r="K1351" s="5" t="str">
        <f t="shared" si="237"/>
        <v/>
      </c>
      <c r="L1351" s="5" t="str">
        <f t="shared" si="237"/>
        <v/>
      </c>
      <c r="M1351" s="19" t="str">
        <f>VLOOKUP($A1350,NotaIndividualPorAlunoMAT,RIGHT(L1350,2)+2,0)</f>
        <v/>
      </c>
      <c r="N1351" s="10"/>
      <c r="O1351" s="10"/>
    </row>
    <row r="1352" spans="1:15" x14ac:dyDescent="0.3">
      <c r="A1352" s="72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0"/>
      <c r="O1352" s="10"/>
    </row>
    <row r="1353" spans="1:15" x14ac:dyDescent="0.3">
      <c r="A1353" s="72"/>
      <c r="B1353" s="73" t="s">
        <v>14</v>
      </c>
      <c r="C1353" s="57" t="s">
        <v>46</v>
      </c>
      <c r="D1353" s="57" t="s">
        <v>47</v>
      </c>
      <c r="E1353" s="57" t="s">
        <v>48</v>
      </c>
      <c r="F1353" s="57" t="s">
        <v>49</v>
      </c>
      <c r="G1353" s="57" t="s">
        <v>50</v>
      </c>
      <c r="H1353" s="57" t="s">
        <v>51</v>
      </c>
      <c r="I1353" s="57" t="s">
        <v>52</v>
      </c>
      <c r="J1353" s="57" t="s">
        <v>53</v>
      </c>
      <c r="K1353" s="57" t="s">
        <v>54</v>
      </c>
      <c r="L1353" s="57" t="s">
        <v>55</v>
      </c>
      <c r="M1353" s="57" t="s">
        <v>13</v>
      </c>
      <c r="N1353" s="10"/>
      <c r="O1353" s="10"/>
    </row>
    <row r="1354" spans="1:15" ht="15.6" x14ac:dyDescent="0.3">
      <c r="A1354" s="72"/>
      <c r="B1354" s="73"/>
      <c r="C1354" s="3" t="str">
        <f t="shared" ref="C1354:L1354" si="238">VLOOKUP($A1350,NotaIndividualPorAlunoQUI,RIGHT(C1353,2)-9,0)</f>
        <v/>
      </c>
      <c r="D1354" s="3" t="str">
        <f t="shared" si="238"/>
        <v/>
      </c>
      <c r="E1354" s="3" t="str">
        <f t="shared" si="238"/>
        <v/>
      </c>
      <c r="F1354" s="3" t="str">
        <f t="shared" si="238"/>
        <v/>
      </c>
      <c r="G1354" s="3" t="str">
        <f t="shared" si="238"/>
        <v/>
      </c>
      <c r="H1354" s="3" t="str">
        <f t="shared" si="238"/>
        <v/>
      </c>
      <c r="I1354" s="3" t="str">
        <f t="shared" si="238"/>
        <v/>
      </c>
      <c r="J1354" s="3" t="str">
        <f t="shared" si="238"/>
        <v/>
      </c>
      <c r="K1354" s="3" t="str">
        <f t="shared" si="238"/>
        <v/>
      </c>
      <c r="L1354" s="3" t="str">
        <f t="shared" si="238"/>
        <v/>
      </c>
      <c r="M1354" s="19" t="str">
        <f>VLOOKUP($A1350,NotaIndividualPorAlunoQUI,RIGHT(L1353,2)-8,0)</f>
        <v/>
      </c>
      <c r="N1354" s="10"/>
      <c r="O1354" s="10"/>
    </row>
    <row r="1355" spans="1:15" x14ac:dyDescent="0.3">
      <c r="A1355" s="72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0"/>
      <c r="O1355" s="10"/>
    </row>
    <row r="1356" spans="1:15" x14ac:dyDescent="0.3">
      <c r="A1356" s="72"/>
      <c r="B1356" s="73" t="s">
        <v>12</v>
      </c>
      <c r="C1356" s="57" t="s">
        <v>2</v>
      </c>
      <c r="D1356" s="57" t="s">
        <v>3</v>
      </c>
      <c r="E1356" s="57" t="s">
        <v>4</v>
      </c>
      <c r="F1356" s="57" t="s">
        <v>5</v>
      </c>
      <c r="G1356" s="57" t="s">
        <v>6</v>
      </c>
      <c r="H1356" s="57" t="s">
        <v>7</v>
      </c>
      <c r="I1356" s="57" t="s">
        <v>8</v>
      </c>
      <c r="J1356" s="57" t="s">
        <v>9</v>
      </c>
      <c r="K1356" s="57" t="s">
        <v>10</v>
      </c>
      <c r="L1356" s="57" t="s">
        <v>11</v>
      </c>
      <c r="M1356" s="57" t="s">
        <v>13</v>
      </c>
      <c r="N1356" s="10"/>
      <c r="O1356" s="10"/>
    </row>
    <row r="1357" spans="1:15" ht="15.6" x14ac:dyDescent="0.3">
      <c r="A1357" s="72"/>
      <c r="B1357" s="73"/>
      <c r="C1357" s="3" t="str">
        <f t="shared" ref="C1357:L1357" si="239">VLOOKUP($A1350,NotaIndividualPorAlunoFIS,RIGHT(C1356,2)+1,0)</f>
        <v/>
      </c>
      <c r="D1357" s="3" t="str">
        <f t="shared" si="239"/>
        <v/>
      </c>
      <c r="E1357" s="3" t="str">
        <f t="shared" si="239"/>
        <v/>
      </c>
      <c r="F1357" s="3" t="str">
        <f t="shared" si="239"/>
        <v/>
      </c>
      <c r="G1357" s="3" t="str">
        <f t="shared" si="239"/>
        <v/>
      </c>
      <c r="H1357" s="3" t="str">
        <f t="shared" si="239"/>
        <v/>
      </c>
      <c r="I1357" s="3" t="str">
        <f t="shared" si="239"/>
        <v/>
      </c>
      <c r="J1357" s="3" t="str">
        <f t="shared" si="239"/>
        <v/>
      </c>
      <c r="K1357" s="3" t="str">
        <f t="shared" si="239"/>
        <v/>
      </c>
      <c r="L1357" s="3" t="str">
        <f t="shared" si="239"/>
        <v/>
      </c>
      <c r="M1357" s="19" t="str">
        <f>VLOOKUP($A1350,NotaIndividualPorAlunoFIS,RIGHT(L1356,2)+2,0)</f>
        <v/>
      </c>
      <c r="N1357" s="10"/>
      <c r="O1357" s="10"/>
    </row>
    <row r="1358" spans="1:15" ht="15.6" x14ac:dyDescent="0.3">
      <c r="A1358" s="72"/>
      <c r="B1358" s="12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0"/>
      <c r="O1358" s="10"/>
    </row>
    <row r="1359" spans="1:15" ht="15.6" x14ac:dyDescent="0.3">
      <c r="A1359" s="72"/>
      <c r="B1359" s="73" t="s">
        <v>16</v>
      </c>
      <c r="C1359" s="23" t="s">
        <v>41</v>
      </c>
      <c r="D1359" s="58" t="s">
        <v>42</v>
      </c>
      <c r="E1359" s="23" t="s">
        <v>43</v>
      </c>
      <c r="F1359" s="58" t="s">
        <v>44</v>
      </c>
      <c r="G1359" s="23" t="s">
        <v>63</v>
      </c>
      <c r="H1359" s="58" t="s">
        <v>32</v>
      </c>
      <c r="I1359" s="14"/>
      <c r="J1359" s="14"/>
      <c r="K1359" s="14"/>
      <c r="L1359" s="14"/>
      <c r="M1359" s="15" t="s">
        <v>18</v>
      </c>
      <c r="N1359" s="10"/>
      <c r="O1359" s="10"/>
    </row>
    <row r="1360" spans="1:15" ht="15.6" x14ac:dyDescent="0.3">
      <c r="A1360" s="72"/>
      <c r="B1360" s="73"/>
      <c r="C1360" s="26" t="str">
        <f>VLOOKUP($A1350,NotaIndividualPorAlunoRED,2,0)</f>
        <v/>
      </c>
      <c r="D1360" s="26" t="str">
        <f>VLOOKUP($A1350,NotaIndividualPorAlunoRED,3,0)</f>
        <v/>
      </c>
      <c r="E1360" s="26" t="str">
        <f>VLOOKUP($A1350,NotaIndividualPorAlunoRED,4,0)</f>
        <v/>
      </c>
      <c r="F1360" s="26" t="str">
        <f>VLOOKUP($A1350,NotaIndividualPorAlunoRED,5,0)</f>
        <v/>
      </c>
      <c r="G1360" s="26" t="str">
        <f>VLOOKUP($A1350,NotaIndividualPorAlunoRED,6,0)</f>
        <v/>
      </c>
      <c r="H1360" s="21" t="str">
        <f>VLOOKUP($A1350,NotaIndividualPorAlunoRED,7,0)</f>
        <v/>
      </c>
      <c r="I1360" s="14"/>
      <c r="J1360" s="14"/>
      <c r="K1360" s="14"/>
      <c r="L1360" s="14"/>
      <c r="M1360" s="20" t="str">
        <f>VLOOKUP(A1350,NOTAS!C:I,7,0)</f>
        <v/>
      </c>
      <c r="N1360" s="10"/>
      <c r="O1360" s="10"/>
    </row>
    <row r="1361" spans="1:15" x14ac:dyDescent="0.3">
      <c r="A1361" s="72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0"/>
      <c r="O1361" s="10"/>
    </row>
    <row r="1362" spans="1:15" x14ac:dyDescent="0.3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</row>
    <row r="1363" spans="1:15" x14ac:dyDescent="0.3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</row>
    <row r="1364" spans="1:15" x14ac:dyDescent="0.3">
      <c r="A1364" s="58" t="s">
        <v>38</v>
      </c>
      <c r="B1364" s="57" t="s">
        <v>35</v>
      </c>
      <c r="C1364" s="57" t="s">
        <v>56</v>
      </c>
      <c r="D1364" s="57" t="s">
        <v>57</v>
      </c>
      <c r="E1364" s="57" t="s">
        <v>58</v>
      </c>
      <c r="F1364" s="57" t="s">
        <v>59</v>
      </c>
      <c r="G1364" s="57" t="s">
        <v>60</v>
      </c>
      <c r="H1364" s="57" t="s">
        <v>36</v>
      </c>
      <c r="I1364" s="57" t="s">
        <v>61</v>
      </c>
      <c r="J1364" s="57" t="s">
        <v>34</v>
      </c>
      <c r="K1364" s="57" t="s">
        <v>62</v>
      </c>
      <c r="L1364" s="16" t="s">
        <v>33</v>
      </c>
      <c r="M1364" s="57" t="s">
        <v>37</v>
      </c>
      <c r="N1364" s="10"/>
      <c r="O1364" s="10"/>
    </row>
    <row r="1365" spans="1:15" ht="15.6" x14ac:dyDescent="0.3">
      <c r="A1365" s="58" t="str" cm="1">
        <f t="array" ref="A1365">IF(ISERROR(INDEX(ListaDeAlunos,(((ROW()-2)/17)+1),(COLUMN()+1))),"",INDEX(ListaDeAlunos,(((ROW()-2)/17)+1),(COLUMN()+1)))</f>
        <v/>
      </c>
      <c r="B1365" s="17" t="str">
        <f>VLOOKUP($A1365,NotaIndividualPorAlunoPROVAO,2,0)</f>
        <v/>
      </c>
      <c r="C1365" s="18" t="str">
        <f>VLOOKUP($A1365,NotaIndividualPorAlunoPROVAO,3,0)</f>
        <v/>
      </c>
      <c r="D1365" s="17" t="str">
        <f>VLOOKUP($A1365,NotaIndividualPorAlunoPROVAO,4,0)</f>
        <v/>
      </c>
      <c r="E1365" s="18" t="str">
        <f>VLOOKUP($A1365,NotaIndividualPorAlunoPROVAO,5,0)</f>
        <v/>
      </c>
      <c r="F1365" s="17" t="str">
        <f>VLOOKUP($A1365,NotaIndividualPorAlunoPROVAO,6,0)</f>
        <v/>
      </c>
      <c r="G1365" s="18" t="str">
        <f>VLOOKUP($A1365,NotaIndividualPorAlunoPROVAO,7,0)</f>
        <v/>
      </c>
      <c r="H1365" s="17" t="str">
        <f>VLOOKUP($A1365,NotaIndividualPorAlunoPROVAO,8,0)</f>
        <v/>
      </c>
      <c r="I1365" s="18" t="str">
        <f>VLOOKUP($A1365,NotaIndividualPorAlunoPROVAO,9,0)</f>
        <v/>
      </c>
      <c r="J1365" s="17" t="str">
        <f>VLOOKUP($A1365,NotaIndividualPorAlunoPROVAO,10,0)</f>
        <v/>
      </c>
      <c r="K1365" s="18" t="str">
        <f>VLOOKUP($A1365,NotaIndividualPorAlunoPROVAO,11,0)</f>
        <v/>
      </c>
      <c r="L1365" s="15" t="str">
        <f>VLOOKUP($A1365,NotaIndividualPorAlunoPROVAO,12,0)</f>
        <v/>
      </c>
      <c r="M1365" s="25" t="str">
        <f>VLOOKUP($A1365,NotaIndividualPorAlunoPROVAO,13,0)</f>
        <v/>
      </c>
      <c r="N1365" s="10"/>
      <c r="O1365" s="10"/>
    </row>
    <row r="1366" spans="1:15" x14ac:dyDescent="0.3">
      <c r="N1366" s="10"/>
      <c r="O1366" s="10"/>
    </row>
    <row r="1367" spans="1:15" x14ac:dyDescent="0.3">
      <c r="A1367" s="72" t="str">
        <f>A1365</f>
        <v/>
      </c>
      <c r="B1367" s="73" t="s">
        <v>15</v>
      </c>
      <c r="C1367" s="57" t="s">
        <v>2</v>
      </c>
      <c r="D1367" s="57" t="s">
        <v>3</v>
      </c>
      <c r="E1367" s="57" t="s">
        <v>4</v>
      </c>
      <c r="F1367" s="57" t="s">
        <v>5</v>
      </c>
      <c r="G1367" s="57" t="s">
        <v>6</v>
      </c>
      <c r="H1367" s="57" t="s">
        <v>7</v>
      </c>
      <c r="I1367" s="57" t="s">
        <v>8</v>
      </c>
      <c r="J1367" s="57" t="s">
        <v>9</v>
      </c>
      <c r="K1367" s="57" t="s">
        <v>10</v>
      </c>
      <c r="L1367" s="57" t="s">
        <v>11</v>
      </c>
      <c r="M1367" s="57" t="s">
        <v>13</v>
      </c>
      <c r="N1367" s="10"/>
      <c r="O1367" s="10"/>
    </row>
    <row r="1368" spans="1:15" ht="15.6" x14ac:dyDescent="0.3">
      <c r="A1368" s="72"/>
      <c r="B1368" s="73"/>
      <c r="C1368" s="5" t="str">
        <f t="shared" ref="C1368:L1368" si="240">VLOOKUP($A1367,NotaIndividualPorAlunoMAT,RIGHT(C1367,2)+1,0)</f>
        <v/>
      </c>
      <c r="D1368" s="5" t="str">
        <f t="shared" si="240"/>
        <v/>
      </c>
      <c r="E1368" s="5" t="str">
        <f t="shared" si="240"/>
        <v/>
      </c>
      <c r="F1368" s="5" t="str">
        <f t="shared" si="240"/>
        <v/>
      </c>
      <c r="G1368" s="5" t="str">
        <f t="shared" si="240"/>
        <v/>
      </c>
      <c r="H1368" s="5" t="str">
        <f t="shared" si="240"/>
        <v/>
      </c>
      <c r="I1368" s="5" t="str">
        <f t="shared" si="240"/>
        <v/>
      </c>
      <c r="J1368" s="5" t="str">
        <f t="shared" si="240"/>
        <v/>
      </c>
      <c r="K1368" s="5" t="str">
        <f t="shared" si="240"/>
        <v/>
      </c>
      <c r="L1368" s="5" t="str">
        <f t="shared" si="240"/>
        <v/>
      </c>
      <c r="M1368" s="19" t="str">
        <f>VLOOKUP($A1367,NotaIndividualPorAlunoMAT,RIGHT(L1367,2)+2,0)</f>
        <v/>
      </c>
      <c r="N1368" s="10"/>
      <c r="O1368" s="10"/>
    </row>
    <row r="1369" spans="1:15" x14ac:dyDescent="0.3">
      <c r="A1369" s="72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0"/>
      <c r="O1369" s="10"/>
    </row>
    <row r="1370" spans="1:15" x14ac:dyDescent="0.3">
      <c r="A1370" s="72"/>
      <c r="B1370" s="73" t="s">
        <v>14</v>
      </c>
      <c r="C1370" s="57" t="s">
        <v>46</v>
      </c>
      <c r="D1370" s="57" t="s">
        <v>47</v>
      </c>
      <c r="E1370" s="57" t="s">
        <v>48</v>
      </c>
      <c r="F1370" s="57" t="s">
        <v>49</v>
      </c>
      <c r="G1370" s="57" t="s">
        <v>50</v>
      </c>
      <c r="H1370" s="57" t="s">
        <v>51</v>
      </c>
      <c r="I1370" s="57" t="s">
        <v>52</v>
      </c>
      <c r="J1370" s="57" t="s">
        <v>53</v>
      </c>
      <c r="K1370" s="57" t="s">
        <v>54</v>
      </c>
      <c r="L1370" s="57" t="s">
        <v>55</v>
      </c>
      <c r="M1370" s="57" t="s">
        <v>13</v>
      </c>
      <c r="N1370" s="10"/>
      <c r="O1370" s="10"/>
    </row>
    <row r="1371" spans="1:15" ht="15.6" x14ac:dyDescent="0.3">
      <c r="A1371" s="72"/>
      <c r="B1371" s="73"/>
      <c r="C1371" s="3" t="str">
        <f t="shared" ref="C1371:L1371" si="241">VLOOKUP($A1367,NotaIndividualPorAlunoQUI,RIGHT(C1370,2)-9,0)</f>
        <v/>
      </c>
      <c r="D1371" s="3" t="str">
        <f t="shared" si="241"/>
        <v/>
      </c>
      <c r="E1371" s="3" t="str">
        <f t="shared" si="241"/>
        <v/>
      </c>
      <c r="F1371" s="3" t="str">
        <f t="shared" si="241"/>
        <v/>
      </c>
      <c r="G1371" s="3" t="str">
        <f t="shared" si="241"/>
        <v/>
      </c>
      <c r="H1371" s="3" t="str">
        <f t="shared" si="241"/>
        <v/>
      </c>
      <c r="I1371" s="3" t="str">
        <f t="shared" si="241"/>
        <v/>
      </c>
      <c r="J1371" s="3" t="str">
        <f t="shared" si="241"/>
        <v/>
      </c>
      <c r="K1371" s="3" t="str">
        <f t="shared" si="241"/>
        <v/>
      </c>
      <c r="L1371" s="3" t="str">
        <f t="shared" si="241"/>
        <v/>
      </c>
      <c r="M1371" s="19" t="str">
        <f>VLOOKUP($A1367,NotaIndividualPorAlunoQUI,RIGHT(L1370,2)-8,0)</f>
        <v/>
      </c>
      <c r="N1371" s="10"/>
      <c r="O1371" s="10"/>
    </row>
    <row r="1372" spans="1:15" x14ac:dyDescent="0.3">
      <c r="A1372" s="72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0"/>
      <c r="O1372" s="10"/>
    </row>
    <row r="1373" spans="1:15" x14ac:dyDescent="0.3">
      <c r="A1373" s="72"/>
      <c r="B1373" s="73" t="s">
        <v>12</v>
      </c>
      <c r="C1373" s="57" t="s">
        <v>2</v>
      </c>
      <c r="D1373" s="57" t="s">
        <v>3</v>
      </c>
      <c r="E1373" s="57" t="s">
        <v>4</v>
      </c>
      <c r="F1373" s="57" t="s">
        <v>5</v>
      </c>
      <c r="G1373" s="57" t="s">
        <v>6</v>
      </c>
      <c r="H1373" s="57" t="s">
        <v>7</v>
      </c>
      <c r="I1373" s="57" t="s">
        <v>8</v>
      </c>
      <c r="J1373" s="57" t="s">
        <v>9</v>
      </c>
      <c r="K1373" s="57" t="s">
        <v>10</v>
      </c>
      <c r="L1373" s="57" t="s">
        <v>11</v>
      </c>
      <c r="M1373" s="57" t="s">
        <v>13</v>
      </c>
      <c r="N1373" s="10"/>
      <c r="O1373" s="10"/>
    </row>
    <row r="1374" spans="1:15" ht="15.6" x14ac:dyDescent="0.3">
      <c r="A1374" s="72"/>
      <c r="B1374" s="73"/>
      <c r="C1374" s="3" t="str">
        <f t="shared" ref="C1374:L1374" si="242">VLOOKUP($A1367,NotaIndividualPorAlunoFIS,RIGHT(C1373,2)+1,0)</f>
        <v/>
      </c>
      <c r="D1374" s="3" t="str">
        <f t="shared" si="242"/>
        <v/>
      </c>
      <c r="E1374" s="3" t="str">
        <f t="shared" si="242"/>
        <v/>
      </c>
      <c r="F1374" s="3" t="str">
        <f t="shared" si="242"/>
        <v/>
      </c>
      <c r="G1374" s="3" t="str">
        <f t="shared" si="242"/>
        <v/>
      </c>
      <c r="H1374" s="3" t="str">
        <f t="shared" si="242"/>
        <v/>
      </c>
      <c r="I1374" s="3" t="str">
        <f t="shared" si="242"/>
        <v/>
      </c>
      <c r="J1374" s="3" t="str">
        <f t="shared" si="242"/>
        <v/>
      </c>
      <c r="K1374" s="3" t="str">
        <f t="shared" si="242"/>
        <v/>
      </c>
      <c r="L1374" s="3" t="str">
        <f t="shared" si="242"/>
        <v/>
      </c>
      <c r="M1374" s="19" t="str">
        <f>VLOOKUP($A1367,NotaIndividualPorAlunoFIS,RIGHT(L1373,2)+2,0)</f>
        <v/>
      </c>
      <c r="N1374" s="10"/>
      <c r="O1374" s="10"/>
    </row>
    <row r="1375" spans="1:15" ht="15.6" x14ac:dyDescent="0.3">
      <c r="A1375" s="72"/>
      <c r="B1375" s="12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0"/>
      <c r="O1375" s="10"/>
    </row>
    <row r="1376" spans="1:15" ht="15.6" x14ac:dyDescent="0.3">
      <c r="A1376" s="72"/>
      <c r="B1376" s="73" t="s">
        <v>16</v>
      </c>
      <c r="C1376" s="23" t="s">
        <v>41</v>
      </c>
      <c r="D1376" s="58" t="s">
        <v>42</v>
      </c>
      <c r="E1376" s="23" t="s">
        <v>43</v>
      </c>
      <c r="F1376" s="58" t="s">
        <v>44</v>
      </c>
      <c r="G1376" s="23" t="s">
        <v>63</v>
      </c>
      <c r="H1376" s="58" t="s">
        <v>32</v>
      </c>
      <c r="I1376" s="14"/>
      <c r="J1376" s="14"/>
      <c r="K1376" s="14"/>
      <c r="L1376" s="14"/>
      <c r="M1376" s="15" t="s">
        <v>18</v>
      </c>
      <c r="N1376" s="10"/>
      <c r="O1376" s="10"/>
    </row>
    <row r="1377" spans="1:15" ht="15.6" x14ac:dyDescent="0.3">
      <c r="A1377" s="72"/>
      <c r="B1377" s="73"/>
      <c r="C1377" s="26" t="str">
        <f>VLOOKUP($A1367,NotaIndividualPorAlunoRED,2,0)</f>
        <v/>
      </c>
      <c r="D1377" s="26" t="str">
        <f>VLOOKUP($A1367,NotaIndividualPorAlunoRED,3,0)</f>
        <v/>
      </c>
      <c r="E1377" s="26" t="str">
        <f>VLOOKUP($A1367,NotaIndividualPorAlunoRED,4,0)</f>
        <v/>
      </c>
      <c r="F1377" s="26" t="str">
        <f>VLOOKUP($A1367,NotaIndividualPorAlunoRED,5,0)</f>
        <v/>
      </c>
      <c r="G1377" s="26" t="str">
        <f>VLOOKUP($A1367,NotaIndividualPorAlunoRED,6,0)</f>
        <v/>
      </c>
      <c r="H1377" s="21" t="str">
        <f>VLOOKUP($A1367,NotaIndividualPorAlunoRED,7,0)</f>
        <v/>
      </c>
      <c r="I1377" s="14"/>
      <c r="J1377" s="14"/>
      <c r="K1377" s="14"/>
      <c r="L1377" s="14"/>
      <c r="M1377" s="20" t="str">
        <f>VLOOKUP(A1367,NOTAS!C:I,7,0)</f>
        <v/>
      </c>
      <c r="N1377" s="10"/>
      <c r="O1377" s="10"/>
    </row>
    <row r="1378" spans="1:15" x14ac:dyDescent="0.3">
      <c r="A1378" s="72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0"/>
      <c r="O1378" s="10"/>
    </row>
    <row r="1379" spans="1:15" x14ac:dyDescent="0.3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</row>
    <row r="1380" spans="1:15" x14ac:dyDescent="0.3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</row>
    <row r="1381" spans="1:15" x14ac:dyDescent="0.3">
      <c r="A1381" s="58" t="s">
        <v>38</v>
      </c>
      <c r="B1381" s="57" t="s">
        <v>35</v>
      </c>
      <c r="C1381" s="57" t="s">
        <v>56</v>
      </c>
      <c r="D1381" s="57" t="s">
        <v>57</v>
      </c>
      <c r="E1381" s="57" t="s">
        <v>58</v>
      </c>
      <c r="F1381" s="57" t="s">
        <v>59</v>
      </c>
      <c r="G1381" s="57" t="s">
        <v>60</v>
      </c>
      <c r="H1381" s="57" t="s">
        <v>36</v>
      </c>
      <c r="I1381" s="57" t="s">
        <v>61</v>
      </c>
      <c r="J1381" s="57" t="s">
        <v>34</v>
      </c>
      <c r="K1381" s="57" t="s">
        <v>62</v>
      </c>
      <c r="L1381" s="16" t="s">
        <v>33</v>
      </c>
      <c r="M1381" s="57" t="s">
        <v>37</v>
      </c>
      <c r="N1381" s="10"/>
      <c r="O1381" s="10"/>
    </row>
    <row r="1382" spans="1:15" ht="15.6" x14ac:dyDescent="0.3">
      <c r="A1382" s="58" t="str" cm="1">
        <f t="array" ref="A1382">IF(ISERROR(INDEX(ListaDeAlunos,(((ROW()-2)/17)+1),(COLUMN()+1))),"",INDEX(ListaDeAlunos,(((ROW()-2)/17)+1),(COLUMN()+1)))</f>
        <v/>
      </c>
      <c r="B1382" s="17" t="str">
        <f>VLOOKUP($A1382,NotaIndividualPorAlunoPROVAO,2,0)</f>
        <v/>
      </c>
      <c r="C1382" s="18" t="str">
        <f>VLOOKUP($A1382,NotaIndividualPorAlunoPROVAO,3,0)</f>
        <v/>
      </c>
      <c r="D1382" s="17" t="str">
        <f>VLOOKUP($A1382,NotaIndividualPorAlunoPROVAO,4,0)</f>
        <v/>
      </c>
      <c r="E1382" s="18" t="str">
        <f>VLOOKUP($A1382,NotaIndividualPorAlunoPROVAO,5,0)</f>
        <v/>
      </c>
      <c r="F1382" s="17" t="str">
        <f>VLOOKUP($A1382,NotaIndividualPorAlunoPROVAO,6,0)</f>
        <v/>
      </c>
      <c r="G1382" s="18" t="str">
        <f>VLOOKUP($A1382,NotaIndividualPorAlunoPROVAO,7,0)</f>
        <v/>
      </c>
      <c r="H1382" s="17" t="str">
        <f>VLOOKUP($A1382,NotaIndividualPorAlunoPROVAO,8,0)</f>
        <v/>
      </c>
      <c r="I1382" s="18" t="str">
        <f>VLOOKUP($A1382,NotaIndividualPorAlunoPROVAO,9,0)</f>
        <v/>
      </c>
      <c r="J1382" s="17" t="str">
        <f>VLOOKUP($A1382,NotaIndividualPorAlunoPROVAO,10,0)</f>
        <v/>
      </c>
      <c r="K1382" s="18" t="str">
        <f>VLOOKUP($A1382,NotaIndividualPorAlunoPROVAO,11,0)</f>
        <v/>
      </c>
      <c r="L1382" s="15" t="str">
        <f>VLOOKUP($A1382,NotaIndividualPorAlunoPROVAO,12,0)</f>
        <v/>
      </c>
      <c r="M1382" s="25" t="str">
        <f>VLOOKUP($A1382,NotaIndividualPorAlunoPROVAO,13,0)</f>
        <v/>
      </c>
      <c r="N1382" s="10"/>
      <c r="O1382" s="10"/>
    </row>
    <row r="1383" spans="1:15" x14ac:dyDescent="0.3">
      <c r="N1383" s="10"/>
      <c r="O1383" s="10"/>
    </row>
    <row r="1384" spans="1:15" x14ac:dyDescent="0.3">
      <c r="A1384" s="72" t="str">
        <f>A1382</f>
        <v/>
      </c>
      <c r="B1384" s="73" t="s">
        <v>15</v>
      </c>
      <c r="C1384" s="57" t="s">
        <v>2</v>
      </c>
      <c r="D1384" s="57" t="s">
        <v>3</v>
      </c>
      <c r="E1384" s="57" t="s">
        <v>4</v>
      </c>
      <c r="F1384" s="57" t="s">
        <v>5</v>
      </c>
      <c r="G1384" s="57" t="s">
        <v>6</v>
      </c>
      <c r="H1384" s="57" t="s">
        <v>7</v>
      </c>
      <c r="I1384" s="57" t="s">
        <v>8</v>
      </c>
      <c r="J1384" s="57" t="s">
        <v>9</v>
      </c>
      <c r="K1384" s="57" t="s">
        <v>10</v>
      </c>
      <c r="L1384" s="57" t="s">
        <v>11</v>
      </c>
      <c r="M1384" s="57" t="s">
        <v>13</v>
      </c>
      <c r="N1384" s="10"/>
      <c r="O1384" s="10"/>
    </row>
    <row r="1385" spans="1:15" ht="15.6" x14ac:dyDescent="0.3">
      <c r="A1385" s="72"/>
      <c r="B1385" s="73"/>
      <c r="C1385" s="5" t="str">
        <f t="shared" ref="C1385:L1385" si="243">VLOOKUP($A1384,NotaIndividualPorAlunoMAT,RIGHT(C1384,2)+1,0)</f>
        <v/>
      </c>
      <c r="D1385" s="5" t="str">
        <f t="shared" si="243"/>
        <v/>
      </c>
      <c r="E1385" s="5" t="str">
        <f t="shared" si="243"/>
        <v/>
      </c>
      <c r="F1385" s="5" t="str">
        <f t="shared" si="243"/>
        <v/>
      </c>
      <c r="G1385" s="5" t="str">
        <f t="shared" si="243"/>
        <v/>
      </c>
      <c r="H1385" s="5" t="str">
        <f t="shared" si="243"/>
        <v/>
      </c>
      <c r="I1385" s="5" t="str">
        <f t="shared" si="243"/>
        <v/>
      </c>
      <c r="J1385" s="5" t="str">
        <f t="shared" si="243"/>
        <v/>
      </c>
      <c r="K1385" s="5" t="str">
        <f t="shared" si="243"/>
        <v/>
      </c>
      <c r="L1385" s="5" t="str">
        <f t="shared" si="243"/>
        <v/>
      </c>
      <c r="M1385" s="19" t="str">
        <f>VLOOKUP($A1384,NotaIndividualPorAlunoMAT,RIGHT(L1384,2)+2,0)</f>
        <v/>
      </c>
      <c r="N1385" s="10"/>
      <c r="O1385" s="10"/>
    </row>
    <row r="1386" spans="1:15" x14ac:dyDescent="0.3">
      <c r="A1386" s="72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0"/>
      <c r="O1386" s="10"/>
    </row>
    <row r="1387" spans="1:15" x14ac:dyDescent="0.3">
      <c r="A1387" s="72"/>
      <c r="B1387" s="73" t="s">
        <v>14</v>
      </c>
      <c r="C1387" s="57" t="s">
        <v>46</v>
      </c>
      <c r="D1387" s="57" t="s">
        <v>47</v>
      </c>
      <c r="E1387" s="57" t="s">
        <v>48</v>
      </c>
      <c r="F1387" s="57" t="s">
        <v>49</v>
      </c>
      <c r="G1387" s="57" t="s">
        <v>50</v>
      </c>
      <c r="H1387" s="57" t="s">
        <v>51</v>
      </c>
      <c r="I1387" s="57" t="s">
        <v>52</v>
      </c>
      <c r="J1387" s="57" t="s">
        <v>53</v>
      </c>
      <c r="K1387" s="57" t="s">
        <v>54</v>
      </c>
      <c r="L1387" s="57" t="s">
        <v>55</v>
      </c>
      <c r="M1387" s="57" t="s">
        <v>13</v>
      </c>
      <c r="N1387" s="10"/>
      <c r="O1387" s="10"/>
    </row>
    <row r="1388" spans="1:15" ht="15.6" x14ac:dyDescent="0.3">
      <c r="A1388" s="72"/>
      <c r="B1388" s="73"/>
      <c r="C1388" s="3" t="str">
        <f t="shared" ref="C1388:L1388" si="244">VLOOKUP($A1384,NotaIndividualPorAlunoQUI,RIGHT(C1387,2)-9,0)</f>
        <v/>
      </c>
      <c r="D1388" s="3" t="str">
        <f t="shared" si="244"/>
        <v/>
      </c>
      <c r="E1388" s="3" t="str">
        <f t="shared" si="244"/>
        <v/>
      </c>
      <c r="F1388" s="3" t="str">
        <f t="shared" si="244"/>
        <v/>
      </c>
      <c r="G1388" s="3" t="str">
        <f t="shared" si="244"/>
        <v/>
      </c>
      <c r="H1388" s="3" t="str">
        <f t="shared" si="244"/>
        <v/>
      </c>
      <c r="I1388" s="3" t="str">
        <f t="shared" si="244"/>
        <v/>
      </c>
      <c r="J1388" s="3" t="str">
        <f t="shared" si="244"/>
        <v/>
      </c>
      <c r="K1388" s="3" t="str">
        <f t="shared" si="244"/>
        <v/>
      </c>
      <c r="L1388" s="3" t="str">
        <f t="shared" si="244"/>
        <v/>
      </c>
      <c r="M1388" s="19" t="str">
        <f>VLOOKUP($A1384,NotaIndividualPorAlunoQUI,RIGHT(L1387,2)-8,0)</f>
        <v/>
      </c>
      <c r="N1388" s="10"/>
      <c r="O1388" s="10"/>
    </row>
    <row r="1389" spans="1:15" x14ac:dyDescent="0.3">
      <c r="A1389" s="72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0"/>
      <c r="O1389" s="10"/>
    </row>
    <row r="1390" spans="1:15" x14ac:dyDescent="0.3">
      <c r="A1390" s="72"/>
      <c r="B1390" s="73" t="s">
        <v>12</v>
      </c>
      <c r="C1390" s="57" t="s">
        <v>2</v>
      </c>
      <c r="D1390" s="57" t="s">
        <v>3</v>
      </c>
      <c r="E1390" s="57" t="s">
        <v>4</v>
      </c>
      <c r="F1390" s="57" t="s">
        <v>5</v>
      </c>
      <c r="G1390" s="57" t="s">
        <v>6</v>
      </c>
      <c r="H1390" s="57" t="s">
        <v>7</v>
      </c>
      <c r="I1390" s="57" t="s">
        <v>8</v>
      </c>
      <c r="J1390" s="57" t="s">
        <v>9</v>
      </c>
      <c r="K1390" s="57" t="s">
        <v>10</v>
      </c>
      <c r="L1390" s="57" t="s">
        <v>11</v>
      </c>
      <c r="M1390" s="57" t="s">
        <v>13</v>
      </c>
      <c r="N1390" s="10"/>
      <c r="O1390" s="10"/>
    </row>
    <row r="1391" spans="1:15" ht="15.6" x14ac:dyDescent="0.3">
      <c r="A1391" s="72"/>
      <c r="B1391" s="73"/>
      <c r="C1391" s="3" t="str">
        <f t="shared" ref="C1391:L1391" si="245">VLOOKUP($A1384,NotaIndividualPorAlunoFIS,RIGHT(C1390,2)+1,0)</f>
        <v/>
      </c>
      <c r="D1391" s="3" t="str">
        <f t="shared" si="245"/>
        <v/>
      </c>
      <c r="E1391" s="3" t="str">
        <f t="shared" si="245"/>
        <v/>
      </c>
      <c r="F1391" s="3" t="str">
        <f t="shared" si="245"/>
        <v/>
      </c>
      <c r="G1391" s="3" t="str">
        <f t="shared" si="245"/>
        <v/>
      </c>
      <c r="H1391" s="3" t="str">
        <f t="shared" si="245"/>
        <v/>
      </c>
      <c r="I1391" s="3" t="str">
        <f t="shared" si="245"/>
        <v/>
      </c>
      <c r="J1391" s="3" t="str">
        <f t="shared" si="245"/>
        <v/>
      </c>
      <c r="K1391" s="3" t="str">
        <f t="shared" si="245"/>
        <v/>
      </c>
      <c r="L1391" s="3" t="str">
        <f t="shared" si="245"/>
        <v/>
      </c>
      <c r="M1391" s="19" t="str">
        <f>VLOOKUP($A1384,NotaIndividualPorAlunoFIS,RIGHT(L1390,2)+2,0)</f>
        <v/>
      </c>
      <c r="N1391" s="10"/>
      <c r="O1391" s="10"/>
    </row>
    <row r="1392" spans="1:15" ht="15.6" x14ac:dyDescent="0.3">
      <c r="A1392" s="72"/>
      <c r="B1392" s="12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0"/>
      <c r="O1392" s="10"/>
    </row>
    <row r="1393" spans="1:15" ht="15.6" x14ac:dyDescent="0.3">
      <c r="A1393" s="72"/>
      <c r="B1393" s="73" t="s">
        <v>16</v>
      </c>
      <c r="C1393" s="23" t="s">
        <v>41</v>
      </c>
      <c r="D1393" s="58" t="s">
        <v>42</v>
      </c>
      <c r="E1393" s="23" t="s">
        <v>43</v>
      </c>
      <c r="F1393" s="58" t="s">
        <v>44</v>
      </c>
      <c r="G1393" s="23" t="s">
        <v>63</v>
      </c>
      <c r="H1393" s="58" t="s">
        <v>32</v>
      </c>
      <c r="I1393" s="14"/>
      <c r="J1393" s="14"/>
      <c r="K1393" s="14"/>
      <c r="L1393" s="14"/>
      <c r="M1393" s="15" t="s">
        <v>18</v>
      </c>
      <c r="N1393" s="10"/>
      <c r="O1393" s="10"/>
    </row>
    <row r="1394" spans="1:15" ht="15.6" x14ac:dyDescent="0.3">
      <c r="A1394" s="72"/>
      <c r="B1394" s="73"/>
      <c r="C1394" s="26" t="str">
        <f>VLOOKUP($A1384,NotaIndividualPorAlunoRED,2,0)</f>
        <v/>
      </c>
      <c r="D1394" s="26" t="str">
        <f>VLOOKUP($A1384,NotaIndividualPorAlunoRED,3,0)</f>
        <v/>
      </c>
      <c r="E1394" s="26" t="str">
        <f>VLOOKUP($A1384,NotaIndividualPorAlunoRED,4,0)</f>
        <v/>
      </c>
      <c r="F1394" s="26" t="str">
        <f>VLOOKUP($A1384,NotaIndividualPorAlunoRED,5,0)</f>
        <v/>
      </c>
      <c r="G1394" s="26" t="str">
        <f>VLOOKUP($A1384,NotaIndividualPorAlunoRED,6,0)</f>
        <v/>
      </c>
      <c r="H1394" s="21" t="str">
        <f>VLOOKUP($A1384,NotaIndividualPorAlunoRED,7,0)</f>
        <v/>
      </c>
      <c r="I1394" s="14"/>
      <c r="J1394" s="14"/>
      <c r="K1394" s="14"/>
      <c r="L1394" s="14"/>
      <c r="M1394" s="20" t="str">
        <f>VLOOKUP(A1384,NOTAS!C:I,7,0)</f>
        <v/>
      </c>
      <c r="N1394" s="10"/>
      <c r="O1394" s="10"/>
    </row>
    <row r="1395" spans="1:15" x14ac:dyDescent="0.3">
      <c r="A1395" s="72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0"/>
      <c r="O1395" s="10"/>
    </row>
    <row r="1396" spans="1:15" x14ac:dyDescent="0.3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</row>
    <row r="1397" spans="1:15" x14ac:dyDescent="0.3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</row>
    <row r="1398" spans="1:15" x14ac:dyDescent="0.3">
      <c r="A1398" s="58" t="s">
        <v>38</v>
      </c>
      <c r="B1398" s="57" t="s">
        <v>35</v>
      </c>
      <c r="C1398" s="57" t="s">
        <v>56</v>
      </c>
      <c r="D1398" s="57" t="s">
        <v>57</v>
      </c>
      <c r="E1398" s="57" t="s">
        <v>58</v>
      </c>
      <c r="F1398" s="57" t="s">
        <v>59</v>
      </c>
      <c r="G1398" s="57" t="s">
        <v>60</v>
      </c>
      <c r="H1398" s="57" t="s">
        <v>36</v>
      </c>
      <c r="I1398" s="57" t="s">
        <v>61</v>
      </c>
      <c r="J1398" s="57" t="s">
        <v>34</v>
      </c>
      <c r="K1398" s="57" t="s">
        <v>62</v>
      </c>
      <c r="L1398" s="16" t="s">
        <v>33</v>
      </c>
      <c r="M1398" s="57" t="s">
        <v>37</v>
      </c>
      <c r="N1398" s="10"/>
      <c r="O1398" s="10"/>
    </row>
    <row r="1399" spans="1:15" ht="15.6" x14ac:dyDescent="0.3">
      <c r="A1399" s="58" t="str" cm="1">
        <f t="array" ref="A1399">IF(ISERROR(INDEX(ListaDeAlunos,(((ROW()-2)/17)+1),(COLUMN()+1))),"",INDEX(ListaDeAlunos,(((ROW()-2)/17)+1),(COLUMN()+1)))</f>
        <v/>
      </c>
      <c r="B1399" s="17" t="str">
        <f>VLOOKUP($A1399,NotaIndividualPorAlunoPROVAO,2,0)</f>
        <v/>
      </c>
      <c r="C1399" s="18" t="str">
        <f>VLOOKUP($A1399,NotaIndividualPorAlunoPROVAO,3,0)</f>
        <v/>
      </c>
      <c r="D1399" s="17" t="str">
        <f>VLOOKUP($A1399,NotaIndividualPorAlunoPROVAO,4,0)</f>
        <v/>
      </c>
      <c r="E1399" s="18" t="str">
        <f>VLOOKUP($A1399,NotaIndividualPorAlunoPROVAO,5,0)</f>
        <v/>
      </c>
      <c r="F1399" s="17" t="str">
        <f>VLOOKUP($A1399,NotaIndividualPorAlunoPROVAO,6,0)</f>
        <v/>
      </c>
      <c r="G1399" s="18" t="str">
        <f>VLOOKUP($A1399,NotaIndividualPorAlunoPROVAO,7,0)</f>
        <v/>
      </c>
      <c r="H1399" s="17" t="str">
        <f>VLOOKUP($A1399,NotaIndividualPorAlunoPROVAO,8,0)</f>
        <v/>
      </c>
      <c r="I1399" s="18" t="str">
        <f>VLOOKUP($A1399,NotaIndividualPorAlunoPROVAO,9,0)</f>
        <v/>
      </c>
      <c r="J1399" s="17" t="str">
        <f>VLOOKUP($A1399,NotaIndividualPorAlunoPROVAO,10,0)</f>
        <v/>
      </c>
      <c r="K1399" s="18" t="str">
        <f>VLOOKUP($A1399,NotaIndividualPorAlunoPROVAO,11,0)</f>
        <v/>
      </c>
      <c r="L1399" s="15" t="str">
        <f>VLOOKUP($A1399,NotaIndividualPorAlunoPROVAO,12,0)</f>
        <v/>
      </c>
      <c r="M1399" s="25" t="str">
        <f>VLOOKUP($A1399,NotaIndividualPorAlunoPROVAO,13,0)</f>
        <v/>
      </c>
      <c r="N1399" s="10"/>
      <c r="O1399" s="10"/>
    </row>
    <row r="1400" spans="1:15" x14ac:dyDescent="0.3">
      <c r="N1400" s="10"/>
      <c r="O1400" s="10"/>
    </row>
    <row r="1401" spans="1:15" x14ac:dyDescent="0.3">
      <c r="A1401" s="72" t="str">
        <f>A1399</f>
        <v/>
      </c>
      <c r="B1401" s="73" t="s">
        <v>15</v>
      </c>
      <c r="C1401" s="57" t="s">
        <v>2</v>
      </c>
      <c r="D1401" s="57" t="s">
        <v>3</v>
      </c>
      <c r="E1401" s="57" t="s">
        <v>4</v>
      </c>
      <c r="F1401" s="57" t="s">
        <v>5</v>
      </c>
      <c r="G1401" s="57" t="s">
        <v>6</v>
      </c>
      <c r="H1401" s="57" t="s">
        <v>7</v>
      </c>
      <c r="I1401" s="57" t="s">
        <v>8</v>
      </c>
      <c r="J1401" s="57" t="s">
        <v>9</v>
      </c>
      <c r="K1401" s="57" t="s">
        <v>10</v>
      </c>
      <c r="L1401" s="57" t="s">
        <v>11</v>
      </c>
      <c r="M1401" s="57" t="s">
        <v>13</v>
      </c>
      <c r="N1401" s="10"/>
      <c r="O1401" s="10"/>
    </row>
    <row r="1402" spans="1:15" ht="15.6" x14ac:dyDescent="0.3">
      <c r="A1402" s="72"/>
      <c r="B1402" s="73"/>
      <c r="C1402" s="5" t="str">
        <f t="shared" ref="C1402:L1402" si="246">VLOOKUP($A1401,NotaIndividualPorAlunoMAT,RIGHT(C1401,2)+1,0)</f>
        <v/>
      </c>
      <c r="D1402" s="5" t="str">
        <f t="shared" si="246"/>
        <v/>
      </c>
      <c r="E1402" s="5" t="str">
        <f t="shared" si="246"/>
        <v/>
      </c>
      <c r="F1402" s="5" t="str">
        <f t="shared" si="246"/>
        <v/>
      </c>
      <c r="G1402" s="5" t="str">
        <f t="shared" si="246"/>
        <v/>
      </c>
      <c r="H1402" s="5" t="str">
        <f t="shared" si="246"/>
        <v/>
      </c>
      <c r="I1402" s="5" t="str">
        <f t="shared" si="246"/>
        <v/>
      </c>
      <c r="J1402" s="5" t="str">
        <f t="shared" si="246"/>
        <v/>
      </c>
      <c r="K1402" s="5" t="str">
        <f t="shared" si="246"/>
        <v/>
      </c>
      <c r="L1402" s="5" t="str">
        <f t="shared" si="246"/>
        <v/>
      </c>
      <c r="M1402" s="19" t="str">
        <f>VLOOKUP($A1401,NotaIndividualPorAlunoMAT,RIGHT(L1401,2)+2,0)</f>
        <v/>
      </c>
      <c r="N1402" s="10"/>
      <c r="O1402" s="10"/>
    </row>
    <row r="1403" spans="1:15" x14ac:dyDescent="0.3">
      <c r="A1403" s="72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0"/>
      <c r="O1403" s="10"/>
    </row>
    <row r="1404" spans="1:15" x14ac:dyDescent="0.3">
      <c r="A1404" s="72"/>
      <c r="B1404" s="73" t="s">
        <v>14</v>
      </c>
      <c r="C1404" s="57" t="s">
        <v>46</v>
      </c>
      <c r="D1404" s="57" t="s">
        <v>47</v>
      </c>
      <c r="E1404" s="57" t="s">
        <v>48</v>
      </c>
      <c r="F1404" s="57" t="s">
        <v>49</v>
      </c>
      <c r="G1404" s="57" t="s">
        <v>50</v>
      </c>
      <c r="H1404" s="57" t="s">
        <v>51</v>
      </c>
      <c r="I1404" s="57" t="s">
        <v>52</v>
      </c>
      <c r="J1404" s="57" t="s">
        <v>53</v>
      </c>
      <c r="K1404" s="57" t="s">
        <v>54</v>
      </c>
      <c r="L1404" s="57" t="s">
        <v>55</v>
      </c>
      <c r="M1404" s="57" t="s">
        <v>13</v>
      </c>
      <c r="N1404" s="10"/>
      <c r="O1404" s="10"/>
    </row>
    <row r="1405" spans="1:15" ht="15.6" x14ac:dyDescent="0.3">
      <c r="A1405" s="72"/>
      <c r="B1405" s="73"/>
      <c r="C1405" s="3" t="str">
        <f t="shared" ref="C1405:L1405" si="247">VLOOKUP($A1401,NotaIndividualPorAlunoQUI,RIGHT(C1404,2)-9,0)</f>
        <v/>
      </c>
      <c r="D1405" s="3" t="str">
        <f t="shared" si="247"/>
        <v/>
      </c>
      <c r="E1405" s="3" t="str">
        <f t="shared" si="247"/>
        <v/>
      </c>
      <c r="F1405" s="3" t="str">
        <f t="shared" si="247"/>
        <v/>
      </c>
      <c r="G1405" s="3" t="str">
        <f t="shared" si="247"/>
        <v/>
      </c>
      <c r="H1405" s="3" t="str">
        <f t="shared" si="247"/>
        <v/>
      </c>
      <c r="I1405" s="3" t="str">
        <f t="shared" si="247"/>
        <v/>
      </c>
      <c r="J1405" s="3" t="str">
        <f t="shared" si="247"/>
        <v/>
      </c>
      <c r="K1405" s="3" t="str">
        <f t="shared" si="247"/>
        <v/>
      </c>
      <c r="L1405" s="3" t="str">
        <f t="shared" si="247"/>
        <v/>
      </c>
      <c r="M1405" s="19" t="str">
        <f>VLOOKUP($A1401,NotaIndividualPorAlunoQUI,RIGHT(L1404,2)-8,0)</f>
        <v/>
      </c>
      <c r="N1405" s="10"/>
      <c r="O1405" s="10"/>
    </row>
    <row r="1406" spans="1:15" x14ac:dyDescent="0.3">
      <c r="A1406" s="72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0"/>
      <c r="O1406" s="10"/>
    </row>
    <row r="1407" spans="1:15" x14ac:dyDescent="0.3">
      <c r="A1407" s="72"/>
      <c r="B1407" s="73" t="s">
        <v>12</v>
      </c>
      <c r="C1407" s="57" t="s">
        <v>2</v>
      </c>
      <c r="D1407" s="57" t="s">
        <v>3</v>
      </c>
      <c r="E1407" s="57" t="s">
        <v>4</v>
      </c>
      <c r="F1407" s="57" t="s">
        <v>5</v>
      </c>
      <c r="G1407" s="57" t="s">
        <v>6</v>
      </c>
      <c r="H1407" s="57" t="s">
        <v>7</v>
      </c>
      <c r="I1407" s="57" t="s">
        <v>8</v>
      </c>
      <c r="J1407" s="57" t="s">
        <v>9</v>
      </c>
      <c r="K1407" s="57" t="s">
        <v>10</v>
      </c>
      <c r="L1407" s="57" t="s">
        <v>11</v>
      </c>
      <c r="M1407" s="57" t="s">
        <v>13</v>
      </c>
      <c r="N1407" s="10"/>
      <c r="O1407" s="10"/>
    </row>
    <row r="1408" spans="1:15" ht="15.6" x14ac:dyDescent="0.3">
      <c r="A1408" s="72"/>
      <c r="B1408" s="73"/>
      <c r="C1408" s="3" t="str">
        <f t="shared" ref="C1408:L1408" si="248">VLOOKUP($A1401,NotaIndividualPorAlunoFIS,RIGHT(C1407,2)+1,0)</f>
        <v/>
      </c>
      <c r="D1408" s="3" t="str">
        <f t="shared" si="248"/>
        <v/>
      </c>
      <c r="E1408" s="3" t="str">
        <f t="shared" si="248"/>
        <v/>
      </c>
      <c r="F1408" s="3" t="str">
        <f t="shared" si="248"/>
        <v/>
      </c>
      <c r="G1408" s="3" t="str">
        <f t="shared" si="248"/>
        <v/>
      </c>
      <c r="H1408" s="3" t="str">
        <f t="shared" si="248"/>
        <v/>
      </c>
      <c r="I1408" s="3" t="str">
        <f t="shared" si="248"/>
        <v/>
      </c>
      <c r="J1408" s="3" t="str">
        <f t="shared" si="248"/>
        <v/>
      </c>
      <c r="K1408" s="3" t="str">
        <f t="shared" si="248"/>
        <v/>
      </c>
      <c r="L1408" s="3" t="str">
        <f t="shared" si="248"/>
        <v/>
      </c>
      <c r="M1408" s="19" t="str">
        <f>VLOOKUP($A1401,NotaIndividualPorAlunoFIS,RIGHT(L1407,2)+2,0)</f>
        <v/>
      </c>
      <c r="N1408" s="10"/>
      <c r="O1408" s="10"/>
    </row>
    <row r="1409" spans="1:15" ht="15.6" x14ac:dyDescent="0.3">
      <c r="A1409" s="72"/>
      <c r="B1409" s="12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0"/>
      <c r="O1409" s="10"/>
    </row>
    <row r="1410" spans="1:15" ht="15.6" x14ac:dyDescent="0.3">
      <c r="A1410" s="72"/>
      <c r="B1410" s="73" t="s">
        <v>16</v>
      </c>
      <c r="C1410" s="23" t="s">
        <v>41</v>
      </c>
      <c r="D1410" s="58" t="s">
        <v>42</v>
      </c>
      <c r="E1410" s="23" t="s">
        <v>43</v>
      </c>
      <c r="F1410" s="58" t="s">
        <v>44</v>
      </c>
      <c r="G1410" s="23" t="s">
        <v>63</v>
      </c>
      <c r="H1410" s="58" t="s">
        <v>32</v>
      </c>
      <c r="I1410" s="14"/>
      <c r="J1410" s="14"/>
      <c r="K1410" s="14"/>
      <c r="L1410" s="14"/>
      <c r="M1410" s="15" t="s">
        <v>18</v>
      </c>
      <c r="N1410" s="10"/>
      <c r="O1410" s="10"/>
    </row>
    <row r="1411" spans="1:15" ht="15.6" x14ac:dyDescent="0.3">
      <c r="A1411" s="72"/>
      <c r="B1411" s="73"/>
      <c r="C1411" s="26" t="str">
        <f>VLOOKUP($A1401,NotaIndividualPorAlunoRED,2,0)</f>
        <v/>
      </c>
      <c r="D1411" s="26" t="str">
        <f>VLOOKUP($A1401,NotaIndividualPorAlunoRED,3,0)</f>
        <v/>
      </c>
      <c r="E1411" s="26" t="str">
        <f>VLOOKUP($A1401,NotaIndividualPorAlunoRED,4,0)</f>
        <v/>
      </c>
      <c r="F1411" s="26" t="str">
        <f>VLOOKUP($A1401,NotaIndividualPorAlunoRED,5,0)</f>
        <v/>
      </c>
      <c r="G1411" s="26" t="str">
        <f>VLOOKUP($A1401,NotaIndividualPorAlunoRED,6,0)</f>
        <v/>
      </c>
      <c r="H1411" s="21" t="str">
        <f>VLOOKUP($A1401,NotaIndividualPorAlunoRED,7,0)</f>
        <v/>
      </c>
      <c r="I1411" s="14"/>
      <c r="J1411" s="14"/>
      <c r="K1411" s="14"/>
      <c r="L1411" s="14"/>
      <c r="M1411" s="20" t="str">
        <f>VLOOKUP(A1401,NOTAS!C:I,7,0)</f>
        <v/>
      </c>
      <c r="N1411" s="10"/>
      <c r="O1411" s="10"/>
    </row>
    <row r="1412" spans="1:15" x14ac:dyDescent="0.3">
      <c r="A1412" s="72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0"/>
      <c r="O1412" s="10"/>
    </row>
    <row r="1413" spans="1:15" x14ac:dyDescent="0.3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</row>
    <row r="1414" spans="1:15" x14ac:dyDescent="0.3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</row>
    <row r="1415" spans="1:15" x14ac:dyDescent="0.3">
      <c r="A1415" s="58" t="s">
        <v>38</v>
      </c>
      <c r="B1415" s="57" t="s">
        <v>35</v>
      </c>
      <c r="C1415" s="57" t="s">
        <v>56</v>
      </c>
      <c r="D1415" s="57" t="s">
        <v>57</v>
      </c>
      <c r="E1415" s="57" t="s">
        <v>58</v>
      </c>
      <c r="F1415" s="57" t="s">
        <v>59</v>
      </c>
      <c r="G1415" s="57" t="s">
        <v>60</v>
      </c>
      <c r="H1415" s="57" t="s">
        <v>36</v>
      </c>
      <c r="I1415" s="57" t="s">
        <v>61</v>
      </c>
      <c r="J1415" s="57" t="s">
        <v>34</v>
      </c>
      <c r="K1415" s="57" t="s">
        <v>62</v>
      </c>
      <c r="L1415" s="16" t="s">
        <v>33</v>
      </c>
      <c r="M1415" s="57" t="s">
        <v>37</v>
      </c>
      <c r="N1415" s="10"/>
      <c r="O1415" s="10"/>
    </row>
    <row r="1416" spans="1:15" ht="15.6" x14ac:dyDescent="0.3">
      <c r="A1416" s="58" t="str" cm="1">
        <f t="array" ref="A1416">IF(ISERROR(INDEX(ListaDeAlunos,(((ROW()-2)/17)+1),(COLUMN()+1))),"",INDEX(ListaDeAlunos,(((ROW()-2)/17)+1),(COLUMN()+1)))</f>
        <v/>
      </c>
      <c r="B1416" s="17" t="str">
        <f>VLOOKUP($A1416,NotaIndividualPorAlunoPROVAO,2,0)</f>
        <v/>
      </c>
      <c r="C1416" s="18" t="str">
        <f>VLOOKUP($A1416,NotaIndividualPorAlunoPROVAO,3,0)</f>
        <v/>
      </c>
      <c r="D1416" s="17" t="str">
        <f>VLOOKUP($A1416,NotaIndividualPorAlunoPROVAO,4,0)</f>
        <v/>
      </c>
      <c r="E1416" s="18" t="str">
        <f>VLOOKUP($A1416,NotaIndividualPorAlunoPROVAO,5,0)</f>
        <v/>
      </c>
      <c r="F1416" s="17" t="str">
        <f>VLOOKUP($A1416,NotaIndividualPorAlunoPROVAO,6,0)</f>
        <v/>
      </c>
      <c r="G1416" s="18" t="str">
        <f>VLOOKUP($A1416,NotaIndividualPorAlunoPROVAO,7,0)</f>
        <v/>
      </c>
      <c r="H1416" s="17" t="str">
        <f>VLOOKUP($A1416,NotaIndividualPorAlunoPROVAO,8,0)</f>
        <v/>
      </c>
      <c r="I1416" s="18" t="str">
        <f>VLOOKUP($A1416,NotaIndividualPorAlunoPROVAO,9,0)</f>
        <v/>
      </c>
      <c r="J1416" s="17" t="str">
        <f>VLOOKUP($A1416,NotaIndividualPorAlunoPROVAO,10,0)</f>
        <v/>
      </c>
      <c r="K1416" s="18" t="str">
        <f>VLOOKUP($A1416,NotaIndividualPorAlunoPROVAO,11,0)</f>
        <v/>
      </c>
      <c r="L1416" s="15" t="str">
        <f>VLOOKUP($A1416,NotaIndividualPorAlunoPROVAO,12,0)</f>
        <v/>
      </c>
      <c r="M1416" s="25" t="str">
        <f>VLOOKUP($A1416,NotaIndividualPorAlunoPROVAO,13,0)</f>
        <v/>
      </c>
      <c r="N1416" s="10"/>
      <c r="O1416" s="10"/>
    </row>
    <row r="1417" spans="1:15" x14ac:dyDescent="0.3">
      <c r="N1417" s="10"/>
      <c r="O1417" s="10"/>
    </row>
    <row r="1418" spans="1:15" x14ac:dyDescent="0.3">
      <c r="A1418" s="72" t="str">
        <f>A1416</f>
        <v/>
      </c>
      <c r="B1418" s="73" t="s">
        <v>15</v>
      </c>
      <c r="C1418" s="57" t="s">
        <v>2</v>
      </c>
      <c r="D1418" s="57" t="s">
        <v>3</v>
      </c>
      <c r="E1418" s="57" t="s">
        <v>4</v>
      </c>
      <c r="F1418" s="57" t="s">
        <v>5</v>
      </c>
      <c r="G1418" s="57" t="s">
        <v>6</v>
      </c>
      <c r="H1418" s="57" t="s">
        <v>7</v>
      </c>
      <c r="I1418" s="57" t="s">
        <v>8</v>
      </c>
      <c r="J1418" s="57" t="s">
        <v>9</v>
      </c>
      <c r="K1418" s="57" t="s">
        <v>10</v>
      </c>
      <c r="L1418" s="57" t="s">
        <v>11</v>
      </c>
      <c r="M1418" s="57" t="s">
        <v>13</v>
      </c>
      <c r="N1418" s="10"/>
      <c r="O1418" s="10"/>
    </row>
    <row r="1419" spans="1:15" ht="15.6" x14ac:dyDescent="0.3">
      <c r="A1419" s="72"/>
      <c r="B1419" s="73"/>
      <c r="C1419" s="5" t="str">
        <f t="shared" ref="C1419:L1419" si="249">VLOOKUP($A1418,NotaIndividualPorAlunoMAT,RIGHT(C1418,2)+1,0)</f>
        <v/>
      </c>
      <c r="D1419" s="5" t="str">
        <f t="shared" si="249"/>
        <v/>
      </c>
      <c r="E1419" s="5" t="str">
        <f t="shared" si="249"/>
        <v/>
      </c>
      <c r="F1419" s="5" t="str">
        <f t="shared" si="249"/>
        <v/>
      </c>
      <c r="G1419" s="5" t="str">
        <f t="shared" si="249"/>
        <v/>
      </c>
      <c r="H1419" s="5" t="str">
        <f t="shared" si="249"/>
        <v/>
      </c>
      <c r="I1419" s="5" t="str">
        <f t="shared" si="249"/>
        <v/>
      </c>
      <c r="J1419" s="5" t="str">
        <f t="shared" si="249"/>
        <v/>
      </c>
      <c r="K1419" s="5" t="str">
        <f t="shared" si="249"/>
        <v/>
      </c>
      <c r="L1419" s="5" t="str">
        <f t="shared" si="249"/>
        <v/>
      </c>
      <c r="M1419" s="19" t="str">
        <f>VLOOKUP($A1418,NotaIndividualPorAlunoMAT,RIGHT(L1418,2)+2,0)</f>
        <v/>
      </c>
      <c r="N1419" s="10"/>
      <c r="O1419" s="10"/>
    </row>
    <row r="1420" spans="1:15" x14ac:dyDescent="0.3">
      <c r="A1420" s="72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0"/>
      <c r="O1420" s="10"/>
    </row>
    <row r="1421" spans="1:15" x14ac:dyDescent="0.3">
      <c r="A1421" s="72"/>
      <c r="B1421" s="73" t="s">
        <v>14</v>
      </c>
      <c r="C1421" s="57" t="s">
        <v>46</v>
      </c>
      <c r="D1421" s="57" t="s">
        <v>47</v>
      </c>
      <c r="E1421" s="57" t="s">
        <v>48</v>
      </c>
      <c r="F1421" s="57" t="s">
        <v>49</v>
      </c>
      <c r="G1421" s="57" t="s">
        <v>50</v>
      </c>
      <c r="H1421" s="57" t="s">
        <v>51</v>
      </c>
      <c r="I1421" s="57" t="s">
        <v>52</v>
      </c>
      <c r="J1421" s="57" t="s">
        <v>53</v>
      </c>
      <c r="K1421" s="57" t="s">
        <v>54</v>
      </c>
      <c r="L1421" s="57" t="s">
        <v>55</v>
      </c>
      <c r="M1421" s="57" t="s">
        <v>13</v>
      </c>
      <c r="N1421" s="10"/>
      <c r="O1421" s="10"/>
    </row>
    <row r="1422" spans="1:15" ht="15.6" x14ac:dyDescent="0.3">
      <c r="A1422" s="72"/>
      <c r="B1422" s="73"/>
      <c r="C1422" s="3" t="str">
        <f t="shared" ref="C1422:L1422" si="250">VLOOKUP($A1418,NotaIndividualPorAlunoQUI,RIGHT(C1421,2)-9,0)</f>
        <v/>
      </c>
      <c r="D1422" s="3" t="str">
        <f t="shared" si="250"/>
        <v/>
      </c>
      <c r="E1422" s="3" t="str">
        <f t="shared" si="250"/>
        <v/>
      </c>
      <c r="F1422" s="3" t="str">
        <f t="shared" si="250"/>
        <v/>
      </c>
      <c r="G1422" s="3" t="str">
        <f t="shared" si="250"/>
        <v/>
      </c>
      <c r="H1422" s="3" t="str">
        <f t="shared" si="250"/>
        <v/>
      </c>
      <c r="I1422" s="3" t="str">
        <f t="shared" si="250"/>
        <v/>
      </c>
      <c r="J1422" s="3" t="str">
        <f t="shared" si="250"/>
        <v/>
      </c>
      <c r="K1422" s="3" t="str">
        <f t="shared" si="250"/>
        <v/>
      </c>
      <c r="L1422" s="3" t="str">
        <f t="shared" si="250"/>
        <v/>
      </c>
      <c r="M1422" s="19" t="str">
        <f>VLOOKUP($A1418,NotaIndividualPorAlunoQUI,RIGHT(L1421,2)-8,0)</f>
        <v/>
      </c>
      <c r="N1422" s="10"/>
      <c r="O1422" s="10"/>
    </row>
    <row r="1423" spans="1:15" x14ac:dyDescent="0.3">
      <c r="A1423" s="72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0"/>
      <c r="O1423" s="10"/>
    </row>
    <row r="1424" spans="1:15" x14ac:dyDescent="0.3">
      <c r="A1424" s="72"/>
      <c r="B1424" s="73" t="s">
        <v>12</v>
      </c>
      <c r="C1424" s="57" t="s">
        <v>2</v>
      </c>
      <c r="D1424" s="57" t="s">
        <v>3</v>
      </c>
      <c r="E1424" s="57" t="s">
        <v>4</v>
      </c>
      <c r="F1424" s="57" t="s">
        <v>5</v>
      </c>
      <c r="G1424" s="57" t="s">
        <v>6</v>
      </c>
      <c r="H1424" s="57" t="s">
        <v>7</v>
      </c>
      <c r="I1424" s="57" t="s">
        <v>8</v>
      </c>
      <c r="J1424" s="57" t="s">
        <v>9</v>
      </c>
      <c r="K1424" s="57" t="s">
        <v>10</v>
      </c>
      <c r="L1424" s="57" t="s">
        <v>11</v>
      </c>
      <c r="M1424" s="57" t="s">
        <v>13</v>
      </c>
      <c r="N1424" s="10"/>
      <c r="O1424" s="10"/>
    </row>
    <row r="1425" spans="1:15" ht="15.6" x14ac:dyDescent="0.3">
      <c r="A1425" s="72"/>
      <c r="B1425" s="73"/>
      <c r="C1425" s="3" t="str">
        <f t="shared" ref="C1425:L1425" si="251">VLOOKUP($A1418,NotaIndividualPorAlunoFIS,RIGHT(C1424,2)+1,0)</f>
        <v/>
      </c>
      <c r="D1425" s="3" t="str">
        <f t="shared" si="251"/>
        <v/>
      </c>
      <c r="E1425" s="3" t="str">
        <f t="shared" si="251"/>
        <v/>
      </c>
      <c r="F1425" s="3" t="str">
        <f t="shared" si="251"/>
        <v/>
      </c>
      <c r="G1425" s="3" t="str">
        <f t="shared" si="251"/>
        <v/>
      </c>
      <c r="H1425" s="3" t="str">
        <f t="shared" si="251"/>
        <v/>
      </c>
      <c r="I1425" s="3" t="str">
        <f t="shared" si="251"/>
        <v/>
      </c>
      <c r="J1425" s="3" t="str">
        <f t="shared" si="251"/>
        <v/>
      </c>
      <c r="K1425" s="3" t="str">
        <f t="shared" si="251"/>
        <v/>
      </c>
      <c r="L1425" s="3" t="str">
        <f t="shared" si="251"/>
        <v/>
      </c>
      <c r="M1425" s="19" t="str">
        <f>VLOOKUP($A1418,NotaIndividualPorAlunoFIS,RIGHT(L1424,2)+2,0)</f>
        <v/>
      </c>
      <c r="N1425" s="10"/>
      <c r="O1425" s="10"/>
    </row>
    <row r="1426" spans="1:15" ht="15.6" x14ac:dyDescent="0.3">
      <c r="A1426" s="72"/>
      <c r="B1426" s="12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0"/>
      <c r="O1426" s="10"/>
    </row>
    <row r="1427" spans="1:15" ht="15.6" x14ac:dyDescent="0.3">
      <c r="A1427" s="72"/>
      <c r="B1427" s="73" t="s">
        <v>16</v>
      </c>
      <c r="C1427" s="23" t="s">
        <v>41</v>
      </c>
      <c r="D1427" s="58" t="s">
        <v>42</v>
      </c>
      <c r="E1427" s="23" t="s">
        <v>43</v>
      </c>
      <c r="F1427" s="58" t="s">
        <v>44</v>
      </c>
      <c r="G1427" s="23" t="s">
        <v>63</v>
      </c>
      <c r="H1427" s="58" t="s">
        <v>32</v>
      </c>
      <c r="I1427" s="14"/>
      <c r="J1427" s="14"/>
      <c r="K1427" s="14"/>
      <c r="L1427" s="14"/>
      <c r="M1427" s="15" t="s">
        <v>18</v>
      </c>
      <c r="N1427" s="10"/>
      <c r="O1427" s="10"/>
    </row>
    <row r="1428" spans="1:15" ht="15.6" x14ac:dyDescent="0.3">
      <c r="A1428" s="72"/>
      <c r="B1428" s="73"/>
      <c r="C1428" s="26" t="str">
        <f>VLOOKUP($A1418,NotaIndividualPorAlunoRED,2,0)</f>
        <v/>
      </c>
      <c r="D1428" s="26" t="str">
        <f>VLOOKUP($A1418,NotaIndividualPorAlunoRED,3,0)</f>
        <v/>
      </c>
      <c r="E1428" s="26" t="str">
        <f>VLOOKUP($A1418,NotaIndividualPorAlunoRED,4,0)</f>
        <v/>
      </c>
      <c r="F1428" s="26" t="str">
        <f>VLOOKUP($A1418,NotaIndividualPorAlunoRED,5,0)</f>
        <v/>
      </c>
      <c r="G1428" s="26" t="str">
        <f>VLOOKUP($A1418,NotaIndividualPorAlunoRED,6,0)</f>
        <v/>
      </c>
      <c r="H1428" s="21" t="str">
        <f>VLOOKUP($A1418,NotaIndividualPorAlunoRED,7,0)</f>
        <v/>
      </c>
      <c r="I1428" s="14"/>
      <c r="J1428" s="14"/>
      <c r="K1428" s="14"/>
      <c r="L1428" s="14"/>
      <c r="M1428" s="20" t="str">
        <f>VLOOKUP(A1418,NOTAS!C:I,7,0)</f>
        <v/>
      </c>
      <c r="N1428" s="10"/>
      <c r="O1428" s="10"/>
    </row>
    <row r="1429" spans="1:15" x14ac:dyDescent="0.3">
      <c r="A1429" s="72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0"/>
      <c r="O1429" s="10"/>
    </row>
    <row r="1430" spans="1:15" x14ac:dyDescent="0.3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</row>
    <row r="1431" spans="1:15" x14ac:dyDescent="0.3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</row>
    <row r="1432" spans="1:15" x14ac:dyDescent="0.3">
      <c r="A1432" s="58" t="s">
        <v>38</v>
      </c>
      <c r="B1432" s="57" t="s">
        <v>35</v>
      </c>
      <c r="C1432" s="57" t="s">
        <v>56</v>
      </c>
      <c r="D1432" s="57" t="s">
        <v>57</v>
      </c>
      <c r="E1432" s="57" t="s">
        <v>58</v>
      </c>
      <c r="F1432" s="57" t="s">
        <v>59</v>
      </c>
      <c r="G1432" s="57" t="s">
        <v>60</v>
      </c>
      <c r="H1432" s="57" t="s">
        <v>36</v>
      </c>
      <c r="I1432" s="57" t="s">
        <v>61</v>
      </c>
      <c r="J1432" s="57" t="s">
        <v>34</v>
      </c>
      <c r="K1432" s="57" t="s">
        <v>62</v>
      </c>
      <c r="L1432" s="16" t="s">
        <v>33</v>
      </c>
      <c r="M1432" s="57" t="s">
        <v>37</v>
      </c>
      <c r="N1432" s="10"/>
      <c r="O1432" s="10"/>
    </row>
    <row r="1433" spans="1:15" ht="15.6" x14ac:dyDescent="0.3">
      <c r="A1433" s="58" t="str" cm="1">
        <f t="array" ref="A1433">IF(ISERROR(INDEX(ListaDeAlunos,(((ROW()-2)/17)+1),(COLUMN()+1))),"",INDEX(ListaDeAlunos,(((ROW()-2)/17)+1),(COLUMN()+1)))</f>
        <v/>
      </c>
      <c r="B1433" s="17" t="str">
        <f>VLOOKUP($A1433,NotaIndividualPorAlunoPROVAO,2,0)</f>
        <v/>
      </c>
      <c r="C1433" s="18" t="str">
        <f>VLOOKUP($A1433,NotaIndividualPorAlunoPROVAO,3,0)</f>
        <v/>
      </c>
      <c r="D1433" s="17" t="str">
        <f>VLOOKUP($A1433,NotaIndividualPorAlunoPROVAO,4,0)</f>
        <v/>
      </c>
      <c r="E1433" s="18" t="str">
        <f>VLOOKUP($A1433,NotaIndividualPorAlunoPROVAO,5,0)</f>
        <v/>
      </c>
      <c r="F1433" s="17" t="str">
        <f>VLOOKUP($A1433,NotaIndividualPorAlunoPROVAO,6,0)</f>
        <v/>
      </c>
      <c r="G1433" s="18" t="str">
        <f>VLOOKUP($A1433,NotaIndividualPorAlunoPROVAO,7,0)</f>
        <v/>
      </c>
      <c r="H1433" s="17" t="str">
        <f>VLOOKUP($A1433,NotaIndividualPorAlunoPROVAO,8,0)</f>
        <v/>
      </c>
      <c r="I1433" s="18" t="str">
        <f>VLOOKUP($A1433,NotaIndividualPorAlunoPROVAO,9,0)</f>
        <v/>
      </c>
      <c r="J1433" s="17" t="str">
        <f>VLOOKUP($A1433,NotaIndividualPorAlunoPROVAO,10,0)</f>
        <v/>
      </c>
      <c r="K1433" s="18" t="str">
        <f>VLOOKUP($A1433,NotaIndividualPorAlunoPROVAO,11,0)</f>
        <v/>
      </c>
      <c r="L1433" s="15" t="str">
        <f>VLOOKUP($A1433,NotaIndividualPorAlunoPROVAO,12,0)</f>
        <v/>
      </c>
      <c r="M1433" s="25" t="str">
        <f>VLOOKUP($A1433,NotaIndividualPorAlunoPROVAO,13,0)</f>
        <v/>
      </c>
      <c r="N1433" s="10"/>
      <c r="O1433" s="10"/>
    </row>
    <row r="1434" spans="1:15" x14ac:dyDescent="0.3">
      <c r="N1434" s="10"/>
      <c r="O1434" s="10"/>
    </row>
    <row r="1435" spans="1:15" x14ac:dyDescent="0.3">
      <c r="A1435" s="72" t="str">
        <f>A1433</f>
        <v/>
      </c>
      <c r="B1435" s="73" t="s">
        <v>15</v>
      </c>
      <c r="C1435" s="57" t="s">
        <v>2</v>
      </c>
      <c r="D1435" s="57" t="s">
        <v>3</v>
      </c>
      <c r="E1435" s="57" t="s">
        <v>4</v>
      </c>
      <c r="F1435" s="57" t="s">
        <v>5</v>
      </c>
      <c r="G1435" s="57" t="s">
        <v>6</v>
      </c>
      <c r="H1435" s="57" t="s">
        <v>7</v>
      </c>
      <c r="I1435" s="57" t="s">
        <v>8</v>
      </c>
      <c r="J1435" s="57" t="s">
        <v>9</v>
      </c>
      <c r="K1435" s="57" t="s">
        <v>10</v>
      </c>
      <c r="L1435" s="57" t="s">
        <v>11</v>
      </c>
      <c r="M1435" s="57" t="s">
        <v>13</v>
      </c>
      <c r="N1435" s="10"/>
      <c r="O1435" s="10"/>
    </row>
    <row r="1436" spans="1:15" ht="15.6" x14ac:dyDescent="0.3">
      <c r="A1436" s="72"/>
      <c r="B1436" s="73"/>
      <c r="C1436" s="5" t="str">
        <f t="shared" ref="C1436:L1436" si="252">VLOOKUP($A1435,NotaIndividualPorAlunoMAT,RIGHT(C1435,2)+1,0)</f>
        <v/>
      </c>
      <c r="D1436" s="5" t="str">
        <f t="shared" si="252"/>
        <v/>
      </c>
      <c r="E1436" s="5" t="str">
        <f t="shared" si="252"/>
        <v/>
      </c>
      <c r="F1436" s="5" t="str">
        <f t="shared" si="252"/>
        <v/>
      </c>
      <c r="G1436" s="5" t="str">
        <f t="shared" si="252"/>
        <v/>
      </c>
      <c r="H1436" s="5" t="str">
        <f t="shared" si="252"/>
        <v/>
      </c>
      <c r="I1436" s="5" t="str">
        <f t="shared" si="252"/>
        <v/>
      </c>
      <c r="J1436" s="5" t="str">
        <f t="shared" si="252"/>
        <v/>
      </c>
      <c r="K1436" s="5" t="str">
        <f t="shared" si="252"/>
        <v/>
      </c>
      <c r="L1436" s="5" t="str">
        <f t="shared" si="252"/>
        <v/>
      </c>
      <c r="M1436" s="19" t="str">
        <f>VLOOKUP($A1435,NotaIndividualPorAlunoMAT,RIGHT(L1435,2)+2,0)</f>
        <v/>
      </c>
      <c r="N1436" s="10"/>
      <c r="O1436" s="10"/>
    </row>
    <row r="1437" spans="1:15" x14ac:dyDescent="0.3">
      <c r="A1437" s="72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0"/>
      <c r="O1437" s="10"/>
    </row>
    <row r="1438" spans="1:15" x14ac:dyDescent="0.3">
      <c r="A1438" s="72"/>
      <c r="B1438" s="73" t="s">
        <v>14</v>
      </c>
      <c r="C1438" s="57" t="s">
        <v>46</v>
      </c>
      <c r="D1438" s="57" t="s">
        <v>47</v>
      </c>
      <c r="E1438" s="57" t="s">
        <v>48</v>
      </c>
      <c r="F1438" s="57" t="s">
        <v>49</v>
      </c>
      <c r="G1438" s="57" t="s">
        <v>50</v>
      </c>
      <c r="H1438" s="57" t="s">
        <v>51</v>
      </c>
      <c r="I1438" s="57" t="s">
        <v>52</v>
      </c>
      <c r="J1438" s="57" t="s">
        <v>53</v>
      </c>
      <c r="K1438" s="57" t="s">
        <v>54</v>
      </c>
      <c r="L1438" s="57" t="s">
        <v>55</v>
      </c>
      <c r="M1438" s="57" t="s">
        <v>13</v>
      </c>
      <c r="N1438" s="10"/>
      <c r="O1438" s="10"/>
    </row>
    <row r="1439" spans="1:15" ht="15.6" x14ac:dyDescent="0.3">
      <c r="A1439" s="72"/>
      <c r="B1439" s="73"/>
      <c r="C1439" s="3" t="str">
        <f t="shared" ref="C1439:L1439" si="253">VLOOKUP($A1435,NotaIndividualPorAlunoQUI,RIGHT(C1438,2)-9,0)</f>
        <v/>
      </c>
      <c r="D1439" s="3" t="str">
        <f t="shared" si="253"/>
        <v/>
      </c>
      <c r="E1439" s="3" t="str">
        <f t="shared" si="253"/>
        <v/>
      </c>
      <c r="F1439" s="3" t="str">
        <f t="shared" si="253"/>
        <v/>
      </c>
      <c r="G1439" s="3" t="str">
        <f t="shared" si="253"/>
        <v/>
      </c>
      <c r="H1439" s="3" t="str">
        <f t="shared" si="253"/>
        <v/>
      </c>
      <c r="I1439" s="3" t="str">
        <f t="shared" si="253"/>
        <v/>
      </c>
      <c r="J1439" s="3" t="str">
        <f t="shared" si="253"/>
        <v/>
      </c>
      <c r="K1439" s="3" t="str">
        <f t="shared" si="253"/>
        <v/>
      </c>
      <c r="L1439" s="3" t="str">
        <f t="shared" si="253"/>
        <v/>
      </c>
      <c r="M1439" s="19" t="str">
        <f>VLOOKUP($A1435,NotaIndividualPorAlunoQUI,RIGHT(L1438,2)-8,0)</f>
        <v/>
      </c>
      <c r="N1439" s="10"/>
      <c r="O1439" s="10"/>
    </row>
    <row r="1440" spans="1:15" x14ac:dyDescent="0.3">
      <c r="A1440" s="72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0"/>
      <c r="O1440" s="10"/>
    </row>
    <row r="1441" spans="1:15" x14ac:dyDescent="0.3">
      <c r="A1441" s="72"/>
      <c r="B1441" s="73" t="s">
        <v>12</v>
      </c>
      <c r="C1441" s="57" t="s">
        <v>2</v>
      </c>
      <c r="D1441" s="57" t="s">
        <v>3</v>
      </c>
      <c r="E1441" s="57" t="s">
        <v>4</v>
      </c>
      <c r="F1441" s="57" t="s">
        <v>5</v>
      </c>
      <c r="G1441" s="57" t="s">
        <v>6</v>
      </c>
      <c r="H1441" s="57" t="s">
        <v>7</v>
      </c>
      <c r="I1441" s="57" t="s">
        <v>8</v>
      </c>
      <c r="J1441" s="57" t="s">
        <v>9</v>
      </c>
      <c r="K1441" s="57" t="s">
        <v>10</v>
      </c>
      <c r="L1441" s="57" t="s">
        <v>11</v>
      </c>
      <c r="M1441" s="57" t="s">
        <v>13</v>
      </c>
      <c r="N1441" s="10"/>
      <c r="O1441" s="10"/>
    </row>
    <row r="1442" spans="1:15" ht="15.6" x14ac:dyDescent="0.3">
      <c r="A1442" s="72"/>
      <c r="B1442" s="73"/>
      <c r="C1442" s="3" t="str">
        <f t="shared" ref="C1442:L1442" si="254">VLOOKUP($A1435,NotaIndividualPorAlunoFIS,RIGHT(C1441,2)+1,0)</f>
        <v/>
      </c>
      <c r="D1442" s="3" t="str">
        <f t="shared" si="254"/>
        <v/>
      </c>
      <c r="E1442" s="3" t="str">
        <f t="shared" si="254"/>
        <v/>
      </c>
      <c r="F1442" s="3" t="str">
        <f t="shared" si="254"/>
        <v/>
      </c>
      <c r="G1442" s="3" t="str">
        <f t="shared" si="254"/>
        <v/>
      </c>
      <c r="H1442" s="3" t="str">
        <f t="shared" si="254"/>
        <v/>
      </c>
      <c r="I1442" s="3" t="str">
        <f t="shared" si="254"/>
        <v/>
      </c>
      <c r="J1442" s="3" t="str">
        <f t="shared" si="254"/>
        <v/>
      </c>
      <c r="K1442" s="3" t="str">
        <f t="shared" si="254"/>
        <v/>
      </c>
      <c r="L1442" s="3" t="str">
        <f t="shared" si="254"/>
        <v/>
      </c>
      <c r="M1442" s="19" t="str">
        <f>VLOOKUP($A1435,NotaIndividualPorAlunoFIS,RIGHT(L1441,2)+2,0)</f>
        <v/>
      </c>
      <c r="N1442" s="10"/>
      <c r="O1442" s="10"/>
    </row>
    <row r="1443" spans="1:15" ht="15.6" x14ac:dyDescent="0.3">
      <c r="A1443" s="72"/>
      <c r="B1443" s="12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0"/>
      <c r="O1443" s="10"/>
    </row>
    <row r="1444" spans="1:15" ht="15.6" x14ac:dyDescent="0.3">
      <c r="A1444" s="72"/>
      <c r="B1444" s="73" t="s">
        <v>16</v>
      </c>
      <c r="C1444" s="23" t="s">
        <v>41</v>
      </c>
      <c r="D1444" s="58" t="s">
        <v>42</v>
      </c>
      <c r="E1444" s="23" t="s">
        <v>43</v>
      </c>
      <c r="F1444" s="58" t="s">
        <v>44</v>
      </c>
      <c r="G1444" s="23" t="s">
        <v>63</v>
      </c>
      <c r="H1444" s="58" t="s">
        <v>32</v>
      </c>
      <c r="I1444" s="14"/>
      <c r="J1444" s="14"/>
      <c r="K1444" s="14"/>
      <c r="L1444" s="14"/>
      <c r="M1444" s="15" t="s">
        <v>18</v>
      </c>
      <c r="N1444" s="10"/>
      <c r="O1444" s="10"/>
    </row>
    <row r="1445" spans="1:15" ht="15.6" x14ac:dyDescent="0.3">
      <c r="A1445" s="72"/>
      <c r="B1445" s="73"/>
      <c r="C1445" s="26" t="str">
        <f>VLOOKUP($A1435,NotaIndividualPorAlunoRED,2,0)</f>
        <v/>
      </c>
      <c r="D1445" s="26" t="str">
        <f>VLOOKUP($A1435,NotaIndividualPorAlunoRED,3,0)</f>
        <v/>
      </c>
      <c r="E1445" s="26" t="str">
        <f>VLOOKUP($A1435,NotaIndividualPorAlunoRED,4,0)</f>
        <v/>
      </c>
      <c r="F1445" s="26" t="str">
        <f>VLOOKUP($A1435,NotaIndividualPorAlunoRED,5,0)</f>
        <v/>
      </c>
      <c r="G1445" s="26" t="str">
        <f>VLOOKUP($A1435,NotaIndividualPorAlunoRED,6,0)</f>
        <v/>
      </c>
      <c r="H1445" s="21" t="str">
        <f>VLOOKUP($A1435,NotaIndividualPorAlunoRED,7,0)</f>
        <v/>
      </c>
      <c r="I1445" s="14"/>
      <c r="J1445" s="14"/>
      <c r="K1445" s="14"/>
      <c r="L1445" s="14"/>
      <c r="M1445" s="20" t="str">
        <f>VLOOKUP(A1435,NOTAS!C:I,7,0)</f>
        <v/>
      </c>
      <c r="N1445" s="10"/>
      <c r="O1445" s="10"/>
    </row>
    <row r="1446" spans="1:15" x14ac:dyDescent="0.3">
      <c r="A1446" s="72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0"/>
      <c r="O1446" s="10"/>
    </row>
    <row r="1447" spans="1:15" x14ac:dyDescent="0.3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</row>
    <row r="1448" spans="1:15" x14ac:dyDescent="0.3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</row>
    <row r="1449" spans="1:15" x14ac:dyDescent="0.3">
      <c r="A1449" s="58" t="s">
        <v>38</v>
      </c>
      <c r="B1449" s="57" t="s">
        <v>35</v>
      </c>
      <c r="C1449" s="57" t="s">
        <v>56</v>
      </c>
      <c r="D1449" s="57" t="s">
        <v>57</v>
      </c>
      <c r="E1449" s="57" t="s">
        <v>58</v>
      </c>
      <c r="F1449" s="57" t="s">
        <v>59</v>
      </c>
      <c r="G1449" s="57" t="s">
        <v>60</v>
      </c>
      <c r="H1449" s="57" t="s">
        <v>36</v>
      </c>
      <c r="I1449" s="57" t="s">
        <v>61</v>
      </c>
      <c r="J1449" s="57" t="s">
        <v>34</v>
      </c>
      <c r="K1449" s="57" t="s">
        <v>62</v>
      </c>
      <c r="L1449" s="16" t="s">
        <v>33</v>
      </c>
      <c r="M1449" s="57" t="s">
        <v>37</v>
      </c>
      <c r="N1449" s="10"/>
      <c r="O1449" s="10"/>
    </row>
    <row r="1450" spans="1:15" ht="15.6" x14ac:dyDescent="0.3">
      <c r="A1450" s="58" t="str" cm="1">
        <f t="array" ref="A1450">IF(ISERROR(INDEX(ListaDeAlunos,(((ROW()-2)/17)+1),(COLUMN()+1))),"",INDEX(ListaDeAlunos,(((ROW()-2)/17)+1),(COLUMN()+1)))</f>
        <v/>
      </c>
      <c r="B1450" s="17" t="str">
        <f>VLOOKUP($A1450,NotaIndividualPorAlunoPROVAO,2,0)</f>
        <v/>
      </c>
      <c r="C1450" s="18" t="str">
        <f>VLOOKUP($A1450,NotaIndividualPorAlunoPROVAO,3,0)</f>
        <v/>
      </c>
      <c r="D1450" s="17" t="str">
        <f>VLOOKUP($A1450,NotaIndividualPorAlunoPROVAO,4,0)</f>
        <v/>
      </c>
      <c r="E1450" s="18" t="str">
        <f>VLOOKUP($A1450,NotaIndividualPorAlunoPROVAO,5,0)</f>
        <v/>
      </c>
      <c r="F1450" s="17" t="str">
        <f>VLOOKUP($A1450,NotaIndividualPorAlunoPROVAO,6,0)</f>
        <v/>
      </c>
      <c r="G1450" s="18" t="str">
        <f>VLOOKUP($A1450,NotaIndividualPorAlunoPROVAO,7,0)</f>
        <v/>
      </c>
      <c r="H1450" s="17" t="str">
        <f>VLOOKUP($A1450,NotaIndividualPorAlunoPROVAO,8,0)</f>
        <v/>
      </c>
      <c r="I1450" s="18" t="str">
        <f>VLOOKUP($A1450,NotaIndividualPorAlunoPROVAO,9,0)</f>
        <v/>
      </c>
      <c r="J1450" s="17" t="str">
        <f>VLOOKUP($A1450,NotaIndividualPorAlunoPROVAO,10,0)</f>
        <v/>
      </c>
      <c r="K1450" s="18" t="str">
        <f>VLOOKUP($A1450,NotaIndividualPorAlunoPROVAO,11,0)</f>
        <v/>
      </c>
      <c r="L1450" s="15" t="str">
        <f>VLOOKUP($A1450,NotaIndividualPorAlunoPROVAO,12,0)</f>
        <v/>
      </c>
      <c r="M1450" s="25" t="str">
        <f>VLOOKUP($A1450,NotaIndividualPorAlunoPROVAO,13,0)</f>
        <v/>
      </c>
      <c r="N1450" s="10"/>
      <c r="O1450" s="10"/>
    </row>
    <row r="1451" spans="1:15" x14ac:dyDescent="0.3">
      <c r="N1451" s="10"/>
      <c r="O1451" s="10"/>
    </row>
    <row r="1452" spans="1:15" x14ac:dyDescent="0.3">
      <c r="A1452" s="72" t="str">
        <f>A1450</f>
        <v/>
      </c>
      <c r="B1452" s="73" t="s">
        <v>15</v>
      </c>
      <c r="C1452" s="57" t="s">
        <v>2</v>
      </c>
      <c r="D1452" s="57" t="s">
        <v>3</v>
      </c>
      <c r="E1452" s="57" t="s">
        <v>4</v>
      </c>
      <c r="F1452" s="57" t="s">
        <v>5</v>
      </c>
      <c r="G1452" s="57" t="s">
        <v>6</v>
      </c>
      <c r="H1452" s="57" t="s">
        <v>7</v>
      </c>
      <c r="I1452" s="57" t="s">
        <v>8</v>
      </c>
      <c r="J1452" s="57" t="s">
        <v>9</v>
      </c>
      <c r="K1452" s="57" t="s">
        <v>10</v>
      </c>
      <c r="L1452" s="57" t="s">
        <v>11</v>
      </c>
      <c r="M1452" s="57" t="s">
        <v>13</v>
      </c>
      <c r="N1452" s="10"/>
      <c r="O1452" s="10"/>
    </row>
    <row r="1453" spans="1:15" ht="15.6" x14ac:dyDescent="0.3">
      <c r="A1453" s="72"/>
      <c r="B1453" s="73"/>
      <c r="C1453" s="5" t="str">
        <f t="shared" ref="C1453:L1453" si="255">VLOOKUP($A1452,NotaIndividualPorAlunoMAT,RIGHT(C1452,2)+1,0)</f>
        <v/>
      </c>
      <c r="D1453" s="5" t="str">
        <f t="shared" si="255"/>
        <v/>
      </c>
      <c r="E1453" s="5" t="str">
        <f t="shared" si="255"/>
        <v/>
      </c>
      <c r="F1453" s="5" t="str">
        <f t="shared" si="255"/>
        <v/>
      </c>
      <c r="G1453" s="5" t="str">
        <f t="shared" si="255"/>
        <v/>
      </c>
      <c r="H1453" s="5" t="str">
        <f t="shared" si="255"/>
        <v/>
      </c>
      <c r="I1453" s="5" t="str">
        <f t="shared" si="255"/>
        <v/>
      </c>
      <c r="J1453" s="5" t="str">
        <f t="shared" si="255"/>
        <v/>
      </c>
      <c r="K1453" s="5" t="str">
        <f t="shared" si="255"/>
        <v/>
      </c>
      <c r="L1453" s="5" t="str">
        <f t="shared" si="255"/>
        <v/>
      </c>
      <c r="M1453" s="19" t="str">
        <f>VLOOKUP($A1452,NotaIndividualPorAlunoMAT,RIGHT(L1452,2)+2,0)</f>
        <v/>
      </c>
      <c r="N1453" s="10"/>
      <c r="O1453" s="10"/>
    </row>
    <row r="1454" spans="1:15" x14ac:dyDescent="0.3">
      <c r="A1454" s="72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0"/>
      <c r="O1454" s="10"/>
    </row>
    <row r="1455" spans="1:15" x14ac:dyDescent="0.3">
      <c r="A1455" s="72"/>
      <c r="B1455" s="73" t="s">
        <v>14</v>
      </c>
      <c r="C1455" s="57" t="s">
        <v>46</v>
      </c>
      <c r="D1455" s="57" t="s">
        <v>47</v>
      </c>
      <c r="E1455" s="57" t="s">
        <v>48</v>
      </c>
      <c r="F1455" s="57" t="s">
        <v>49</v>
      </c>
      <c r="G1455" s="57" t="s">
        <v>50</v>
      </c>
      <c r="H1455" s="57" t="s">
        <v>51</v>
      </c>
      <c r="I1455" s="57" t="s">
        <v>52</v>
      </c>
      <c r="J1455" s="57" t="s">
        <v>53</v>
      </c>
      <c r="K1455" s="57" t="s">
        <v>54</v>
      </c>
      <c r="L1455" s="57" t="s">
        <v>55</v>
      </c>
      <c r="M1455" s="57" t="s">
        <v>13</v>
      </c>
      <c r="N1455" s="10"/>
      <c r="O1455" s="10"/>
    </row>
    <row r="1456" spans="1:15" ht="15.6" x14ac:dyDescent="0.3">
      <c r="A1456" s="72"/>
      <c r="B1456" s="73"/>
      <c r="C1456" s="3" t="str">
        <f t="shared" ref="C1456:L1456" si="256">VLOOKUP($A1452,NotaIndividualPorAlunoQUI,RIGHT(C1455,2)-9,0)</f>
        <v/>
      </c>
      <c r="D1456" s="3" t="str">
        <f t="shared" si="256"/>
        <v/>
      </c>
      <c r="E1456" s="3" t="str">
        <f t="shared" si="256"/>
        <v/>
      </c>
      <c r="F1456" s="3" t="str">
        <f t="shared" si="256"/>
        <v/>
      </c>
      <c r="G1456" s="3" t="str">
        <f t="shared" si="256"/>
        <v/>
      </c>
      <c r="H1456" s="3" t="str">
        <f t="shared" si="256"/>
        <v/>
      </c>
      <c r="I1456" s="3" t="str">
        <f t="shared" si="256"/>
        <v/>
      </c>
      <c r="J1456" s="3" t="str">
        <f t="shared" si="256"/>
        <v/>
      </c>
      <c r="K1456" s="3" t="str">
        <f t="shared" si="256"/>
        <v/>
      </c>
      <c r="L1456" s="3" t="str">
        <f t="shared" si="256"/>
        <v/>
      </c>
      <c r="M1456" s="19" t="str">
        <f>VLOOKUP($A1452,NotaIndividualPorAlunoQUI,RIGHT(L1455,2)-8,0)</f>
        <v/>
      </c>
      <c r="N1456" s="10"/>
      <c r="O1456" s="10"/>
    </row>
    <row r="1457" spans="1:15" x14ac:dyDescent="0.3">
      <c r="A1457" s="72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0"/>
      <c r="O1457" s="10"/>
    </row>
    <row r="1458" spans="1:15" x14ac:dyDescent="0.3">
      <c r="A1458" s="72"/>
      <c r="B1458" s="73" t="s">
        <v>12</v>
      </c>
      <c r="C1458" s="57" t="s">
        <v>2</v>
      </c>
      <c r="D1458" s="57" t="s">
        <v>3</v>
      </c>
      <c r="E1458" s="57" t="s">
        <v>4</v>
      </c>
      <c r="F1458" s="57" t="s">
        <v>5</v>
      </c>
      <c r="G1458" s="57" t="s">
        <v>6</v>
      </c>
      <c r="H1458" s="57" t="s">
        <v>7</v>
      </c>
      <c r="I1458" s="57" t="s">
        <v>8</v>
      </c>
      <c r="J1458" s="57" t="s">
        <v>9</v>
      </c>
      <c r="K1458" s="57" t="s">
        <v>10</v>
      </c>
      <c r="L1458" s="57" t="s">
        <v>11</v>
      </c>
      <c r="M1458" s="57" t="s">
        <v>13</v>
      </c>
      <c r="N1458" s="10"/>
      <c r="O1458" s="10"/>
    </row>
    <row r="1459" spans="1:15" ht="15.6" x14ac:dyDescent="0.3">
      <c r="A1459" s="72"/>
      <c r="B1459" s="73"/>
      <c r="C1459" s="3" t="str">
        <f t="shared" ref="C1459:L1459" si="257">VLOOKUP($A1452,NotaIndividualPorAlunoFIS,RIGHT(C1458,2)+1,0)</f>
        <v/>
      </c>
      <c r="D1459" s="3" t="str">
        <f t="shared" si="257"/>
        <v/>
      </c>
      <c r="E1459" s="3" t="str">
        <f t="shared" si="257"/>
        <v/>
      </c>
      <c r="F1459" s="3" t="str">
        <f t="shared" si="257"/>
        <v/>
      </c>
      <c r="G1459" s="3" t="str">
        <f t="shared" si="257"/>
        <v/>
      </c>
      <c r="H1459" s="3" t="str">
        <f t="shared" si="257"/>
        <v/>
      </c>
      <c r="I1459" s="3" t="str">
        <f t="shared" si="257"/>
        <v/>
      </c>
      <c r="J1459" s="3" t="str">
        <f t="shared" si="257"/>
        <v/>
      </c>
      <c r="K1459" s="3" t="str">
        <f t="shared" si="257"/>
        <v/>
      </c>
      <c r="L1459" s="3" t="str">
        <f t="shared" si="257"/>
        <v/>
      </c>
      <c r="M1459" s="19" t="str">
        <f>VLOOKUP($A1452,NotaIndividualPorAlunoFIS,RIGHT(L1458,2)+2,0)</f>
        <v/>
      </c>
      <c r="N1459" s="10"/>
      <c r="O1459" s="10"/>
    </row>
    <row r="1460" spans="1:15" ht="15.6" x14ac:dyDescent="0.3">
      <c r="A1460" s="72"/>
      <c r="B1460" s="12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0"/>
      <c r="O1460" s="10"/>
    </row>
    <row r="1461" spans="1:15" ht="15.6" x14ac:dyDescent="0.3">
      <c r="A1461" s="72"/>
      <c r="B1461" s="73" t="s">
        <v>16</v>
      </c>
      <c r="C1461" s="23" t="s">
        <v>41</v>
      </c>
      <c r="D1461" s="58" t="s">
        <v>42</v>
      </c>
      <c r="E1461" s="23" t="s">
        <v>43</v>
      </c>
      <c r="F1461" s="58" t="s">
        <v>44</v>
      </c>
      <c r="G1461" s="23" t="s">
        <v>63</v>
      </c>
      <c r="H1461" s="58" t="s">
        <v>32</v>
      </c>
      <c r="I1461" s="14"/>
      <c r="J1461" s="14"/>
      <c r="K1461" s="14"/>
      <c r="L1461" s="14"/>
      <c r="M1461" s="15" t="s">
        <v>18</v>
      </c>
      <c r="N1461" s="10"/>
      <c r="O1461" s="10"/>
    </row>
    <row r="1462" spans="1:15" ht="15.6" x14ac:dyDescent="0.3">
      <c r="A1462" s="72"/>
      <c r="B1462" s="73"/>
      <c r="C1462" s="26" t="str">
        <f>VLOOKUP($A1452,NotaIndividualPorAlunoRED,2,0)</f>
        <v/>
      </c>
      <c r="D1462" s="26" t="str">
        <f>VLOOKUP($A1452,NotaIndividualPorAlunoRED,3,0)</f>
        <v/>
      </c>
      <c r="E1462" s="26" t="str">
        <f>VLOOKUP($A1452,NotaIndividualPorAlunoRED,4,0)</f>
        <v/>
      </c>
      <c r="F1462" s="26" t="str">
        <f>VLOOKUP($A1452,NotaIndividualPorAlunoRED,5,0)</f>
        <v/>
      </c>
      <c r="G1462" s="26" t="str">
        <f>VLOOKUP($A1452,NotaIndividualPorAlunoRED,6,0)</f>
        <v/>
      </c>
      <c r="H1462" s="21" t="str">
        <f>VLOOKUP($A1452,NotaIndividualPorAlunoRED,7,0)</f>
        <v/>
      </c>
      <c r="I1462" s="14"/>
      <c r="J1462" s="14"/>
      <c r="K1462" s="14"/>
      <c r="L1462" s="14"/>
      <c r="M1462" s="20" t="str">
        <f>VLOOKUP(A1452,NOTAS!C:I,7,0)</f>
        <v/>
      </c>
      <c r="N1462" s="10"/>
      <c r="O1462" s="10"/>
    </row>
    <row r="1463" spans="1:15" x14ac:dyDescent="0.3">
      <c r="A1463" s="72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0"/>
      <c r="O1463" s="10"/>
    </row>
    <row r="1464" spans="1:15" x14ac:dyDescent="0.3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</row>
    <row r="1465" spans="1:15" x14ac:dyDescent="0.3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</row>
    <row r="1466" spans="1:15" x14ac:dyDescent="0.3">
      <c r="A1466" s="58" t="s">
        <v>38</v>
      </c>
      <c r="B1466" s="57" t="s">
        <v>35</v>
      </c>
      <c r="C1466" s="57" t="s">
        <v>56</v>
      </c>
      <c r="D1466" s="57" t="s">
        <v>57</v>
      </c>
      <c r="E1466" s="57" t="s">
        <v>58</v>
      </c>
      <c r="F1466" s="57" t="s">
        <v>59</v>
      </c>
      <c r="G1466" s="57" t="s">
        <v>60</v>
      </c>
      <c r="H1466" s="57" t="s">
        <v>36</v>
      </c>
      <c r="I1466" s="57" t="s">
        <v>61</v>
      </c>
      <c r="J1466" s="57" t="s">
        <v>34</v>
      </c>
      <c r="K1466" s="57" t="s">
        <v>62</v>
      </c>
      <c r="L1466" s="16" t="s">
        <v>33</v>
      </c>
      <c r="M1466" s="57" t="s">
        <v>37</v>
      </c>
      <c r="N1466" s="10"/>
      <c r="O1466" s="10"/>
    </row>
    <row r="1467" spans="1:15" ht="15.6" x14ac:dyDescent="0.3">
      <c r="A1467" s="58" t="str" cm="1">
        <f t="array" ref="A1467">IF(ISERROR(INDEX(ListaDeAlunos,(((ROW()-2)/17)+1),(COLUMN()+1))),"",INDEX(ListaDeAlunos,(((ROW()-2)/17)+1),(COLUMN()+1)))</f>
        <v/>
      </c>
      <c r="B1467" s="17" t="str">
        <f>VLOOKUP($A1467,NotaIndividualPorAlunoPROVAO,2,0)</f>
        <v/>
      </c>
      <c r="C1467" s="18" t="str">
        <f>VLOOKUP($A1467,NotaIndividualPorAlunoPROVAO,3,0)</f>
        <v/>
      </c>
      <c r="D1467" s="17" t="str">
        <f>VLOOKUP($A1467,NotaIndividualPorAlunoPROVAO,4,0)</f>
        <v/>
      </c>
      <c r="E1467" s="18" t="str">
        <f>VLOOKUP($A1467,NotaIndividualPorAlunoPROVAO,5,0)</f>
        <v/>
      </c>
      <c r="F1467" s="17" t="str">
        <f>VLOOKUP($A1467,NotaIndividualPorAlunoPROVAO,6,0)</f>
        <v/>
      </c>
      <c r="G1467" s="18" t="str">
        <f>VLOOKUP($A1467,NotaIndividualPorAlunoPROVAO,7,0)</f>
        <v/>
      </c>
      <c r="H1467" s="17" t="str">
        <f>VLOOKUP($A1467,NotaIndividualPorAlunoPROVAO,8,0)</f>
        <v/>
      </c>
      <c r="I1467" s="18" t="str">
        <f>VLOOKUP($A1467,NotaIndividualPorAlunoPROVAO,9,0)</f>
        <v/>
      </c>
      <c r="J1467" s="17" t="str">
        <f>VLOOKUP($A1467,NotaIndividualPorAlunoPROVAO,10,0)</f>
        <v/>
      </c>
      <c r="K1467" s="18" t="str">
        <f>VLOOKUP($A1467,NotaIndividualPorAlunoPROVAO,11,0)</f>
        <v/>
      </c>
      <c r="L1467" s="15" t="str">
        <f>VLOOKUP($A1467,NotaIndividualPorAlunoPROVAO,12,0)</f>
        <v/>
      </c>
      <c r="M1467" s="25" t="str">
        <f>VLOOKUP($A1467,NotaIndividualPorAlunoPROVAO,13,0)</f>
        <v/>
      </c>
      <c r="N1467" s="10"/>
      <c r="O1467" s="10"/>
    </row>
    <row r="1468" spans="1:15" x14ac:dyDescent="0.3">
      <c r="N1468" s="10"/>
      <c r="O1468" s="10"/>
    </row>
    <row r="1469" spans="1:15" x14ac:dyDescent="0.3">
      <c r="A1469" s="72" t="str">
        <f>A1467</f>
        <v/>
      </c>
      <c r="B1469" s="73" t="s">
        <v>15</v>
      </c>
      <c r="C1469" s="57" t="s">
        <v>2</v>
      </c>
      <c r="D1469" s="57" t="s">
        <v>3</v>
      </c>
      <c r="E1469" s="57" t="s">
        <v>4</v>
      </c>
      <c r="F1469" s="57" t="s">
        <v>5</v>
      </c>
      <c r="G1469" s="57" t="s">
        <v>6</v>
      </c>
      <c r="H1469" s="57" t="s">
        <v>7</v>
      </c>
      <c r="I1469" s="57" t="s">
        <v>8</v>
      </c>
      <c r="J1469" s="57" t="s">
        <v>9</v>
      </c>
      <c r="K1469" s="57" t="s">
        <v>10</v>
      </c>
      <c r="L1469" s="57" t="s">
        <v>11</v>
      </c>
      <c r="M1469" s="57" t="s">
        <v>13</v>
      </c>
      <c r="N1469" s="10"/>
      <c r="O1469" s="10"/>
    </row>
    <row r="1470" spans="1:15" ht="15.6" x14ac:dyDescent="0.3">
      <c r="A1470" s="72"/>
      <c r="B1470" s="73"/>
      <c r="C1470" s="5" t="str">
        <f t="shared" ref="C1470:L1470" si="258">VLOOKUP($A1469,NotaIndividualPorAlunoMAT,RIGHT(C1469,2)+1,0)</f>
        <v/>
      </c>
      <c r="D1470" s="5" t="str">
        <f t="shared" si="258"/>
        <v/>
      </c>
      <c r="E1470" s="5" t="str">
        <f t="shared" si="258"/>
        <v/>
      </c>
      <c r="F1470" s="5" t="str">
        <f t="shared" si="258"/>
        <v/>
      </c>
      <c r="G1470" s="5" t="str">
        <f t="shared" si="258"/>
        <v/>
      </c>
      <c r="H1470" s="5" t="str">
        <f t="shared" si="258"/>
        <v/>
      </c>
      <c r="I1470" s="5" t="str">
        <f t="shared" si="258"/>
        <v/>
      </c>
      <c r="J1470" s="5" t="str">
        <f t="shared" si="258"/>
        <v/>
      </c>
      <c r="K1470" s="5" t="str">
        <f t="shared" si="258"/>
        <v/>
      </c>
      <c r="L1470" s="5" t="str">
        <f t="shared" si="258"/>
        <v/>
      </c>
      <c r="M1470" s="19" t="str">
        <f>VLOOKUP($A1469,NotaIndividualPorAlunoMAT,RIGHT(L1469,2)+2,0)</f>
        <v/>
      </c>
      <c r="N1470" s="10"/>
      <c r="O1470" s="10"/>
    </row>
    <row r="1471" spans="1:15" x14ac:dyDescent="0.3">
      <c r="A1471" s="72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0"/>
      <c r="O1471" s="10"/>
    </row>
    <row r="1472" spans="1:15" x14ac:dyDescent="0.3">
      <c r="A1472" s="72"/>
      <c r="B1472" s="73" t="s">
        <v>14</v>
      </c>
      <c r="C1472" s="57" t="s">
        <v>46</v>
      </c>
      <c r="D1472" s="57" t="s">
        <v>47</v>
      </c>
      <c r="E1472" s="57" t="s">
        <v>48</v>
      </c>
      <c r="F1472" s="57" t="s">
        <v>49</v>
      </c>
      <c r="G1472" s="57" t="s">
        <v>50</v>
      </c>
      <c r="H1472" s="57" t="s">
        <v>51</v>
      </c>
      <c r="I1472" s="57" t="s">
        <v>52</v>
      </c>
      <c r="J1472" s="57" t="s">
        <v>53</v>
      </c>
      <c r="K1472" s="57" t="s">
        <v>54</v>
      </c>
      <c r="L1472" s="57" t="s">
        <v>55</v>
      </c>
      <c r="M1472" s="57" t="s">
        <v>13</v>
      </c>
      <c r="N1472" s="10"/>
      <c r="O1472" s="10"/>
    </row>
    <row r="1473" spans="1:15" ht="15.6" x14ac:dyDescent="0.3">
      <c r="A1473" s="72"/>
      <c r="B1473" s="73"/>
      <c r="C1473" s="3" t="str">
        <f t="shared" ref="C1473:L1473" si="259">VLOOKUP($A1469,NotaIndividualPorAlunoQUI,RIGHT(C1472,2)-9,0)</f>
        <v/>
      </c>
      <c r="D1473" s="3" t="str">
        <f t="shared" si="259"/>
        <v/>
      </c>
      <c r="E1473" s="3" t="str">
        <f t="shared" si="259"/>
        <v/>
      </c>
      <c r="F1473" s="3" t="str">
        <f t="shared" si="259"/>
        <v/>
      </c>
      <c r="G1473" s="3" t="str">
        <f t="shared" si="259"/>
        <v/>
      </c>
      <c r="H1473" s="3" t="str">
        <f t="shared" si="259"/>
        <v/>
      </c>
      <c r="I1473" s="3" t="str">
        <f t="shared" si="259"/>
        <v/>
      </c>
      <c r="J1473" s="3" t="str">
        <f t="shared" si="259"/>
        <v/>
      </c>
      <c r="K1473" s="3" t="str">
        <f t="shared" si="259"/>
        <v/>
      </c>
      <c r="L1473" s="3" t="str">
        <f t="shared" si="259"/>
        <v/>
      </c>
      <c r="M1473" s="19" t="str">
        <f>VLOOKUP($A1469,NotaIndividualPorAlunoQUI,RIGHT(L1472,2)-8,0)</f>
        <v/>
      </c>
      <c r="N1473" s="10"/>
      <c r="O1473" s="10"/>
    </row>
    <row r="1474" spans="1:15" x14ac:dyDescent="0.3">
      <c r="A1474" s="72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0"/>
      <c r="O1474" s="10"/>
    </row>
    <row r="1475" spans="1:15" x14ac:dyDescent="0.3">
      <c r="A1475" s="72"/>
      <c r="B1475" s="73" t="s">
        <v>12</v>
      </c>
      <c r="C1475" s="57" t="s">
        <v>2</v>
      </c>
      <c r="D1475" s="57" t="s">
        <v>3</v>
      </c>
      <c r="E1475" s="57" t="s">
        <v>4</v>
      </c>
      <c r="F1475" s="57" t="s">
        <v>5</v>
      </c>
      <c r="G1475" s="57" t="s">
        <v>6</v>
      </c>
      <c r="H1475" s="57" t="s">
        <v>7</v>
      </c>
      <c r="I1475" s="57" t="s">
        <v>8</v>
      </c>
      <c r="J1475" s="57" t="s">
        <v>9</v>
      </c>
      <c r="K1475" s="57" t="s">
        <v>10</v>
      </c>
      <c r="L1475" s="57" t="s">
        <v>11</v>
      </c>
      <c r="M1475" s="57" t="s">
        <v>13</v>
      </c>
      <c r="N1475" s="10"/>
      <c r="O1475" s="10"/>
    </row>
    <row r="1476" spans="1:15" ht="15.6" x14ac:dyDescent="0.3">
      <c r="A1476" s="72"/>
      <c r="B1476" s="73"/>
      <c r="C1476" s="3" t="str">
        <f t="shared" ref="C1476:L1476" si="260">VLOOKUP($A1469,NotaIndividualPorAlunoFIS,RIGHT(C1475,2)+1,0)</f>
        <v/>
      </c>
      <c r="D1476" s="3" t="str">
        <f t="shared" si="260"/>
        <v/>
      </c>
      <c r="E1476" s="3" t="str">
        <f t="shared" si="260"/>
        <v/>
      </c>
      <c r="F1476" s="3" t="str">
        <f t="shared" si="260"/>
        <v/>
      </c>
      <c r="G1476" s="3" t="str">
        <f t="shared" si="260"/>
        <v/>
      </c>
      <c r="H1476" s="3" t="str">
        <f t="shared" si="260"/>
        <v/>
      </c>
      <c r="I1476" s="3" t="str">
        <f t="shared" si="260"/>
        <v/>
      </c>
      <c r="J1476" s="3" t="str">
        <f t="shared" si="260"/>
        <v/>
      </c>
      <c r="K1476" s="3" t="str">
        <f t="shared" si="260"/>
        <v/>
      </c>
      <c r="L1476" s="3" t="str">
        <f t="shared" si="260"/>
        <v/>
      </c>
      <c r="M1476" s="19" t="str">
        <f>VLOOKUP($A1469,NotaIndividualPorAlunoFIS,RIGHT(L1475,2)+2,0)</f>
        <v/>
      </c>
      <c r="N1476" s="10"/>
      <c r="O1476" s="10"/>
    </row>
    <row r="1477" spans="1:15" ht="15.6" x14ac:dyDescent="0.3">
      <c r="A1477" s="72"/>
      <c r="B1477" s="12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0"/>
      <c r="O1477" s="10"/>
    </row>
    <row r="1478" spans="1:15" ht="15.6" x14ac:dyDescent="0.3">
      <c r="A1478" s="72"/>
      <c r="B1478" s="73" t="s">
        <v>16</v>
      </c>
      <c r="C1478" s="23" t="s">
        <v>41</v>
      </c>
      <c r="D1478" s="58" t="s">
        <v>42</v>
      </c>
      <c r="E1478" s="23" t="s">
        <v>43</v>
      </c>
      <c r="F1478" s="58" t="s">
        <v>44</v>
      </c>
      <c r="G1478" s="23" t="s">
        <v>63</v>
      </c>
      <c r="H1478" s="58" t="s">
        <v>32</v>
      </c>
      <c r="I1478" s="14"/>
      <c r="J1478" s="14"/>
      <c r="K1478" s="14"/>
      <c r="L1478" s="14"/>
      <c r="M1478" s="15" t="s">
        <v>18</v>
      </c>
      <c r="N1478" s="10"/>
      <c r="O1478" s="10"/>
    </row>
    <row r="1479" spans="1:15" ht="15.6" x14ac:dyDescent="0.3">
      <c r="A1479" s="72"/>
      <c r="B1479" s="73"/>
      <c r="C1479" s="26" t="str">
        <f>VLOOKUP($A1469,NotaIndividualPorAlunoRED,2,0)</f>
        <v/>
      </c>
      <c r="D1479" s="26" t="str">
        <f>VLOOKUP($A1469,NotaIndividualPorAlunoRED,3,0)</f>
        <v/>
      </c>
      <c r="E1479" s="26" t="str">
        <f>VLOOKUP($A1469,NotaIndividualPorAlunoRED,4,0)</f>
        <v/>
      </c>
      <c r="F1479" s="26" t="str">
        <f>VLOOKUP($A1469,NotaIndividualPorAlunoRED,5,0)</f>
        <v/>
      </c>
      <c r="G1479" s="26" t="str">
        <f>VLOOKUP($A1469,NotaIndividualPorAlunoRED,6,0)</f>
        <v/>
      </c>
      <c r="H1479" s="21" t="str">
        <f>VLOOKUP($A1469,NotaIndividualPorAlunoRED,7,0)</f>
        <v/>
      </c>
      <c r="I1479" s="14"/>
      <c r="J1479" s="14"/>
      <c r="K1479" s="14"/>
      <c r="L1479" s="14"/>
      <c r="M1479" s="20" t="str">
        <f>VLOOKUP(A1469,NOTAS!C:I,7,0)</f>
        <v/>
      </c>
      <c r="N1479" s="10"/>
      <c r="O1479" s="10"/>
    </row>
    <row r="1480" spans="1:15" x14ac:dyDescent="0.3">
      <c r="A1480" s="72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0"/>
      <c r="O1480" s="10"/>
    </row>
    <row r="1481" spans="1:15" x14ac:dyDescent="0.3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</row>
    <row r="1482" spans="1:15" x14ac:dyDescent="0.3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</row>
    <row r="1483" spans="1:15" x14ac:dyDescent="0.3">
      <c r="A1483" s="58" t="s">
        <v>38</v>
      </c>
      <c r="B1483" s="57" t="s">
        <v>35</v>
      </c>
      <c r="C1483" s="57" t="s">
        <v>56</v>
      </c>
      <c r="D1483" s="57" t="s">
        <v>57</v>
      </c>
      <c r="E1483" s="57" t="s">
        <v>58</v>
      </c>
      <c r="F1483" s="57" t="s">
        <v>59</v>
      </c>
      <c r="G1483" s="57" t="s">
        <v>60</v>
      </c>
      <c r="H1483" s="57" t="s">
        <v>36</v>
      </c>
      <c r="I1483" s="57" t="s">
        <v>61</v>
      </c>
      <c r="J1483" s="57" t="s">
        <v>34</v>
      </c>
      <c r="K1483" s="57" t="s">
        <v>62</v>
      </c>
      <c r="L1483" s="16" t="s">
        <v>33</v>
      </c>
      <c r="M1483" s="57" t="s">
        <v>37</v>
      </c>
      <c r="N1483" s="10"/>
      <c r="O1483" s="10"/>
    </row>
    <row r="1484" spans="1:15" ht="15.6" x14ac:dyDescent="0.3">
      <c r="A1484" s="58" t="str" cm="1">
        <f t="array" ref="A1484">IF(ISERROR(INDEX(ListaDeAlunos,(((ROW()-2)/17)+1),(COLUMN()+1))),"",INDEX(ListaDeAlunos,(((ROW()-2)/17)+1),(COLUMN()+1)))</f>
        <v/>
      </c>
      <c r="B1484" s="17" t="str">
        <f>VLOOKUP($A1484,NotaIndividualPorAlunoPROVAO,2,0)</f>
        <v/>
      </c>
      <c r="C1484" s="18" t="str">
        <f>VLOOKUP($A1484,NotaIndividualPorAlunoPROVAO,3,0)</f>
        <v/>
      </c>
      <c r="D1484" s="17" t="str">
        <f>VLOOKUP($A1484,NotaIndividualPorAlunoPROVAO,4,0)</f>
        <v/>
      </c>
      <c r="E1484" s="18" t="str">
        <f>VLOOKUP($A1484,NotaIndividualPorAlunoPROVAO,5,0)</f>
        <v/>
      </c>
      <c r="F1484" s="17" t="str">
        <f>VLOOKUP($A1484,NotaIndividualPorAlunoPROVAO,6,0)</f>
        <v/>
      </c>
      <c r="G1484" s="18" t="str">
        <f>VLOOKUP($A1484,NotaIndividualPorAlunoPROVAO,7,0)</f>
        <v/>
      </c>
      <c r="H1484" s="17" t="str">
        <f>VLOOKUP($A1484,NotaIndividualPorAlunoPROVAO,8,0)</f>
        <v/>
      </c>
      <c r="I1484" s="18" t="str">
        <f>VLOOKUP($A1484,NotaIndividualPorAlunoPROVAO,9,0)</f>
        <v/>
      </c>
      <c r="J1484" s="17" t="str">
        <f>VLOOKUP($A1484,NotaIndividualPorAlunoPROVAO,10,0)</f>
        <v/>
      </c>
      <c r="K1484" s="18" t="str">
        <f>VLOOKUP($A1484,NotaIndividualPorAlunoPROVAO,11,0)</f>
        <v/>
      </c>
      <c r="L1484" s="15" t="str">
        <f>VLOOKUP($A1484,NotaIndividualPorAlunoPROVAO,12,0)</f>
        <v/>
      </c>
      <c r="M1484" s="25" t="str">
        <f>VLOOKUP($A1484,NotaIndividualPorAlunoPROVAO,13,0)</f>
        <v/>
      </c>
      <c r="N1484" s="10"/>
      <c r="O1484" s="10"/>
    </row>
    <row r="1485" spans="1:15" x14ac:dyDescent="0.3">
      <c r="N1485" s="10"/>
      <c r="O1485" s="10"/>
    </row>
    <row r="1486" spans="1:15" x14ac:dyDescent="0.3">
      <c r="A1486" s="72" t="str">
        <f>A1484</f>
        <v/>
      </c>
      <c r="B1486" s="73" t="s">
        <v>15</v>
      </c>
      <c r="C1486" s="57" t="s">
        <v>2</v>
      </c>
      <c r="D1486" s="57" t="s">
        <v>3</v>
      </c>
      <c r="E1486" s="57" t="s">
        <v>4</v>
      </c>
      <c r="F1486" s="57" t="s">
        <v>5</v>
      </c>
      <c r="G1486" s="57" t="s">
        <v>6</v>
      </c>
      <c r="H1486" s="57" t="s">
        <v>7</v>
      </c>
      <c r="I1486" s="57" t="s">
        <v>8</v>
      </c>
      <c r="J1486" s="57" t="s">
        <v>9</v>
      </c>
      <c r="K1486" s="57" t="s">
        <v>10</v>
      </c>
      <c r="L1486" s="57" t="s">
        <v>11</v>
      </c>
      <c r="M1486" s="57" t="s">
        <v>13</v>
      </c>
      <c r="N1486" s="10"/>
      <c r="O1486" s="10"/>
    </row>
    <row r="1487" spans="1:15" ht="15.6" x14ac:dyDescent="0.3">
      <c r="A1487" s="72"/>
      <c r="B1487" s="73"/>
      <c r="C1487" s="5" t="str">
        <f t="shared" ref="C1487:L1487" si="261">VLOOKUP($A1486,NotaIndividualPorAlunoMAT,RIGHT(C1486,2)+1,0)</f>
        <v/>
      </c>
      <c r="D1487" s="5" t="str">
        <f t="shared" si="261"/>
        <v/>
      </c>
      <c r="E1487" s="5" t="str">
        <f t="shared" si="261"/>
        <v/>
      </c>
      <c r="F1487" s="5" t="str">
        <f t="shared" si="261"/>
        <v/>
      </c>
      <c r="G1487" s="5" t="str">
        <f t="shared" si="261"/>
        <v/>
      </c>
      <c r="H1487" s="5" t="str">
        <f t="shared" si="261"/>
        <v/>
      </c>
      <c r="I1487" s="5" t="str">
        <f t="shared" si="261"/>
        <v/>
      </c>
      <c r="J1487" s="5" t="str">
        <f t="shared" si="261"/>
        <v/>
      </c>
      <c r="K1487" s="5" t="str">
        <f t="shared" si="261"/>
        <v/>
      </c>
      <c r="L1487" s="5" t="str">
        <f t="shared" si="261"/>
        <v/>
      </c>
      <c r="M1487" s="19" t="str">
        <f>VLOOKUP($A1486,NotaIndividualPorAlunoMAT,RIGHT(L1486,2)+2,0)</f>
        <v/>
      </c>
      <c r="N1487" s="10"/>
      <c r="O1487" s="10"/>
    </row>
    <row r="1488" spans="1:15" x14ac:dyDescent="0.3">
      <c r="A1488" s="72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0"/>
      <c r="O1488" s="10"/>
    </row>
    <row r="1489" spans="1:15" x14ac:dyDescent="0.3">
      <c r="A1489" s="72"/>
      <c r="B1489" s="73" t="s">
        <v>14</v>
      </c>
      <c r="C1489" s="57" t="s">
        <v>46</v>
      </c>
      <c r="D1489" s="57" t="s">
        <v>47</v>
      </c>
      <c r="E1489" s="57" t="s">
        <v>48</v>
      </c>
      <c r="F1489" s="57" t="s">
        <v>49</v>
      </c>
      <c r="G1489" s="57" t="s">
        <v>50</v>
      </c>
      <c r="H1489" s="57" t="s">
        <v>51</v>
      </c>
      <c r="I1489" s="57" t="s">
        <v>52</v>
      </c>
      <c r="J1489" s="57" t="s">
        <v>53</v>
      </c>
      <c r="K1489" s="57" t="s">
        <v>54</v>
      </c>
      <c r="L1489" s="57" t="s">
        <v>55</v>
      </c>
      <c r="M1489" s="57" t="s">
        <v>13</v>
      </c>
      <c r="N1489" s="10"/>
      <c r="O1489" s="10"/>
    </row>
    <row r="1490" spans="1:15" ht="15.6" x14ac:dyDescent="0.3">
      <c r="A1490" s="72"/>
      <c r="B1490" s="73"/>
      <c r="C1490" s="3" t="str">
        <f t="shared" ref="C1490:L1490" si="262">VLOOKUP($A1486,NotaIndividualPorAlunoQUI,RIGHT(C1489,2)-9,0)</f>
        <v/>
      </c>
      <c r="D1490" s="3" t="str">
        <f t="shared" si="262"/>
        <v/>
      </c>
      <c r="E1490" s="3" t="str">
        <f t="shared" si="262"/>
        <v/>
      </c>
      <c r="F1490" s="3" t="str">
        <f t="shared" si="262"/>
        <v/>
      </c>
      <c r="G1490" s="3" t="str">
        <f t="shared" si="262"/>
        <v/>
      </c>
      <c r="H1490" s="3" t="str">
        <f t="shared" si="262"/>
        <v/>
      </c>
      <c r="I1490" s="3" t="str">
        <f t="shared" si="262"/>
        <v/>
      </c>
      <c r="J1490" s="3" t="str">
        <f t="shared" si="262"/>
        <v/>
      </c>
      <c r="K1490" s="3" t="str">
        <f t="shared" si="262"/>
        <v/>
      </c>
      <c r="L1490" s="3" t="str">
        <f t="shared" si="262"/>
        <v/>
      </c>
      <c r="M1490" s="19" t="str">
        <f>VLOOKUP($A1486,NotaIndividualPorAlunoQUI,RIGHT(L1489,2)-8,0)</f>
        <v/>
      </c>
      <c r="N1490" s="10"/>
      <c r="O1490" s="10"/>
    </row>
    <row r="1491" spans="1:15" x14ac:dyDescent="0.3">
      <c r="A1491" s="72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0"/>
      <c r="O1491" s="10"/>
    </row>
    <row r="1492" spans="1:15" x14ac:dyDescent="0.3">
      <c r="A1492" s="72"/>
      <c r="B1492" s="73" t="s">
        <v>12</v>
      </c>
      <c r="C1492" s="57" t="s">
        <v>2</v>
      </c>
      <c r="D1492" s="57" t="s">
        <v>3</v>
      </c>
      <c r="E1492" s="57" t="s">
        <v>4</v>
      </c>
      <c r="F1492" s="57" t="s">
        <v>5</v>
      </c>
      <c r="G1492" s="57" t="s">
        <v>6</v>
      </c>
      <c r="H1492" s="57" t="s">
        <v>7</v>
      </c>
      <c r="I1492" s="57" t="s">
        <v>8</v>
      </c>
      <c r="J1492" s="57" t="s">
        <v>9</v>
      </c>
      <c r="K1492" s="57" t="s">
        <v>10</v>
      </c>
      <c r="L1492" s="57" t="s">
        <v>11</v>
      </c>
      <c r="M1492" s="57" t="s">
        <v>13</v>
      </c>
      <c r="N1492" s="10"/>
      <c r="O1492" s="10"/>
    </row>
    <row r="1493" spans="1:15" ht="15.6" x14ac:dyDescent="0.3">
      <c r="A1493" s="72"/>
      <c r="B1493" s="73"/>
      <c r="C1493" s="3" t="str">
        <f t="shared" ref="C1493:L1493" si="263">VLOOKUP($A1486,NotaIndividualPorAlunoFIS,RIGHT(C1492,2)+1,0)</f>
        <v/>
      </c>
      <c r="D1493" s="3" t="str">
        <f t="shared" si="263"/>
        <v/>
      </c>
      <c r="E1493" s="3" t="str">
        <f t="shared" si="263"/>
        <v/>
      </c>
      <c r="F1493" s="3" t="str">
        <f t="shared" si="263"/>
        <v/>
      </c>
      <c r="G1493" s="3" t="str">
        <f t="shared" si="263"/>
        <v/>
      </c>
      <c r="H1493" s="3" t="str">
        <f t="shared" si="263"/>
        <v/>
      </c>
      <c r="I1493" s="3" t="str">
        <f t="shared" si="263"/>
        <v/>
      </c>
      <c r="J1493" s="3" t="str">
        <f t="shared" si="263"/>
        <v/>
      </c>
      <c r="K1493" s="3" t="str">
        <f t="shared" si="263"/>
        <v/>
      </c>
      <c r="L1493" s="3" t="str">
        <f t="shared" si="263"/>
        <v/>
      </c>
      <c r="M1493" s="19" t="str">
        <f>VLOOKUP($A1486,NotaIndividualPorAlunoFIS,RIGHT(L1492,2)+2,0)</f>
        <v/>
      </c>
      <c r="N1493" s="10"/>
      <c r="O1493" s="10"/>
    </row>
    <row r="1494" spans="1:15" ht="15.6" x14ac:dyDescent="0.3">
      <c r="A1494" s="72"/>
      <c r="B1494" s="12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0"/>
      <c r="O1494" s="10"/>
    </row>
    <row r="1495" spans="1:15" ht="15.6" x14ac:dyDescent="0.3">
      <c r="A1495" s="72"/>
      <c r="B1495" s="73" t="s">
        <v>16</v>
      </c>
      <c r="C1495" s="23" t="s">
        <v>41</v>
      </c>
      <c r="D1495" s="58" t="s">
        <v>42</v>
      </c>
      <c r="E1495" s="23" t="s">
        <v>43</v>
      </c>
      <c r="F1495" s="58" t="s">
        <v>44</v>
      </c>
      <c r="G1495" s="23" t="s">
        <v>63</v>
      </c>
      <c r="H1495" s="58" t="s">
        <v>32</v>
      </c>
      <c r="I1495" s="14"/>
      <c r="J1495" s="14"/>
      <c r="K1495" s="14"/>
      <c r="L1495" s="14"/>
      <c r="M1495" s="15" t="s">
        <v>18</v>
      </c>
      <c r="N1495" s="10"/>
      <c r="O1495" s="10"/>
    </row>
    <row r="1496" spans="1:15" ht="15.6" x14ac:dyDescent="0.3">
      <c r="A1496" s="72"/>
      <c r="B1496" s="73"/>
      <c r="C1496" s="26" t="str">
        <f>VLOOKUP($A1486,NotaIndividualPorAlunoRED,2,0)</f>
        <v/>
      </c>
      <c r="D1496" s="26" t="str">
        <f>VLOOKUP($A1486,NotaIndividualPorAlunoRED,3,0)</f>
        <v/>
      </c>
      <c r="E1496" s="26" t="str">
        <f>VLOOKUP($A1486,NotaIndividualPorAlunoRED,4,0)</f>
        <v/>
      </c>
      <c r="F1496" s="26" t="str">
        <f>VLOOKUP($A1486,NotaIndividualPorAlunoRED,5,0)</f>
        <v/>
      </c>
      <c r="G1496" s="26" t="str">
        <f>VLOOKUP($A1486,NotaIndividualPorAlunoRED,6,0)</f>
        <v/>
      </c>
      <c r="H1496" s="21" t="str">
        <f>VLOOKUP($A1486,NotaIndividualPorAlunoRED,7,0)</f>
        <v/>
      </c>
      <c r="I1496" s="14"/>
      <c r="J1496" s="14"/>
      <c r="K1496" s="14"/>
      <c r="L1496" s="14"/>
      <c r="M1496" s="20" t="str">
        <f>VLOOKUP(A1486,NOTAS!C:I,7,0)</f>
        <v/>
      </c>
      <c r="N1496" s="10"/>
      <c r="O1496" s="10"/>
    </row>
    <row r="1497" spans="1:15" x14ac:dyDescent="0.3">
      <c r="A1497" s="72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0"/>
      <c r="O1497" s="10"/>
    </row>
    <row r="1498" spans="1:15" x14ac:dyDescent="0.3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</row>
    <row r="1499" spans="1:15" x14ac:dyDescent="0.3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</row>
    <row r="1500" spans="1:15" x14ac:dyDescent="0.3">
      <c r="A1500" s="58" t="s">
        <v>38</v>
      </c>
      <c r="B1500" s="57" t="s">
        <v>35</v>
      </c>
      <c r="C1500" s="57" t="s">
        <v>56</v>
      </c>
      <c r="D1500" s="57" t="s">
        <v>57</v>
      </c>
      <c r="E1500" s="57" t="s">
        <v>58</v>
      </c>
      <c r="F1500" s="57" t="s">
        <v>59</v>
      </c>
      <c r="G1500" s="57" t="s">
        <v>60</v>
      </c>
      <c r="H1500" s="57" t="s">
        <v>36</v>
      </c>
      <c r="I1500" s="57" t="s">
        <v>61</v>
      </c>
      <c r="J1500" s="57" t="s">
        <v>34</v>
      </c>
      <c r="K1500" s="57" t="s">
        <v>62</v>
      </c>
      <c r="L1500" s="16" t="s">
        <v>33</v>
      </c>
      <c r="M1500" s="57" t="s">
        <v>37</v>
      </c>
      <c r="N1500" s="10"/>
      <c r="O1500" s="10"/>
    </row>
    <row r="1501" spans="1:15" ht="15.6" x14ac:dyDescent="0.3">
      <c r="A1501" s="58" t="str" cm="1">
        <f t="array" ref="A1501">IF(ISERROR(INDEX(ListaDeAlunos,(((ROW()-2)/17)+1),(COLUMN()+1))),"",INDEX(ListaDeAlunos,(((ROW()-2)/17)+1),(COLUMN()+1)))</f>
        <v/>
      </c>
      <c r="B1501" s="17" t="str">
        <f>VLOOKUP($A1501,NotaIndividualPorAlunoPROVAO,2,0)</f>
        <v/>
      </c>
      <c r="C1501" s="18" t="str">
        <f>VLOOKUP($A1501,NotaIndividualPorAlunoPROVAO,3,0)</f>
        <v/>
      </c>
      <c r="D1501" s="17" t="str">
        <f>VLOOKUP($A1501,NotaIndividualPorAlunoPROVAO,4,0)</f>
        <v/>
      </c>
      <c r="E1501" s="18" t="str">
        <f>VLOOKUP($A1501,NotaIndividualPorAlunoPROVAO,5,0)</f>
        <v/>
      </c>
      <c r="F1501" s="17" t="str">
        <f>VLOOKUP($A1501,NotaIndividualPorAlunoPROVAO,6,0)</f>
        <v/>
      </c>
      <c r="G1501" s="18" t="str">
        <f>VLOOKUP($A1501,NotaIndividualPorAlunoPROVAO,7,0)</f>
        <v/>
      </c>
      <c r="H1501" s="17" t="str">
        <f>VLOOKUP($A1501,NotaIndividualPorAlunoPROVAO,8,0)</f>
        <v/>
      </c>
      <c r="I1501" s="18" t="str">
        <f>VLOOKUP($A1501,NotaIndividualPorAlunoPROVAO,9,0)</f>
        <v/>
      </c>
      <c r="J1501" s="17" t="str">
        <f>VLOOKUP($A1501,NotaIndividualPorAlunoPROVAO,10,0)</f>
        <v/>
      </c>
      <c r="K1501" s="18" t="str">
        <f>VLOOKUP($A1501,NotaIndividualPorAlunoPROVAO,11,0)</f>
        <v/>
      </c>
      <c r="L1501" s="15" t="str">
        <f>VLOOKUP($A1501,NotaIndividualPorAlunoPROVAO,12,0)</f>
        <v/>
      </c>
      <c r="M1501" s="25" t="str">
        <f>VLOOKUP($A1501,NotaIndividualPorAlunoPROVAO,13,0)</f>
        <v/>
      </c>
      <c r="N1501" s="10"/>
      <c r="O1501" s="10"/>
    </row>
    <row r="1502" spans="1:15" x14ac:dyDescent="0.3">
      <c r="N1502" s="10"/>
      <c r="O1502" s="10"/>
    </row>
    <row r="1503" spans="1:15" x14ac:dyDescent="0.3">
      <c r="A1503" s="72" t="str">
        <f>A1501</f>
        <v/>
      </c>
      <c r="B1503" s="73" t="s">
        <v>15</v>
      </c>
      <c r="C1503" s="57" t="s">
        <v>2</v>
      </c>
      <c r="D1503" s="57" t="s">
        <v>3</v>
      </c>
      <c r="E1503" s="57" t="s">
        <v>4</v>
      </c>
      <c r="F1503" s="57" t="s">
        <v>5</v>
      </c>
      <c r="G1503" s="57" t="s">
        <v>6</v>
      </c>
      <c r="H1503" s="57" t="s">
        <v>7</v>
      </c>
      <c r="I1503" s="57" t="s">
        <v>8</v>
      </c>
      <c r="J1503" s="57" t="s">
        <v>9</v>
      </c>
      <c r="K1503" s="57" t="s">
        <v>10</v>
      </c>
      <c r="L1503" s="57" t="s">
        <v>11</v>
      </c>
      <c r="M1503" s="57" t="s">
        <v>13</v>
      </c>
      <c r="N1503" s="10"/>
      <c r="O1503" s="10"/>
    </row>
    <row r="1504" spans="1:15" ht="15.6" x14ac:dyDescent="0.3">
      <c r="A1504" s="72"/>
      <c r="B1504" s="73"/>
      <c r="C1504" s="5" t="str">
        <f t="shared" ref="C1504:L1504" si="264">VLOOKUP($A1503,NotaIndividualPorAlunoMAT,RIGHT(C1503,2)+1,0)</f>
        <v/>
      </c>
      <c r="D1504" s="5" t="str">
        <f t="shared" si="264"/>
        <v/>
      </c>
      <c r="E1504" s="5" t="str">
        <f t="shared" si="264"/>
        <v/>
      </c>
      <c r="F1504" s="5" t="str">
        <f t="shared" si="264"/>
        <v/>
      </c>
      <c r="G1504" s="5" t="str">
        <f t="shared" si="264"/>
        <v/>
      </c>
      <c r="H1504" s="5" t="str">
        <f t="shared" si="264"/>
        <v/>
      </c>
      <c r="I1504" s="5" t="str">
        <f t="shared" si="264"/>
        <v/>
      </c>
      <c r="J1504" s="5" t="str">
        <f t="shared" si="264"/>
        <v/>
      </c>
      <c r="K1504" s="5" t="str">
        <f t="shared" si="264"/>
        <v/>
      </c>
      <c r="L1504" s="5" t="str">
        <f t="shared" si="264"/>
        <v/>
      </c>
      <c r="M1504" s="19" t="str">
        <f>VLOOKUP($A1503,NotaIndividualPorAlunoMAT,RIGHT(L1503,2)+2,0)</f>
        <v/>
      </c>
      <c r="N1504" s="10"/>
      <c r="O1504" s="10"/>
    </row>
    <row r="1505" spans="1:15" x14ac:dyDescent="0.3">
      <c r="A1505" s="72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0"/>
      <c r="O1505" s="10"/>
    </row>
    <row r="1506" spans="1:15" x14ac:dyDescent="0.3">
      <c r="A1506" s="72"/>
      <c r="B1506" s="73" t="s">
        <v>14</v>
      </c>
      <c r="C1506" s="57" t="s">
        <v>46</v>
      </c>
      <c r="D1506" s="57" t="s">
        <v>47</v>
      </c>
      <c r="E1506" s="57" t="s">
        <v>48</v>
      </c>
      <c r="F1506" s="57" t="s">
        <v>49</v>
      </c>
      <c r="G1506" s="57" t="s">
        <v>50</v>
      </c>
      <c r="H1506" s="57" t="s">
        <v>51</v>
      </c>
      <c r="I1506" s="57" t="s">
        <v>52</v>
      </c>
      <c r="J1506" s="57" t="s">
        <v>53</v>
      </c>
      <c r="K1506" s="57" t="s">
        <v>54</v>
      </c>
      <c r="L1506" s="57" t="s">
        <v>55</v>
      </c>
      <c r="M1506" s="57" t="s">
        <v>13</v>
      </c>
      <c r="N1506" s="10"/>
      <c r="O1506" s="10"/>
    </row>
    <row r="1507" spans="1:15" ht="15.6" x14ac:dyDescent="0.3">
      <c r="A1507" s="72"/>
      <c r="B1507" s="73"/>
      <c r="C1507" s="3" t="str">
        <f t="shared" ref="C1507:L1507" si="265">VLOOKUP($A1503,NotaIndividualPorAlunoQUI,RIGHT(C1506,2)-9,0)</f>
        <v/>
      </c>
      <c r="D1507" s="3" t="str">
        <f t="shared" si="265"/>
        <v/>
      </c>
      <c r="E1507" s="3" t="str">
        <f t="shared" si="265"/>
        <v/>
      </c>
      <c r="F1507" s="3" t="str">
        <f t="shared" si="265"/>
        <v/>
      </c>
      <c r="G1507" s="3" t="str">
        <f t="shared" si="265"/>
        <v/>
      </c>
      <c r="H1507" s="3" t="str">
        <f t="shared" si="265"/>
        <v/>
      </c>
      <c r="I1507" s="3" t="str">
        <f t="shared" si="265"/>
        <v/>
      </c>
      <c r="J1507" s="3" t="str">
        <f t="shared" si="265"/>
        <v/>
      </c>
      <c r="K1507" s="3" t="str">
        <f t="shared" si="265"/>
        <v/>
      </c>
      <c r="L1507" s="3" t="str">
        <f t="shared" si="265"/>
        <v/>
      </c>
      <c r="M1507" s="19" t="str">
        <f>VLOOKUP($A1503,NotaIndividualPorAlunoQUI,RIGHT(L1506,2)-8,0)</f>
        <v/>
      </c>
      <c r="N1507" s="10"/>
      <c r="O1507" s="10"/>
    </row>
    <row r="1508" spans="1:15" x14ac:dyDescent="0.3">
      <c r="A1508" s="72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0"/>
      <c r="O1508" s="10"/>
    </row>
    <row r="1509" spans="1:15" x14ac:dyDescent="0.3">
      <c r="A1509" s="72"/>
      <c r="B1509" s="73" t="s">
        <v>12</v>
      </c>
      <c r="C1509" s="57" t="s">
        <v>2</v>
      </c>
      <c r="D1509" s="57" t="s">
        <v>3</v>
      </c>
      <c r="E1509" s="57" t="s">
        <v>4</v>
      </c>
      <c r="F1509" s="57" t="s">
        <v>5</v>
      </c>
      <c r="G1509" s="57" t="s">
        <v>6</v>
      </c>
      <c r="H1509" s="57" t="s">
        <v>7</v>
      </c>
      <c r="I1509" s="57" t="s">
        <v>8</v>
      </c>
      <c r="J1509" s="57" t="s">
        <v>9</v>
      </c>
      <c r="K1509" s="57" t="s">
        <v>10</v>
      </c>
      <c r="L1509" s="57" t="s">
        <v>11</v>
      </c>
      <c r="M1509" s="57" t="s">
        <v>13</v>
      </c>
      <c r="N1509" s="10"/>
      <c r="O1509" s="10"/>
    </row>
    <row r="1510" spans="1:15" ht="15.6" x14ac:dyDescent="0.3">
      <c r="A1510" s="72"/>
      <c r="B1510" s="73"/>
      <c r="C1510" s="3" t="str">
        <f t="shared" ref="C1510:L1510" si="266">VLOOKUP($A1503,NotaIndividualPorAlunoFIS,RIGHT(C1509,2)+1,0)</f>
        <v/>
      </c>
      <c r="D1510" s="3" t="str">
        <f t="shared" si="266"/>
        <v/>
      </c>
      <c r="E1510" s="3" t="str">
        <f t="shared" si="266"/>
        <v/>
      </c>
      <c r="F1510" s="3" t="str">
        <f t="shared" si="266"/>
        <v/>
      </c>
      <c r="G1510" s="3" t="str">
        <f t="shared" si="266"/>
        <v/>
      </c>
      <c r="H1510" s="3" t="str">
        <f t="shared" si="266"/>
        <v/>
      </c>
      <c r="I1510" s="3" t="str">
        <f t="shared" si="266"/>
        <v/>
      </c>
      <c r="J1510" s="3" t="str">
        <f t="shared" si="266"/>
        <v/>
      </c>
      <c r="K1510" s="3" t="str">
        <f t="shared" si="266"/>
        <v/>
      </c>
      <c r="L1510" s="3" t="str">
        <f t="shared" si="266"/>
        <v/>
      </c>
      <c r="M1510" s="19" t="str">
        <f>VLOOKUP($A1503,NotaIndividualPorAlunoFIS,RIGHT(L1509,2)+2,0)</f>
        <v/>
      </c>
      <c r="N1510" s="10"/>
      <c r="O1510" s="10"/>
    </row>
    <row r="1511" spans="1:15" ht="15.6" x14ac:dyDescent="0.3">
      <c r="A1511" s="72"/>
      <c r="B1511" s="12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0"/>
      <c r="O1511" s="10"/>
    </row>
    <row r="1512" spans="1:15" ht="15.6" x14ac:dyDescent="0.3">
      <c r="A1512" s="72"/>
      <c r="B1512" s="73" t="s">
        <v>16</v>
      </c>
      <c r="C1512" s="23" t="s">
        <v>41</v>
      </c>
      <c r="D1512" s="58" t="s">
        <v>42</v>
      </c>
      <c r="E1512" s="23" t="s">
        <v>43</v>
      </c>
      <c r="F1512" s="58" t="s">
        <v>44</v>
      </c>
      <c r="G1512" s="23" t="s">
        <v>63</v>
      </c>
      <c r="H1512" s="58" t="s">
        <v>32</v>
      </c>
      <c r="I1512" s="14"/>
      <c r="J1512" s="14"/>
      <c r="K1512" s="14"/>
      <c r="L1512" s="14"/>
      <c r="M1512" s="15" t="s">
        <v>18</v>
      </c>
      <c r="N1512" s="10"/>
      <c r="O1512" s="10"/>
    </row>
    <row r="1513" spans="1:15" ht="15.6" x14ac:dyDescent="0.3">
      <c r="A1513" s="72"/>
      <c r="B1513" s="73"/>
      <c r="C1513" s="26" t="str">
        <f>VLOOKUP($A1503,NotaIndividualPorAlunoRED,2,0)</f>
        <v/>
      </c>
      <c r="D1513" s="26" t="str">
        <f>VLOOKUP($A1503,NotaIndividualPorAlunoRED,3,0)</f>
        <v/>
      </c>
      <c r="E1513" s="26" t="str">
        <f>VLOOKUP($A1503,NotaIndividualPorAlunoRED,4,0)</f>
        <v/>
      </c>
      <c r="F1513" s="26" t="str">
        <f>VLOOKUP($A1503,NotaIndividualPorAlunoRED,5,0)</f>
        <v/>
      </c>
      <c r="G1513" s="26" t="str">
        <f>VLOOKUP($A1503,NotaIndividualPorAlunoRED,6,0)</f>
        <v/>
      </c>
      <c r="H1513" s="21" t="str">
        <f>VLOOKUP($A1503,NotaIndividualPorAlunoRED,7,0)</f>
        <v/>
      </c>
      <c r="I1513" s="14"/>
      <c r="J1513" s="14"/>
      <c r="K1513" s="14"/>
      <c r="L1513" s="14"/>
      <c r="M1513" s="20" t="str">
        <f>VLOOKUP(A1503,NOTAS!C:I,7,0)</f>
        <v/>
      </c>
      <c r="N1513" s="10"/>
      <c r="O1513" s="10"/>
    </row>
    <row r="1514" spans="1:15" x14ac:dyDescent="0.3">
      <c r="A1514" s="72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0"/>
      <c r="O1514" s="10"/>
    </row>
    <row r="1515" spans="1:15" x14ac:dyDescent="0.3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</row>
    <row r="1516" spans="1:15" x14ac:dyDescent="0.3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</row>
    <row r="1517" spans="1:15" x14ac:dyDescent="0.3">
      <c r="A1517" s="58" t="s">
        <v>38</v>
      </c>
      <c r="B1517" s="57" t="s">
        <v>35</v>
      </c>
      <c r="C1517" s="57" t="s">
        <v>56</v>
      </c>
      <c r="D1517" s="57" t="s">
        <v>57</v>
      </c>
      <c r="E1517" s="57" t="s">
        <v>58</v>
      </c>
      <c r="F1517" s="57" t="s">
        <v>59</v>
      </c>
      <c r="G1517" s="57" t="s">
        <v>60</v>
      </c>
      <c r="H1517" s="57" t="s">
        <v>36</v>
      </c>
      <c r="I1517" s="57" t="s">
        <v>61</v>
      </c>
      <c r="J1517" s="57" t="s">
        <v>34</v>
      </c>
      <c r="K1517" s="57" t="s">
        <v>62</v>
      </c>
      <c r="L1517" s="16" t="s">
        <v>33</v>
      </c>
      <c r="M1517" s="57" t="s">
        <v>37</v>
      </c>
      <c r="N1517" s="10"/>
      <c r="O1517" s="10"/>
    </row>
    <row r="1518" spans="1:15" ht="15.6" x14ac:dyDescent="0.3">
      <c r="A1518" s="58" t="str" cm="1">
        <f t="array" ref="A1518">IF(ISERROR(INDEX(ListaDeAlunos,(((ROW()-2)/17)+1),(COLUMN()+1))),"",INDEX(ListaDeAlunos,(((ROW()-2)/17)+1),(COLUMN()+1)))</f>
        <v/>
      </c>
      <c r="B1518" s="17" t="str">
        <f>VLOOKUP($A1518,NotaIndividualPorAlunoPROVAO,2,0)</f>
        <v/>
      </c>
      <c r="C1518" s="18" t="str">
        <f>VLOOKUP($A1518,NotaIndividualPorAlunoPROVAO,3,0)</f>
        <v/>
      </c>
      <c r="D1518" s="17" t="str">
        <f>VLOOKUP($A1518,NotaIndividualPorAlunoPROVAO,4,0)</f>
        <v/>
      </c>
      <c r="E1518" s="18" t="str">
        <f>VLOOKUP($A1518,NotaIndividualPorAlunoPROVAO,5,0)</f>
        <v/>
      </c>
      <c r="F1518" s="17" t="str">
        <f>VLOOKUP($A1518,NotaIndividualPorAlunoPROVAO,6,0)</f>
        <v/>
      </c>
      <c r="G1518" s="18" t="str">
        <f>VLOOKUP($A1518,NotaIndividualPorAlunoPROVAO,7,0)</f>
        <v/>
      </c>
      <c r="H1518" s="17" t="str">
        <f>VLOOKUP($A1518,NotaIndividualPorAlunoPROVAO,8,0)</f>
        <v/>
      </c>
      <c r="I1518" s="18" t="str">
        <f>VLOOKUP($A1518,NotaIndividualPorAlunoPROVAO,9,0)</f>
        <v/>
      </c>
      <c r="J1518" s="17" t="str">
        <f>VLOOKUP($A1518,NotaIndividualPorAlunoPROVAO,10,0)</f>
        <v/>
      </c>
      <c r="K1518" s="18" t="str">
        <f>VLOOKUP($A1518,NotaIndividualPorAlunoPROVAO,11,0)</f>
        <v/>
      </c>
      <c r="L1518" s="15" t="str">
        <f>VLOOKUP($A1518,NotaIndividualPorAlunoPROVAO,12,0)</f>
        <v/>
      </c>
      <c r="M1518" s="25" t="str">
        <f>VLOOKUP($A1518,NotaIndividualPorAlunoPROVAO,13,0)</f>
        <v/>
      </c>
      <c r="N1518" s="10"/>
      <c r="O1518" s="10"/>
    </row>
    <row r="1519" spans="1:15" x14ac:dyDescent="0.3">
      <c r="N1519" s="10"/>
      <c r="O1519" s="10"/>
    </row>
    <row r="1520" spans="1:15" x14ac:dyDescent="0.3">
      <c r="A1520" s="72" t="str">
        <f>A1518</f>
        <v/>
      </c>
      <c r="B1520" s="73" t="s">
        <v>15</v>
      </c>
      <c r="C1520" s="57" t="s">
        <v>2</v>
      </c>
      <c r="D1520" s="57" t="s">
        <v>3</v>
      </c>
      <c r="E1520" s="57" t="s">
        <v>4</v>
      </c>
      <c r="F1520" s="57" t="s">
        <v>5</v>
      </c>
      <c r="G1520" s="57" t="s">
        <v>6</v>
      </c>
      <c r="H1520" s="57" t="s">
        <v>7</v>
      </c>
      <c r="I1520" s="57" t="s">
        <v>8</v>
      </c>
      <c r="J1520" s="57" t="s">
        <v>9</v>
      </c>
      <c r="K1520" s="57" t="s">
        <v>10</v>
      </c>
      <c r="L1520" s="57" t="s">
        <v>11</v>
      </c>
      <c r="M1520" s="57" t="s">
        <v>13</v>
      </c>
      <c r="N1520" s="10"/>
      <c r="O1520" s="10"/>
    </row>
    <row r="1521" spans="1:15" ht="15.6" x14ac:dyDescent="0.3">
      <c r="A1521" s="72"/>
      <c r="B1521" s="73"/>
      <c r="C1521" s="5" t="str">
        <f t="shared" ref="C1521:L1521" si="267">VLOOKUP($A1520,NotaIndividualPorAlunoMAT,RIGHT(C1520,2)+1,0)</f>
        <v/>
      </c>
      <c r="D1521" s="5" t="str">
        <f t="shared" si="267"/>
        <v/>
      </c>
      <c r="E1521" s="5" t="str">
        <f t="shared" si="267"/>
        <v/>
      </c>
      <c r="F1521" s="5" t="str">
        <f t="shared" si="267"/>
        <v/>
      </c>
      <c r="G1521" s="5" t="str">
        <f t="shared" si="267"/>
        <v/>
      </c>
      <c r="H1521" s="5" t="str">
        <f t="shared" si="267"/>
        <v/>
      </c>
      <c r="I1521" s="5" t="str">
        <f t="shared" si="267"/>
        <v/>
      </c>
      <c r="J1521" s="5" t="str">
        <f t="shared" si="267"/>
        <v/>
      </c>
      <c r="K1521" s="5" t="str">
        <f t="shared" si="267"/>
        <v/>
      </c>
      <c r="L1521" s="5" t="str">
        <f t="shared" si="267"/>
        <v/>
      </c>
      <c r="M1521" s="19" t="str">
        <f>VLOOKUP($A1520,NotaIndividualPorAlunoMAT,RIGHT(L1520,2)+2,0)</f>
        <v/>
      </c>
      <c r="N1521" s="10"/>
      <c r="O1521" s="10"/>
    </row>
    <row r="1522" spans="1:15" x14ac:dyDescent="0.3">
      <c r="A1522" s="72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0"/>
      <c r="O1522" s="10"/>
    </row>
    <row r="1523" spans="1:15" x14ac:dyDescent="0.3">
      <c r="A1523" s="72"/>
      <c r="B1523" s="73" t="s">
        <v>14</v>
      </c>
      <c r="C1523" s="57" t="s">
        <v>46</v>
      </c>
      <c r="D1523" s="57" t="s">
        <v>47</v>
      </c>
      <c r="E1523" s="57" t="s">
        <v>48</v>
      </c>
      <c r="F1523" s="57" t="s">
        <v>49</v>
      </c>
      <c r="G1523" s="57" t="s">
        <v>50</v>
      </c>
      <c r="H1523" s="57" t="s">
        <v>51</v>
      </c>
      <c r="I1523" s="57" t="s">
        <v>52</v>
      </c>
      <c r="J1523" s="57" t="s">
        <v>53</v>
      </c>
      <c r="K1523" s="57" t="s">
        <v>54</v>
      </c>
      <c r="L1523" s="57" t="s">
        <v>55</v>
      </c>
      <c r="M1523" s="57" t="s">
        <v>13</v>
      </c>
      <c r="N1523" s="10"/>
      <c r="O1523" s="10"/>
    </row>
    <row r="1524" spans="1:15" ht="15.6" x14ac:dyDescent="0.3">
      <c r="A1524" s="72"/>
      <c r="B1524" s="73"/>
      <c r="C1524" s="3" t="str">
        <f t="shared" ref="C1524:L1524" si="268">VLOOKUP($A1520,NotaIndividualPorAlunoQUI,RIGHT(C1523,2)-9,0)</f>
        <v/>
      </c>
      <c r="D1524" s="3" t="str">
        <f t="shared" si="268"/>
        <v/>
      </c>
      <c r="E1524" s="3" t="str">
        <f t="shared" si="268"/>
        <v/>
      </c>
      <c r="F1524" s="3" t="str">
        <f t="shared" si="268"/>
        <v/>
      </c>
      <c r="G1524" s="3" t="str">
        <f t="shared" si="268"/>
        <v/>
      </c>
      <c r="H1524" s="3" t="str">
        <f t="shared" si="268"/>
        <v/>
      </c>
      <c r="I1524" s="3" t="str">
        <f t="shared" si="268"/>
        <v/>
      </c>
      <c r="J1524" s="3" t="str">
        <f t="shared" si="268"/>
        <v/>
      </c>
      <c r="K1524" s="3" t="str">
        <f t="shared" si="268"/>
        <v/>
      </c>
      <c r="L1524" s="3" t="str">
        <f t="shared" si="268"/>
        <v/>
      </c>
      <c r="M1524" s="19" t="str">
        <f>VLOOKUP($A1520,NotaIndividualPorAlunoQUI,RIGHT(L1523,2)-8,0)</f>
        <v/>
      </c>
      <c r="N1524" s="10"/>
      <c r="O1524" s="10"/>
    </row>
    <row r="1525" spans="1:15" x14ac:dyDescent="0.3">
      <c r="A1525" s="72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0"/>
      <c r="O1525" s="10"/>
    </row>
    <row r="1526" spans="1:15" x14ac:dyDescent="0.3">
      <c r="A1526" s="72"/>
      <c r="B1526" s="73" t="s">
        <v>12</v>
      </c>
      <c r="C1526" s="57" t="s">
        <v>2</v>
      </c>
      <c r="D1526" s="57" t="s">
        <v>3</v>
      </c>
      <c r="E1526" s="57" t="s">
        <v>4</v>
      </c>
      <c r="F1526" s="57" t="s">
        <v>5</v>
      </c>
      <c r="G1526" s="57" t="s">
        <v>6</v>
      </c>
      <c r="H1526" s="57" t="s">
        <v>7</v>
      </c>
      <c r="I1526" s="57" t="s">
        <v>8</v>
      </c>
      <c r="J1526" s="57" t="s">
        <v>9</v>
      </c>
      <c r="K1526" s="57" t="s">
        <v>10</v>
      </c>
      <c r="L1526" s="57" t="s">
        <v>11</v>
      </c>
      <c r="M1526" s="57" t="s">
        <v>13</v>
      </c>
      <c r="N1526" s="10"/>
      <c r="O1526" s="10"/>
    </row>
    <row r="1527" spans="1:15" ht="15.6" x14ac:dyDescent="0.3">
      <c r="A1527" s="72"/>
      <c r="B1527" s="73"/>
      <c r="C1527" s="3" t="str">
        <f t="shared" ref="C1527:L1527" si="269">VLOOKUP($A1520,NotaIndividualPorAlunoFIS,RIGHT(C1526,2)+1,0)</f>
        <v/>
      </c>
      <c r="D1527" s="3" t="str">
        <f t="shared" si="269"/>
        <v/>
      </c>
      <c r="E1527" s="3" t="str">
        <f t="shared" si="269"/>
        <v/>
      </c>
      <c r="F1527" s="3" t="str">
        <f t="shared" si="269"/>
        <v/>
      </c>
      <c r="G1527" s="3" t="str">
        <f t="shared" si="269"/>
        <v/>
      </c>
      <c r="H1527" s="3" t="str">
        <f t="shared" si="269"/>
        <v/>
      </c>
      <c r="I1527" s="3" t="str">
        <f t="shared" si="269"/>
        <v/>
      </c>
      <c r="J1527" s="3" t="str">
        <f t="shared" si="269"/>
        <v/>
      </c>
      <c r="K1527" s="3" t="str">
        <f t="shared" si="269"/>
        <v/>
      </c>
      <c r="L1527" s="3" t="str">
        <f t="shared" si="269"/>
        <v/>
      </c>
      <c r="M1527" s="19" t="str">
        <f>VLOOKUP($A1520,NotaIndividualPorAlunoFIS,RIGHT(L1526,2)+2,0)</f>
        <v/>
      </c>
      <c r="N1527" s="10"/>
      <c r="O1527" s="10"/>
    </row>
    <row r="1528" spans="1:15" ht="15.6" x14ac:dyDescent="0.3">
      <c r="A1528" s="72"/>
      <c r="B1528" s="12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0"/>
      <c r="O1528" s="10"/>
    </row>
    <row r="1529" spans="1:15" ht="15.6" x14ac:dyDescent="0.3">
      <c r="A1529" s="72"/>
      <c r="B1529" s="73" t="s">
        <v>16</v>
      </c>
      <c r="C1529" s="23" t="s">
        <v>41</v>
      </c>
      <c r="D1529" s="58" t="s">
        <v>42</v>
      </c>
      <c r="E1529" s="23" t="s">
        <v>43</v>
      </c>
      <c r="F1529" s="58" t="s">
        <v>44</v>
      </c>
      <c r="G1529" s="23" t="s">
        <v>63</v>
      </c>
      <c r="H1529" s="58" t="s">
        <v>32</v>
      </c>
      <c r="I1529" s="14"/>
      <c r="J1529" s="14"/>
      <c r="K1529" s="14"/>
      <c r="L1529" s="14"/>
      <c r="M1529" s="15" t="s">
        <v>18</v>
      </c>
      <c r="N1529" s="10"/>
      <c r="O1529" s="10"/>
    </row>
    <row r="1530" spans="1:15" ht="15.6" x14ac:dyDescent="0.3">
      <c r="A1530" s="72"/>
      <c r="B1530" s="73"/>
      <c r="C1530" s="26" t="str">
        <f>VLOOKUP($A1520,NotaIndividualPorAlunoRED,2,0)</f>
        <v/>
      </c>
      <c r="D1530" s="26" t="str">
        <f>VLOOKUP($A1520,NotaIndividualPorAlunoRED,3,0)</f>
        <v/>
      </c>
      <c r="E1530" s="26" t="str">
        <f>VLOOKUP($A1520,NotaIndividualPorAlunoRED,4,0)</f>
        <v/>
      </c>
      <c r="F1530" s="26" t="str">
        <f>VLOOKUP($A1520,NotaIndividualPorAlunoRED,5,0)</f>
        <v/>
      </c>
      <c r="G1530" s="26" t="str">
        <f>VLOOKUP($A1520,NotaIndividualPorAlunoRED,6,0)</f>
        <v/>
      </c>
      <c r="H1530" s="21" t="str">
        <f>VLOOKUP($A1520,NotaIndividualPorAlunoRED,7,0)</f>
        <v/>
      </c>
      <c r="I1530" s="14"/>
      <c r="J1530" s="14"/>
      <c r="K1530" s="14"/>
      <c r="L1530" s="14"/>
      <c r="M1530" s="20" t="str">
        <f>VLOOKUP(A1520,NOTAS!C:I,7,0)</f>
        <v/>
      </c>
      <c r="N1530" s="10"/>
      <c r="O1530" s="10"/>
    </row>
    <row r="1531" spans="1:15" x14ac:dyDescent="0.3">
      <c r="A1531" s="72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0"/>
      <c r="O1531" s="10"/>
    </row>
    <row r="1532" spans="1:15" x14ac:dyDescent="0.3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</row>
    <row r="1533" spans="1:15" x14ac:dyDescent="0.3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</row>
    <row r="1534" spans="1:15" x14ac:dyDescent="0.3">
      <c r="A1534" s="58" t="s">
        <v>38</v>
      </c>
      <c r="B1534" s="57" t="s">
        <v>35</v>
      </c>
      <c r="C1534" s="57" t="s">
        <v>56</v>
      </c>
      <c r="D1534" s="57" t="s">
        <v>57</v>
      </c>
      <c r="E1534" s="57" t="s">
        <v>58</v>
      </c>
      <c r="F1534" s="57" t="s">
        <v>59</v>
      </c>
      <c r="G1534" s="57" t="s">
        <v>60</v>
      </c>
      <c r="H1534" s="57" t="s">
        <v>36</v>
      </c>
      <c r="I1534" s="57" t="s">
        <v>61</v>
      </c>
      <c r="J1534" s="57" t="s">
        <v>34</v>
      </c>
      <c r="K1534" s="57" t="s">
        <v>62</v>
      </c>
      <c r="L1534" s="16" t="s">
        <v>33</v>
      </c>
      <c r="M1534" s="57" t="s">
        <v>37</v>
      </c>
      <c r="N1534" s="10"/>
      <c r="O1534" s="10"/>
    </row>
    <row r="1535" spans="1:15" ht="15.6" x14ac:dyDescent="0.3">
      <c r="A1535" s="58" t="str" cm="1">
        <f t="array" ref="A1535">IF(ISERROR(INDEX(ListaDeAlunos,(((ROW()-2)/17)+1),(COLUMN()+1))),"",INDEX(ListaDeAlunos,(((ROW()-2)/17)+1),(COLUMN()+1)))</f>
        <v/>
      </c>
      <c r="B1535" s="17" t="str">
        <f>VLOOKUP($A1535,NotaIndividualPorAlunoPROVAO,2,0)</f>
        <v/>
      </c>
      <c r="C1535" s="18" t="str">
        <f>VLOOKUP($A1535,NotaIndividualPorAlunoPROVAO,3,0)</f>
        <v/>
      </c>
      <c r="D1535" s="17" t="str">
        <f>VLOOKUP($A1535,NotaIndividualPorAlunoPROVAO,4,0)</f>
        <v/>
      </c>
      <c r="E1535" s="18" t="str">
        <f>VLOOKUP($A1535,NotaIndividualPorAlunoPROVAO,5,0)</f>
        <v/>
      </c>
      <c r="F1535" s="17" t="str">
        <f>VLOOKUP($A1535,NotaIndividualPorAlunoPROVAO,6,0)</f>
        <v/>
      </c>
      <c r="G1535" s="18" t="str">
        <f>VLOOKUP($A1535,NotaIndividualPorAlunoPROVAO,7,0)</f>
        <v/>
      </c>
      <c r="H1535" s="17" t="str">
        <f>VLOOKUP($A1535,NotaIndividualPorAlunoPROVAO,8,0)</f>
        <v/>
      </c>
      <c r="I1535" s="18" t="str">
        <f>VLOOKUP($A1535,NotaIndividualPorAlunoPROVAO,9,0)</f>
        <v/>
      </c>
      <c r="J1535" s="17" t="str">
        <f>VLOOKUP($A1535,NotaIndividualPorAlunoPROVAO,10,0)</f>
        <v/>
      </c>
      <c r="K1535" s="18" t="str">
        <f>VLOOKUP($A1535,NotaIndividualPorAlunoPROVAO,11,0)</f>
        <v/>
      </c>
      <c r="L1535" s="15" t="str">
        <f>VLOOKUP($A1535,NotaIndividualPorAlunoPROVAO,12,0)</f>
        <v/>
      </c>
      <c r="M1535" s="25" t="str">
        <f>VLOOKUP($A1535,NotaIndividualPorAlunoPROVAO,13,0)</f>
        <v/>
      </c>
      <c r="N1535" s="10"/>
      <c r="O1535" s="10"/>
    </row>
    <row r="1536" spans="1:15" x14ac:dyDescent="0.3">
      <c r="N1536" s="10"/>
      <c r="O1536" s="10"/>
    </row>
    <row r="1537" spans="1:15" x14ac:dyDescent="0.3">
      <c r="A1537" s="72" t="str">
        <f>A1535</f>
        <v/>
      </c>
      <c r="B1537" s="73" t="s">
        <v>15</v>
      </c>
      <c r="C1537" s="57" t="s">
        <v>2</v>
      </c>
      <c r="D1537" s="57" t="s">
        <v>3</v>
      </c>
      <c r="E1537" s="57" t="s">
        <v>4</v>
      </c>
      <c r="F1537" s="57" t="s">
        <v>5</v>
      </c>
      <c r="G1537" s="57" t="s">
        <v>6</v>
      </c>
      <c r="H1537" s="57" t="s">
        <v>7</v>
      </c>
      <c r="I1537" s="57" t="s">
        <v>8</v>
      </c>
      <c r="J1537" s="57" t="s">
        <v>9</v>
      </c>
      <c r="K1537" s="57" t="s">
        <v>10</v>
      </c>
      <c r="L1537" s="57" t="s">
        <v>11</v>
      </c>
      <c r="M1537" s="57" t="s">
        <v>13</v>
      </c>
      <c r="N1537" s="10"/>
      <c r="O1537" s="10"/>
    </row>
    <row r="1538" spans="1:15" ht="15.6" x14ac:dyDescent="0.3">
      <c r="A1538" s="72"/>
      <c r="B1538" s="73"/>
      <c r="C1538" s="5" t="str">
        <f t="shared" ref="C1538:L1538" si="270">VLOOKUP($A1537,NotaIndividualPorAlunoMAT,RIGHT(C1537,2)+1,0)</f>
        <v/>
      </c>
      <c r="D1538" s="5" t="str">
        <f t="shared" si="270"/>
        <v/>
      </c>
      <c r="E1538" s="5" t="str">
        <f t="shared" si="270"/>
        <v/>
      </c>
      <c r="F1538" s="5" t="str">
        <f t="shared" si="270"/>
        <v/>
      </c>
      <c r="G1538" s="5" t="str">
        <f t="shared" si="270"/>
        <v/>
      </c>
      <c r="H1538" s="5" t="str">
        <f t="shared" si="270"/>
        <v/>
      </c>
      <c r="I1538" s="5" t="str">
        <f t="shared" si="270"/>
        <v/>
      </c>
      <c r="J1538" s="5" t="str">
        <f t="shared" si="270"/>
        <v/>
      </c>
      <c r="K1538" s="5" t="str">
        <f t="shared" si="270"/>
        <v/>
      </c>
      <c r="L1538" s="5" t="str">
        <f t="shared" si="270"/>
        <v/>
      </c>
      <c r="M1538" s="19" t="str">
        <f>VLOOKUP($A1537,NotaIndividualPorAlunoMAT,RIGHT(L1537,2)+2,0)</f>
        <v/>
      </c>
      <c r="N1538" s="10"/>
      <c r="O1538" s="10"/>
    </row>
    <row r="1539" spans="1:15" x14ac:dyDescent="0.3">
      <c r="A1539" s="72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0"/>
      <c r="O1539" s="10"/>
    </row>
    <row r="1540" spans="1:15" x14ac:dyDescent="0.3">
      <c r="A1540" s="72"/>
      <c r="B1540" s="73" t="s">
        <v>14</v>
      </c>
      <c r="C1540" s="57" t="s">
        <v>46</v>
      </c>
      <c r="D1540" s="57" t="s">
        <v>47</v>
      </c>
      <c r="E1540" s="57" t="s">
        <v>48</v>
      </c>
      <c r="F1540" s="57" t="s">
        <v>49</v>
      </c>
      <c r="G1540" s="57" t="s">
        <v>50</v>
      </c>
      <c r="H1540" s="57" t="s">
        <v>51</v>
      </c>
      <c r="I1540" s="57" t="s">
        <v>52</v>
      </c>
      <c r="J1540" s="57" t="s">
        <v>53</v>
      </c>
      <c r="K1540" s="57" t="s">
        <v>54</v>
      </c>
      <c r="L1540" s="57" t="s">
        <v>55</v>
      </c>
      <c r="M1540" s="57" t="s">
        <v>13</v>
      </c>
      <c r="N1540" s="10"/>
      <c r="O1540" s="10"/>
    </row>
    <row r="1541" spans="1:15" ht="15.6" x14ac:dyDescent="0.3">
      <c r="A1541" s="72"/>
      <c r="B1541" s="73"/>
      <c r="C1541" s="3" t="str">
        <f t="shared" ref="C1541:L1541" si="271">VLOOKUP($A1537,NotaIndividualPorAlunoQUI,RIGHT(C1540,2)-9,0)</f>
        <v/>
      </c>
      <c r="D1541" s="3" t="str">
        <f t="shared" si="271"/>
        <v/>
      </c>
      <c r="E1541" s="3" t="str">
        <f t="shared" si="271"/>
        <v/>
      </c>
      <c r="F1541" s="3" t="str">
        <f t="shared" si="271"/>
        <v/>
      </c>
      <c r="G1541" s="3" t="str">
        <f t="shared" si="271"/>
        <v/>
      </c>
      <c r="H1541" s="3" t="str">
        <f t="shared" si="271"/>
        <v/>
      </c>
      <c r="I1541" s="3" t="str">
        <f t="shared" si="271"/>
        <v/>
      </c>
      <c r="J1541" s="3" t="str">
        <f t="shared" si="271"/>
        <v/>
      </c>
      <c r="K1541" s="3" t="str">
        <f t="shared" si="271"/>
        <v/>
      </c>
      <c r="L1541" s="3" t="str">
        <f t="shared" si="271"/>
        <v/>
      </c>
      <c r="M1541" s="19" t="str">
        <f>VLOOKUP($A1537,NotaIndividualPorAlunoQUI,RIGHT(L1540,2)-8,0)</f>
        <v/>
      </c>
      <c r="N1541" s="10"/>
      <c r="O1541" s="10"/>
    </row>
    <row r="1542" spans="1:15" x14ac:dyDescent="0.3">
      <c r="A1542" s="72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0"/>
      <c r="O1542" s="10"/>
    </row>
    <row r="1543" spans="1:15" x14ac:dyDescent="0.3">
      <c r="A1543" s="72"/>
      <c r="B1543" s="73" t="s">
        <v>12</v>
      </c>
      <c r="C1543" s="57" t="s">
        <v>2</v>
      </c>
      <c r="D1543" s="57" t="s">
        <v>3</v>
      </c>
      <c r="E1543" s="57" t="s">
        <v>4</v>
      </c>
      <c r="F1543" s="57" t="s">
        <v>5</v>
      </c>
      <c r="G1543" s="57" t="s">
        <v>6</v>
      </c>
      <c r="H1543" s="57" t="s">
        <v>7</v>
      </c>
      <c r="I1543" s="57" t="s">
        <v>8</v>
      </c>
      <c r="J1543" s="57" t="s">
        <v>9</v>
      </c>
      <c r="K1543" s="57" t="s">
        <v>10</v>
      </c>
      <c r="L1543" s="57" t="s">
        <v>11</v>
      </c>
      <c r="M1543" s="57" t="s">
        <v>13</v>
      </c>
      <c r="N1543" s="10"/>
      <c r="O1543" s="10"/>
    </row>
    <row r="1544" spans="1:15" ht="15.6" x14ac:dyDescent="0.3">
      <c r="A1544" s="72"/>
      <c r="B1544" s="73"/>
      <c r="C1544" s="3" t="str">
        <f t="shared" ref="C1544:L1544" si="272">VLOOKUP($A1537,NotaIndividualPorAlunoFIS,RIGHT(C1543,2)+1,0)</f>
        <v/>
      </c>
      <c r="D1544" s="3" t="str">
        <f t="shared" si="272"/>
        <v/>
      </c>
      <c r="E1544" s="3" t="str">
        <f t="shared" si="272"/>
        <v/>
      </c>
      <c r="F1544" s="3" t="str">
        <f t="shared" si="272"/>
        <v/>
      </c>
      <c r="G1544" s="3" t="str">
        <f t="shared" si="272"/>
        <v/>
      </c>
      <c r="H1544" s="3" t="str">
        <f t="shared" si="272"/>
        <v/>
      </c>
      <c r="I1544" s="3" t="str">
        <f t="shared" si="272"/>
        <v/>
      </c>
      <c r="J1544" s="3" t="str">
        <f t="shared" si="272"/>
        <v/>
      </c>
      <c r="K1544" s="3" t="str">
        <f t="shared" si="272"/>
        <v/>
      </c>
      <c r="L1544" s="3" t="str">
        <f t="shared" si="272"/>
        <v/>
      </c>
      <c r="M1544" s="19" t="str">
        <f>VLOOKUP($A1537,NotaIndividualPorAlunoFIS,RIGHT(L1543,2)+2,0)</f>
        <v/>
      </c>
      <c r="N1544" s="10"/>
      <c r="O1544" s="10"/>
    </row>
    <row r="1545" spans="1:15" ht="15.6" x14ac:dyDescent="0.3">
      <c r="A1545" s="72"/>
      <c r="B1545" s="12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0"/>
      <c r="O1545" s="10"/>
    </row>
    <row r="1546" spans="1:15" ht="15.6" x14ac:dyDescent="0.3">
      <c r="A1546" s="72"/>
      <c r="B1546" s="73" t="s">
        <v>16</v>
      </c>
      <c r="C1546" s="23" t="s">
        <v>41</v>
      </c>
      <c r="D1546" s="58" t="s">
        <v>42</v>
      </c>
      <c r="E1546" s="23" t="s">
        <v>43</v>
      </c>
      <c r="F1546" s="58" t="s">
        <v>44</v>
      </c>
      <c r="G1546" s="23" t="s">
        <v>63</v>
      </c>
      <c r="H1546" s="58" t="s">
        <v>32</v>
      </c>
      <c r="I1546" s="14"/>
      <c r="J1546" s="14"/>
      <c r="K1546" s="14"/>
      <c r="L1546" s="14"/>
      <c r="M1546" s="15" t="s">
        <v>18</v>
      </c>
      <c r="N1546" s="10"/>
      <c r="O1546" s="10"/>
    </row>
    <row r="1547" spans="1:15" ht="15.6" x14ac:dyDescent="0.3">
      <c r="A1547" s="72"/>
      <c r="B1547" s="73"/>
      <c r="C1547" s="26" t="str">
        <f>VLOOKUP($A1537,NotaIndividualPorAlunoRED,2,0)</f>
        <v/>
      </c>
      <c r="D1547" s="26" t="str">
        <f>VLOOKUP($A1537,NotaIndividualPorAlunoRED,3,0)</f>
        <v/>
      </c>
      <c r="E1547" s="26" t="str">
        <f>VLOOKUP($A1537,NotaIndividualPorAlunoRED,4,0)</f>
        <v/>
      </c>
      <c r="F1547" s="26" t="str">
        <f>VLOOKUP($A1537,NotaIndividualPorAlunoRED,5,0)</f>
        <v/>
      </c>
      <c r="G1547" s="26" t="str">
        <f>VLOOKUP($A1537,NotaIndividualPorAlunoRED,6,0)</f>
        <v/>
      </c>
      <c r="H1547" s="21" t="str">
        <f>VLOOKUP($A1537,NotaIndividualPorAlunoRED,7,0)</f>
        <v/>
      </c>
      <c r="I1547" s="14"/>
      <c r="J1547" s="14"/>
      <c r="K1547" s="14"/>
      <c r="L1547" s="14"/>
      <c r="M1547" s="20" t="str">
        <f>VLOOKUP(A1537,NOTAS!C:I,7,0)</f>
        <v/>
      </c>
      <c r="N1547" s="10"/>
      <c r="O1547" s="10"/>
    </row>
    <row r="1548" spans="1:15" x14ac:dyDescent="0.3">
      <c r="A1548" s="72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0"/>
      <c r="O1548" s="10"/>
    </row>
    <row r="1549" spans="1:15" x14ac:dyDescent="0.3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</row>
    <row r="1550" spans="1:15" x14ac:dyDescent="0.3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</row>
    <row r="1551" spans="1:15" x14ac:dyDescent="0.3">
      <c r="A1551" s="58" t="s">
        <v>38</v>
      </c>
      <c r="B1551" s="57" t="s">
        <v>35</v>
      </c>
      <c r="C1551" s="57" t="s">
        <v>56</v>
      </c>
      <c r="D1551" s="57" t="s">
        <v>57</v>
      </c>
      <c r="E1551" s="57" t="s">
        <v>58</v>
      </c>
      <c r="F1551" s="57" t="s">
        <v>59</v>
      </c>
      <c r="G1551" s="57" t="s">
        <v>60</v>
      </c>
      <c r="H1551" s="57" t="s">
        <v>36</v>
      </c>
      <c r="I1551" s="57" t="s">
        <v>61</v>
      </c>
      <c r="J1551" s="57" t="s">
        <v>34</v>
      </c>
      <c r="K1551" s="57" t="s">
        <v>62</v>
      </c>
      <c r="L1551" s="16" t="s">
        <v>33</v>
      </c>
      <c r="M1551" s="57" t="s">
        <v>37</v>
      </c>
      <c r="N1551" s="10"/>
      <c r="O1551" s="10"/>
    </row>
    <row r="1552" spans="1:15" ht="15.6" x14ac:dyDescent="0.3">
      <c r="A1552" s="58" t="str" cm="1">
        <f t="array" ref="A1552">IF(ISERROR(INDEX(ListaDeAlunos,(((ROW()-2)/17)+1),(COLUMN()+1))),"",INDEX(ListaDeAlunos,(((ROW()-2)/17)+1),(COLUMN()+1)))</f>
        <v/>
      </c>
      <c r="B1552" s="17" t="str">
        <f>VLOOKUP($A1552,NotaIndividualPorAlunoPROVAO,2,0)</f>
        <v/>
      </c>
      <c r="C1552" s="18" t="str">
        <f>VLOOKUP($A1552,NotaIndividualPorAlunoPROVAO,3,0)</f>
        <v/>
      </c>
      <c r="D1552" s="17" t="str">
        <f>VLOOKUP($A1552,NotaIndividualPorAlunoPROVAO,4,0)</f>
        <v/>
      </c>
      <c r="E1552" s="18" t="str">
        <f>VLOOKUP($A1552,NotaIndividualPorAlunoPROVAO,5,0)</f>
        <v/>
      </c>
      <c r="F1552" s="17" t="str">
        <f>VLOOKUP($A1552,NotaIndividualPorAlunoPROVAO,6,0)</f>
        <v/>
      </c>
      <c r="G1552" s="18" t="str">
        <f>VLOOKUP($A1552,NotaIndividualPorAlunoPROVAO,7,0)</f>
        <v/>
      </c>
      <c r="H1552" s="17" t="str">
        <f>VLOOKUP($A1552,NotaIndividualPorAlunoPROVAO,8,0)</f>
        <v/>
      </c>
      <c r="I1552" s="18" t="str">
        <f>VLOOKUP($A1552,NotaIndividualPorAlunoPROVAO,9,0)</f>
        <v/>
      </c>
      <c r="J1552" s="17" t="str">
        <f>VLOOKUP($A1552,NotaIndividualPorAlunoPROVAO,10,0)</f>
        <v/>
      </c>
      <c r="K1552" s="18" t="str">
        <f>VLOOKUP($A1552,NotaIndividualPorAlunoPROVAO,11,0)</f>
        <v/>
      </c>
      <c r="L1552" s="15" t="str">
        <f>VLOOKUP($A1552,NotaIndividualPorAlunoPROVAO,12,0)</f>
        <v/>
      </c>
      <c r="M1552" s="25" t="str">
        <f>VLOOKUP($A1552,NotaIndividualPorAlunoPROVAO,13,0)</f>
        <v/>
      </c>
      <c r="N1552" s="10"/>
      <c r="O1552" s="10"/>
    </row>
    <row r="1553" spans="1:15" x14ac:dyDescent="0.3">
      <c r="N1553" s="10"/>
      <c r="O1553" s="10"/>
    </row>
    <row r="1554" spans="1:15" x14ac:dyDescent="0.3">
      <c r="A1554" s="72" t="str">
        <f>A1552</f>
        <v/>
      </c>
      <c r="B1554" s="73" t="s">
        <v>15</v>
      </c>
      <c r="C1554" s="57" t="s">
        <v>2</v>
      </c>
      <c r="D1554" s="57" t="s">
        <v>3</v>
      </c>
      <c r="E1554" s="57" t="s">
        <v>4</v>
      </c>
      <c r="F1554" s="57" t="s">
        <v>5</v>
      </c>
      <c r="G1554" s="57" t="s">
        <v>6</v>
      </c>
      <c r="H1554" s="57" t="s">
        <v>7</v>
      </c>
      <c r="I1554" s="57" t="s">
        <v>8</v>
      </c>
      <c r="J1554" s="57" t="s">
        <v>9</v>
      </c>
      <c r="K1554" s="57" t="s">
        <v>10</v>
      </c>
      <c r="L1554" s="57" t="s">
        <v>11</v>
      </c>
      <c r="M1554" s="57" t="s">
        <v>13</v>
      </c>
      <c r="N1554" s="10"/>
      <c r="O1554" s="10"/>
    </row>
    <row r="1555" spans="1:15" ht="15.6" x14ac:dyDescent="0.3">
      <c r="A1555" s="72"/>
      <c r="B1555" s="73"/>
      <c r="C1555" s="5" t="str">
        <f t="shared" ref="C1555:L1555" si="273">VLOOKUP($A1554,NotaIndividualPorAlunoMAT,RIGHT(C1554,2)+1,0)</f>
        <v/>
      </c>
      <c r="D1555" s="5" t="str">
        <f t="shared" si="273"/>
        <v/>
      </c>
      <c r="E1555" s="5" t="str">
        <f t="shared" si="273"/>
        <v/>
      </c>
      <c r="F1555" s="5" t="str">
        <f t="shared" si="273"/>
        <v/>
      </c>
      <c r="G1555" s="5" t="str">
        <f t="shared" si="273"/>
        <v/>
      </c>
      <c r="H1555" s="5" t="str">
        <f t="shared" si="273"/>
        <v/>
      </c>
      <c r="I1555" s="5" t="str">
        <f t="shared" si="273"/>
        <v/>
      </c>
      <c r="J1555" s="5" t="str">
        <f t="shared" si="273"/>
        <v/>
      </c>
      <c r="K1555" s="5" t="str">
        <f t="shared" si="273"/>
        <v/>
      </c>
      <c r="L1555" s="5" t="str">
        <f t="shared" si="273"/>
        <v/>
      </c>
      <c r="M1555" s="19" t="str">
        <f>VLOOKUP($A1554,NotaIndividualPorAlunoMAT,RIGHT(L1554,2)+2,0)</f>
        <v/>
      </c>
      <c r="N1555" s="10"/>
      <c r="O1555" s="10"/>
    </row>
    <row r="1556" spans="1:15" x14ac:dyDescent="0.3">
      <c r="A1556" s="72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0"/>
      <c r="O1556" s="10"/>
    </row>
    <row r="1557" spans="1:15" x14ac:dyDescent="0.3">
      <c r="A1557" s="72"/>
      <c r="B1557" s="73" t="s">
        <v>14</v>
      </c>
      <c r="C1557" s="57" t="s">
        <v>46</v>
      </c>
      <c r="D1557" s="57" t="s">
        <v>47</v>
      </c>
      <c r="E1557" s="57" t="s">
        <v>48</v>
      </c>
      <c r="F1557" s="57" t="s">
        <v>49</v>
      </c>
      <c r="G1557" s="57" t="s">
        <v>50</v>
      </c>
      <c r="H1557" s="57" t="s">
        <v>51</v>
      </c>
      <c r="I1557" s="57" t="s">
        <v>52</v>
      </c>
      <c r="J1557" s="57" t="s">
        <v>53</v>
      </c>
      <c r="K1557" s="57" t="s">
        <v>54</v>
      </c>
      <c r="L1557" s="57" t="s">
        <v>55</v>
      </c>
      <c r="M1557" s="57" t="s">
        <v>13</v>
      </c>
      <c r="N1557" s="10"/>
      <c r="O1557" s="10"/>
    </row>
    <row r="1558" spans="1:15" ht="15.6" x14ac:dyDescent="0.3">
      <c r="A1558" s="72"/>
      <c r="B1558" s="73"/>
      <c r="C1558" s="3" t="str">
        <f t="shared" ref="C1558:L1558" si="274">VLOOKUP($A1554,NotaIndividualPorAlunoQUI,RIGHT(C1557,2)-9,0)</f>
        <v/>
      </c>
      <c r="D1558" s="3" t="str">
        <f t="shared" si="274"/>
        <v/>
      </c>
      <c r="E1558" s="3" t="str">
        <f t="shared" si="274"/>
        <v/>
      </c>
      <c r="F1558" s="3" t="str">
        <f t="shared" si="274"/>
        <v/>
      </c>
      <c r="G1558" s="3" t="str">
        <f t="shared" si="274"/>
        <v/>
      </c>
      <c r="H1558" s="3" t="str">
        <f t="shared" si="274"/>
        <v/>
      </c>
      <c r="I1558" s="3" t="str">
        <f t="shared" si="274"/>
        <v/>
      </c>
      <c r="J1558" s="3" t="str">
        <f t="shared" si="274"/>
        <v/>
      </c>
      <c r="K1558" s="3" t="str">
        <f t="shared" si="274"/>
        <v/>
      </c>
      <c r="L1558" s="3" t="str">
        <f t="shared" si="274"/>
        <v/>
      </c>
      <c r="M1558" s="19" t="str">
        <f>VLOOKUP($A1554,NotaIndividualPorAlunoQUI,RIGHT(L1557,2)-8,0)</f>
        <v/>
      </c>
      <c r="N1558" s="10"/>
      <c r="O1558" s="10"/>
    </row>
    <row r="1559" spans="1:15" x14ac:dyDescent="0.3">
      <c r="A1559" s="72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0"/>
      <c r="O1559" s="10"/>
    </row>
    <row r="1560" spans="1:15" x14ac:dyDescent="0.3">
      <c r="A1560" s="72"/>
      <c r="B1560" s="73" t="s">
        <v>12</v>
      </c>
      <c r="C1560" s="57" t="s">
        <v>2</v>
      </c>
      <c r="D1560" s="57" t="s">
        <v>3</v>
      </c>
      <c r="E1560" s="57" t="s">
        <v>4</v>
      </c>
      <c r="F1560" s="57" t="s">
        <v>5</v>
      </c>
      <c r="G1560" s="57" t="s">
        <v>6</v>
      </c>
      <c r="H1560" s="57" t="s">
        <v>7</v>
      </c>
      <c r="I1560" s="57" t="s">
        <v>8</v>
      </c>
      <c r="J1560" s="57" t="s">
        <v>9</v>
      </c>
      <c r="K1560" s="57" t="s">
        <v>10</v>
      </c>
      <c r="L1560" s="57" t="s">
        <v>11</v>
      </c>
      <c r="M1560" s="57" t="s">
        <v>13</v>
      </c>
      <c r="N1560" s="10"/>
      <c r="O1560" s="10"/>
    </row>
    <row r="1561" spans="1:15" ht="15.6" x14ac:dyDescent="0.3">
      <c r="A1561" s="72"/>
      <c r="B1561" s="73"/>
      <c r="C1561" s="3" t="str">
        <f t="shared" ref="C1561:L1561" si="275">VLOOKUP($A1554,NotaIndividualPorAlunoFIS,RIGHT(C1560,2)+1,0)</f>
        <v/>
      </c>
      <c r="D1561" s="3" t="str">
        <f t="shared" si="275"/>
        <v/>
      </c>
      <c r="E1561" s="3" t="str">
        <f t="shared" si="275"/>
        <v/>
      </c>
      <c r="F1561" s="3" t="str">
        <f t="shared" si="275"/>
        <v/>
      </c>
      <c r="G1561" s="3" t="str">
        <f t="shared" si="275"/>
        <v/>
      </c>
      <c r="H1561" s="3" t="str">
        <f t="shared" si="275"/>
        <v/>
      </c>
      <c r="I1561" s="3" t="str">
        <f t="shared" si="275"/>
        <v/>
      </c>
      <c r="J1561" s="3" t="str">
        <f t="shared" si="275"/>
        <v/>
      </c>
      <c r="K1561" s="3" t="str">
        <f t="shared" si="275"/>
        <v/>
      </c>
      <c r="L1561" s="3" t="str">
        <f t="shared" si="275"/>
        <v/>
      </c>
      <c r="M1561" s="19" t="str">
        <f>VLOOKUP($A1554,NotaIndividualPorAlunoFIS,RIGHT(L1560,2)+2,0)</f>
        <v/>
      </c>
      <c r="N1561" s="10"/>
      <c r="O1561" s="10"/>
    </row>
    <row r="1562" spans="1:15" ht="15.6" x14ac:dyDescent="0.3">
      <c r="A1562" s="72"/>
      <c r="B1562" s="12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0"/>
      <c r="O1562" s="10"/>
    </row>
    <row r="1563" spans="1:15" ht="15.6" x14ac:dyDescent="0.3">
      <c r="A1563" s="72"/>
      <c r="B1563" s="73" t="s">
        <v>16</v>
      </c>
      <c r="C1563" s="23" t="s">
        <v>41</v>
      </c>
      <c r="D1563" s="58" t="s">
        <v>42</v>
      </c>
      <c r="E1563" s="23" t="s">
        <v>43</v>
      </c>
      <c r="F1563" s="58" t="s">
        <v>44</v>
      </c>
      <c r="G1563" s="23" t="s">
        <v>63</v>
      </c>
      <c r="H1563" s="58" t="s">
        <v>32</v>
      </c>
      <c r="I1563" s="14"/>
      <c r="J1563" s="14"/>
      <c r="K1563" s="14"/>
      <c r="L1563" s="14"/>
      <c r="M1563" s="15" t="s">
        <v>18</v>
      </c>
      <c r="N1563" s="10"/>
      <c r="O1563" s="10"/>
    </row>
    <row r="1564" spans="1:15" ht="15.6" x14ac:dyDescent="0.3">
      <c r="A1564" s="72"/>
      <c r="B1564" s="73"/>
      <c r="C1564" s="26" t="str">
        <f>VLOOKUP($A1554,NotaIndividualPorAlunoRED,2,0)</f>
        <v/>
      </c>
      <c r="D1564" s="26" t="str">
        <f>VLOOKUP($A1554,NotaIndividualPorAlunoRED,3,0)</f>
        <v/>
      </c>
      <c r="E1564" s="26" t="str">
        <f>VLOOKUP($A1554,NotaIndividualPorAlunoRED,4,0)</f>
        <v/>
      </c>
      <c r="F1564" s="26" t="str">
        <f>VLOOKUP($A1554,NotaIndividualPorAlunoRED,5,0)</f>
        <v/>
      </c>
      <c r="G1564" s="26" t="str">
        <f>VLOOKUP($A1554,NotaIndividualPorAlunoRED,6,0)</f>
        <v/>
      </c>
      <c r="H1564" s="21" t="str">
        <f>VLOOKUP($A1554,NotaIndividualPorAlunoRED,7,0)</f>
        <v/>
      </c>
      <c r="I1564" s="14"/>
      <c r="J1564" s="14"/>
      <c r="K1564" s="14"/>
      <c r="L1564" s="14"/>
      <c r="M1564" s="20" t="str">
        <f>VLOOKUP(A1554,NOTAS!C:I,7,0)</f>
        <v/>
      </c>
      <c r="N1564" s="10"/>
      <c r="O1564" s="10"/>
    </row>
    <row r="1565" spans="1:15" x14ac:dyDescent="0.3">
      <c r="A1565" s="72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0"/>
      <c r="O1565" s="10"/>
    </row>
    <row r="1566" spans="1:15" x14ac:dyDescent="0.3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</row>
    <row r="1567" spans="1:15" x14ac:dyDescent="0.3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</row>
    <row r="1568" spans="1:15" x14ac:dyDescent="0.3">
      <c r="A1568" s="58" t="s">
        <v>38</v>
      </c>
      <c r="B1568" s="57" t="s">
        <v>35</v>
      </c>
      <c r="C1568" s="57" t="s">
        <v>56</v>
      </c>
      <c r="D1568" s="57" t="s">
        <v>57</v>
      </c>
      <c r="E1568" s="57" t="s">
        <v>58</v>
      </c>
      <c r="F1568" s="57" t="s">
        <v>59</v>
      </c>
      <c r="G1568" s="57" t="s">
        <v>60</v>
      </c>
      <c r="H1568" s="57" t="s">
        <v>36</v>
      </c>
      <c r="I1568" s="57" t="s">
        <v>61</v>
      </c>
      <c r="J1568" s="57" t="s">
        <v>34</v>
      </c>
      <c r="K1568" s="57" t="s">
        <v>62</v>
      </c>
      <c r="L1568" s="16" t="s">
        <v>33</v>
      </c>
      <c r="M1568" s="57" t="s">
        <v>37</v>
      </c>
      <c r="N1568" s="10"/>
      <c r="O1568" s="10"/>
    </row>
    <row r="1569" spans="1:15" ht="15.6" x14ac:dyDescent="0.3">
      <c r="A1569" s="58" t="str" cm="1">
        <f t="array" ref="A1569">IF(ISERROR(INDEX(ListaDeAlunos,(((ROW()-2)/17)+1),(COLUMN()+1))),"",INDEX(ListaDeAlunos,(((ROW()-2)/17)+1),(COLUMN()+1)))</f>
        <v/>
      </c>
      <c r="B1569" s="17" t="str">
        <f>VLOOKUP($A1569,NotaIndividualPorAlunoPROVAO,2,0)</f>
        <v/>
      </c>
      <c r="C1569" s="18" t="str">
        <f>VLOOKUP($A1569,NotaIndividualPorAlunoPROVAO,3,0)</f>
        <v/>
      </c>
      <c r="D1569" s="17" t="str">
        <f>VLOOKUP($A1569,NotaIndividualPorAlunoPROVAO,4,0)</f>
        <v/>
      </c>
      <c r="E1569" s="18" t="str">
        <f>VLOOKUP($A1569,NotaIndividualPorAlunoPROVAO,5,0)</f>
        <v/>
      </c>
      <c r="F1569" s="17" t="str">
        <f>VLOOKUP($A1569,NotaIndividualPorAlunoPROVAO,6,0)</f>
        <v/>
      </c>
      <c r="G1569" s="18" t="str">
        <f>VLOOKUP($A1569,NotaIndividualPorAlunoPROVAO,7,0)</f>
        <v/>
      </c>
      <c r="H1569" s="17" t="str">
        <f>VLOOKUP($A1569,NotaIndividualPorAlunoPROVAO,8,0)</f>
        <v/>
      </c>
      <c r="I1569" s="18" t="str">
        <f>VLOOKUP($A1569,NotaIndividualPorAlunoPROVAO,9,0)</f>
        <v/>
      </c>
      <c r="J1569" s="17" t="str">
        <f>VLOOKUP($A1569,NotaIndividualPorAlunoPROVAO,10,0)</f>
        <v/>
      </c>
      <c r="K1569" s="18" t="str">
        <f>VLOOKUP($A1569,NotaIndividualPorAlunoPROVAO,11,0)</f>
        <v/>
      </c>
      <c r="L1569" s="15" t="str">
        <f>VLOOKUP($A1569,NotaIndividualPorAlunoPROVAO,12,0)</f>
        <v/>
      </c>
      <c r="M1569" s="25" t="str">
        <f>VLOOKUP($A1569,NotaIndividualPorAlunoPROVAO,13,0)</f>
        <v/>
      </c>
      <c r="N1569" s="10"/>
      <c r="O1569" s="10"/>
    </row>
    <row r="1570" spans="1:15" x14ac:dyDescent="0.3">
      <c r="N1570" s="10"/>
      <c r="O1570" s="10"/>
    </row>
    <row r="1571" spans="1:15" x14ac:dyDescent="0.3">
      <c r="A1571" s="72" t="str">
        <f>A1569</f>
        <v/>
      </c>
      <c r="B1571" s="73" t="s">
        <v>15</v>
      </c>
      <c r="C1571" s="57" t="s">
        <v>2</v>
      </c>
      <c r="D1571" s="57" t="s">
        <v>3</v>
      </c>
      <c r="E1571" s="57" t="s">
        <v>4</v>
      </c>
      <c r="F1571" s="57" t="s">
        <v>5</v>
      </c>
      <c r="G1571" s="57" t="s">
        <v>6</v>
      </c>
      <c r="H1571" s="57" t="s">
        <v>7</v>
      </c>
      <c r="I1571" s="57" t="s">
        <v>8</v>
      </c>
      <c r="J1571" s="57" t="s">
        <v>9</v>
      </c>
      <c r="K1571" s="57" t="s">
        <v>10</v>
      </c>
      <c r="L1571" s="57" t="s">
        <v>11</v>
      </c>
      <c r="M1571" s="57" t="s">
        <v>13</v>
      </c>
      <c r="N1571" s="10"/>
      <c r="O1571" s="10"/>
    </row>
    <row r="1572" spans="1:15" ht="15.6" x14ac:dyDescent="0.3">
      <c r="A1572" s="72"/>
      <c r="B1572" s="73"/>
      <c r="C1572" s="5" t="str">
        <f t="shared" ref="C1572:L1572" si="276">VLOOKUP($A1571,NotaIndividualPorAlunoMAT,RIGHT(C1571,2)+1,0)</f>
        <v/>
      </c>
      <c r="D1572" s="5" t="str">
        <f t="shared" si="276"/>
        <v/>
      </c>
      <c r="E1572" s="5" t="str">
        <f t="shared" si="276"/>
        <v/>
      </c>
      <c r="F1572" s="5" t="str">
        <f t="shared" si="276"/>
        <v/>
      </c>
      <c r="G1572" s="5" t="str">
        <f t="shared" si="276"/>
        <v/>
      </c>
      <c r="H1572" s="5" t="str">
        <f t="shared" si="276"/>
        <v/>
      </c>
      <c r="I1572" s="5" t="str">
        <f t="shared" si="276"/>
        <v/>
      </c>
      <c r="J1572" s="5" t="str">
        <f t="shared" si="276"/>
        <v/>
      </c>
      <c r="K1572" s="5" t="str">
        <f t="shared" si="276"/>
        <v/>
      </c>
      <c r="L1572" s="5" t="str">
        <f t="shared" si="276"/>
        <v/>
      </c>
      <c r="M1572" s="19" t="str">
        <f>VLOOKUP($A1571,NotaIndividualPorAlunoMAT,RIGHT(L1571,2)+2,0)</f>
        <v/>
      </c>
      <c r="N1572" s="10"/>
      <c r="O1572" s="10"/>
    </row>
    <row r="1573" spans="1:15" x14ac:dyDescent="0.3">
      <c r="A1573" s="72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0"/>
      <c r="O1573" s="10"/>
    </row>
    <row r="1574" spans="1:15" x14ac:dyDescent="0.3">
      <c r="A1574" s="72"/>
      <c r="B1574" s="73" t="s">
        <v>14</v>
      </c>
      <c r="C1574" s="57" t="s">
        <v>46</v>
      </c>
      <c r="D1574" s="57" t="s">
        <v>47</v>
      </c>
      <c r="E1574" s="57" t="s">
        <v>48</v>
      </c>
      <c r="F1574" s="57" t="s">
        <v>49</v>
      </c>
      <c r="G1574" s="57" t="s">
        <v>50</v>
      </c>
      <c r="H1574" s="57" t="s">
        <v>51</v>
      </c>
      <c r="I1574" s="57" t="s">
        <v>52</v>
      </c>
      <c r="J1574" s="57" t="s">
        <v>53</v>
      </c>
      <c r="K1574" s="57" t="s">
        <v>54</v>
      </c>
      <c r="L1574" s="57" t="s">
        <v>55</v>
      </c>
      <c r="M1574" s="57" t="s">
        <v>13</v>
      </c>
      <c r="N1574" s="10"/>
      <c r="O1574" s="10"/>
    </row>
    <row r="1575" spans="1:15" ht="15.6" x14ac:dyDescent="0.3">
      <c r="A1575" s="72"/>
      <c r="B1575" s="73"/>
      <c r="C1575" s="3" t="str">
        <f t="shared" ref="C1575:L1575" si="277">VLOOKUP($A1571,NotaIndividualPorAlunoQUI,RIGHT(C1574,2)-9,0)</f>
        <v/>
      </c>
      <c r="D1575" s="3" t="str">
        <f t="shared" si="277"/>
        <v/>
      </c>
      <c r="E1575" s="3" t="str">
        <f t="shared" si="277"/>
        <v/>
      </c>
      <c r="F1575" s="3" t="str">
        <f t="shared" si="277"/>
        <v/>
      </c>
      <c r="G1575" s="3" t="str">
        <f t="shared" si="277"/>
        <v/>
      </c>
      <c r="H1575" s="3" t="str">
        <f t="shared" si="277"/>
        <v/>
      </c>
      <c r="I1575" s="3" t="str">
        <f t="shared" si="277"/>
        <v/>
      </c>
      <c r="J1575" s="3" t="str">
        <f t="shared" si="277"/>
        <v/>
      </c>
      <c r="K1575" s="3" t="str">
        <f t="shared" si="277"/>
        <v/>
      </c>
      <c r="L1575" s="3" t="str">
        <f t="shared" si="277"/>
        <v/>
      </c>
      <c r="M1575" s="19" t="str">
        <f>VLOOKUP($A1571,NotaIndividualPorAlunoQUI,RIGHT(L1574,2)-8,0)</f>
        <v/>
      </c>
      <c r="N1575" s="10"/>
      <c r="O1575" s="10"/>
    </row>
    <row r="1576" spans="1:15" x14ac:dyDescent="0.3">
      <c r="A1576" s="72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0"/>
      <c r="O1576" s="10"/>
    </row>
    <row r="1577" spans="1:15" x14ac:dyDescent="0.3">
      <c r="A1577" s="72"/>
      <c r="B1577" s="73" t="s">
        <v>12</v>
      </c>
      <c r="C1577" s="57" t="s">
        <v>2</v>
      </c>
      <c r="D1577" s="57" t="s">
        <v>3</v>
      </c>
      <c r="E1577" s="57" t="s">
        <v>4</v>
      </c>
      <c r="F1577" s="57" t="s">
        <v>5</v>
      </c>
      <c r="G1577" s="57" t="s">
        <v>6</v>
      </c>
      <c r="H1577" s="57" t="s">
        <v>7</v>
      </c>
      <c r="I1577" s="57" t="s">
        <v>8</v>
      </c>
      <c r="J1577" s="57" t="s">
        <v>9</v>
      </c>
      <c r="K1577" s="57" t="s">
        <v>10</v>
      </c>
      <c r="L1577" s="57" t="s">
        <v>11</v>
      </c>
      <c r="M1577" s="57" t="s">
        <v>13</v>
      </c>
      <c r="N1577" s="10"/>
      <c r="O1577" s="10"/>
    </row>
    <row r="1578" spans="1:15" ht="15.6" x14ac:dyDescent="0.3">
      <c r="A1578" s="72"/>
      <c r="B1578" s="73"/>
      <c r="C1578" s="3" t="str">
        <f t="shared" ref="C1578:L1578" si="278">VLOOKUP($A1571,NotaIndividualPorAlunoFIS,RIGHT(C1577,2)+1,0)</f>
        <v/>
      </c>
      <c r="D1578" s="3" t="str">
        <f t="shared" si="278"/>
        <v/>
      </c>
      <c r="E1578" s="3" t="str">
        <f t="shared" si="278"/>
        <v/>
      </c>
      <c r="F1578" s="3" t="str">
        <f t="shared" si="278"/>
        <v/>
      </c>
      <c r="G1578" s="3" t="str">
        <f t="shared" si="278"/>
        <v/>
      </c>
      <c r="H1578" s="3" t="str">
        <f t="shared" si="278"/>
        <v/>
      </c>
      <c r="I1578" s="3" t="str">
        <f t="shared" si="278"/>
        <v/>
      </c>
      <c r="J1578" s="3" t="str">
        <f t="shared" si="278"/>
        <v/>
      </c>
      <c r="K1578" s="3" t="str">
        <f t="shared" si="278"/>
        <v/>
      </c>
      <c r="L1578" s="3" t="str">
        <f t="shared" si="278"/>
        <v/>
      </c>
      <c r="M1578" s="19" t="str">
        <f>VLOOKUP($A1571,NotaIndividualPorAlunoFIS,RIGHT(L1577,2)+2,0)</f>
        <v/>
      </c>
      <c r="N1578" s="10"/>
      <c r="O1578" s="10"/>
    </row>
    <row r="1579" spans="1:15" ht="15.6" x14ac:dyDescent="0.3">
      <c r="A1579" s="72"/>
      <c r="B1579" s="12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0"/>
      <c r="O1579" s="10"/>
    </row>
    <row r="1580" spans="1:15" ht="15.6" x14ac:dyDescent="0.3">
      <c r="A1580" s="72"/>
      <c r="B1580" s="73" t="s">
        <v>16</v>
      </c>
      <c r="C1580" s="23" t="s">
        <v>41</v>
      </c>
      <c r="D1580" s="58" t="s">
        <v>42</v>
      </c>
      <c r="E1580" s="23" t="s">
        <v>43</v>
      </c>
      <c r="F1580" s="58" t="s">
        <v>44</v>
      </c>
      <c r="G1580" s="23" t="s">
        <v>63</v>
      </c>
      <c r="H1580" s="58" t="s">
        <v>32</v>
      </c>
      <c r="I1580" s="14"/>
      <c r="J1580" s="14"/>
      <c r="K1580" s="14"/>
      <c r="L1580" s="14"/>
      <c r="M1580" s="15" t="s">
        <v>18</v>
      </c>
      <c r="N1580" s="10"/>
      <c r="O1580" s="10"/>
    </row>
    <row r="1581" spans="1:15" ht="15.6" x14ac:dyDescent="0.3">
      <c r="A1581" s="72"/>
      <c r="B1581" s="73"/>
      <c r="C1581" s="26" t="str">
        <f>VLOOKUP($A1571,NotaIndividualPorAlunoRED,2,0)</f>
        <v/>
      </c>
      <c r="D1581" s="26" t="str">
        <f>VLOOKUP($A1571,NotaIndividualPorAlunoRED,3,0)</f>
        <v/>
      </c>
      <c r="E1581" s="26" t="str">
        <f>VLOOKUP($A1571,NotaIndividualPorAlunoRED,4,0)</f>
        <v/>
      </c>
      <c r="F1581" s="26" t="str">
        <f>VLOOKUP($A1571,NotaIndividualPorAlunoRED,5,0)</f>
        <v/>
      </c>
      <c r="G1581" s="26" t="str">
        <f>VLOOKUP($A1571,NotaIndividualPorAlunoRED,6,0)</f>
        <v/>
      </c>
      <c r="H1581" s="21" t="str">
        <f>VLOOKUP($A1571,NotaIndividualPorAlunoRED,7,0)</f>
        <v/>
      </c>
      <c r="I1581" s="14"/>
      <c r="J1581" s="14"/>
      <c r="K1581" s="14"/>
      <c r="L1581" s="14"/>
      <c r="M1581" s="20" t="str">
        <f>VLOOKUP(A1571,NOTAS!C:I,7,0)</f>
        <v/>
      </c>
      <c r="N1581" s="10"/>
      <c r="O1581" s="10"/>
    </row>
    <row r="1582" spans="1:15" x14ac:dyDescent="0.3">
      <c r="A1582" s="72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0"/>
      <c r="O1582" s="10"/>
    </row>
    <row r="1583" spans="1:15" x14ac:dyDescent="0.3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</row>
    <row r="1584" spans="1:15" x14ac:dyDescent="0.3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</row>
    <row r="1585" spans="1:15" x14ac:dyDescent="0.3">
      <c r="A1585" s="58" t="s">
        <v>38</v>
      </c>
      <c r="B1585" s="57" t="s">
        <v>35</v>
      </c>
      <c r="C1585" s="57" t="s">
        <v>56</v>
      </c>
      <c r="D1585" s="57" t="s">
        <v>57</v>
      </c>
      <c r="E1585" s="57" t="s">
        <v>58</v>
      </c>
      <c r="F1585" s="57" t="s">
        <v>59</v>
      </c>
      <c r="G1585" s="57" t="s">
        <v>60</v>
      </c>
      <c r="H1585" s="57" t="s">
        <v>36</v>
      </c>
      <c r="I1585" s="57" t="s">
        <v>61</v>
      </c>
      <c r="J1585" s="57" t="s">
        <v>34</v>
      </c>
      <c r="K1585" s="57" t="s">
        <v>62</v>
      </c>
      <c r="L1585" s="16" t="s">
        <v>33</v>
      </c>
      <c r="M1585" s="57" t="s">
        <v>37</v>
      </c>
      <c r="N1585" s="10"/>
      <c r="O1585" s="10"/>
    </row>
    <row r="1586" spans="1:15" ht="15.6" x14ac:dyDescent="0.3">
      <c r="A1586" s="58" t="str" cm="1">
        <f t="array" ref="A1586">IF(ISERROR(INDEX(ListaDeAlunos,(((ROW()-2)/17)+1),(COLUMN()+1))),"",INDEX(ListaDeAlunos,(((ROW()-2)/17)+1),(COLUMN()+1)))</f>
        <v/>
      </c>
      <c r="B1586" s="17" t="str">
        <f>VLOOKUP($A1586,NotaIndividualPorAlunoPROVAO,2,0)</f>
        <v/>
      </c>
      <c r="C1586" s="18" t="str">
        <f>VLOOKUP($A1586,NotaIndividualPorAlunoPROVAO,3,0)</f>
        <v/>
      </c>
      <c r="D1586" s="17" t="str">
        <f>VLOOKUP($A1586,NotaIndividualPorAlunoPROVAO,4,0)</f>
        <v/>
      </c>
      <c r="E1586" s="18" t="str">
        <f>VLOOKUP($A1586,NotaIndividualPorAlunoPROVAO,5,0)</f>
        <v/>
      </c>
      <c r="F1586" s="17" t="str">
        <f>VLOOKUP($A1586,NotaIndividualPorAlunoPROVAO,6,0)</f>
        <v/>
      </c>
      <c r="G1586" s="18" t="str">
        <f>VLOOKUP($A1586,NotaIndividualPorAlunoPROVAO,7,0)</f>
        <v/>
      </c>
      <c r="H1586" s="17" t="str">
        <f>VLOOKUP($A1586,NotaIndividualPorAlunoPROVAO,8,0)</f>
        <v/>
      </c>
      <c r="I1586" s="18" t="str">
        <f>VLOOKUP($A1586,NotaIndividualPorAlunoPROVAO,9,0)</f>
        <v/>
      </c>
      <c r="J1586" s="17" t="str">
        <f>VLOOKUP($A1586,NotaIndividualPorAlunoPROVAO,10,0)</f>
        <v/>
      </c>
      <c r="K1586" s="18" t="str">
        <f>VLOOKUP($A1586,NotaIndividualPorAlunoPROVAO,11,0)</f>
        <v/>
      </c>
      <c r="L1586" s="15" t="str">
        <f>VLOOKUP($A1586,NotaIndividualPorAlunoPROVAO,12,0)</f>
        <v/>
      </c>
      <c r="M1586" s="25" t="str">
        <f>VLOOKUP($A1586,NotaIndividualPorAlunoPROVAO,13,0)</f>
        <v/>
      </c>
      <c r="N1586" s="10"/>
      <c r="O1586" s="10"/>
    </row>
    <row r="1587" spans="1:15" x14ac:dyDescent="0.3">
      <c r="N1587" s="10"/>
      <c r="O1587" s="10"/>
    </row>
    <row r="1588" spans="1:15" x14ac:dyDescent="0.3">
      <c r="A1588" s="72" t="str">
        <f>A1586</f>
        <v/>
      </c>
      <c r="B1588" s="73" t="s">
        <v>15</v>
      </c>
      <c r="C1588" s="57" t="s">
        <v>2</v>
      </c>
      <c r="D1588" s="57" t="s">
        <v>3</v>
      </c>
      <c r="E1588" s="57" t="s">
        <v>4</v>
      </c>
      <c r="F1588" s="57" t="s">
        <v>5</v>
      </c>
      <c r="G1588" s="57" t="s">
        <v>6</v>
      </c>
      <c r="H1588" s="57" t="s">
        <v>7</v>
      </c>
      <c r="I1588" s="57" t="s">
        <v>8</v>
      </c>
      <c r="J1588" s="57" t="s">
        <v>9</v>
      </c>
      <c r="K1588" s="57" t="s">
        <v>10</v>
      </c>
      <c r="L1588" s="57" t="s">
        <v>11</v>
      </c>
      <c r="M1588" s="57" t="s">
        <v>13</v>
      </c>
      <c r="N1588" s="10"/>
      <c r="O1588" s="10"/>
    </row>
    <row r="1589" spans="1:15" ht="15.6" x14ac:dyDescent="0.3">
      <c r="A1589" s="72"/>
      <c r="B1589" s="73"/>
      <c r="C1589" s="5" t="str">
        <f t="shared" ref="C1589:L1589" si="279">VLOOKUP($A1588,NotaIndividualPorAlunoMAT,RIGHT(C1588,2)+1,0)</f>
        <v/>
      </c>
      <c r="D1589" s="5" t="str">
        <f t="shared" si="279"/>
        <v/>
      </c>
      <c r="E1589" s="5" t="str">
        <f t="shared" si="279"/>
        <v/>
      </c>
      <c r="F1589" s="5" t="str">
        <f t="shared" si="279"/>
        <v/>
      </c>
      <c r="G1589" s="5" t="str">
        <f t="shared" si="279"/>
        <v/>
      </c>
      <c r="H1589" s="5" t="str">
        <f t="shared" si="279"/>
        <v/>
      </c>
      <c r="I1589" s="5" t="str">
        <f t="shared" si="279"/>
        <v/>
      </c>
      <c r="J1589" s="5" t="str">
        <f t="shared" si="279"/>
        <v/>
      </c>
      <c r="K1589" s="5" t="str">
        <f t="shared" si="279"/>
        <v/>
      </c>
      <c r="L1589" s="5" t="str">
        <f t="shared" si="279"/>
        <v/>
      </c>
      <c r="M1589" s="19" t="str">
        <f>VLOOKUP($A1588,NotaIndividualPorAlunoMAT,RIGHT(L1588,2)+2,0)</f>
        <v/>
      </c>
      <c r="N1589" s="10"/>
      <c r="O1589" s="10"/>
    </row>
    <row r="1590" spans="1:15" x14ac:dyDescent="0.3">
      <c r="A1590" s="72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0"/>
      <c r="O1590" s="10"/>
    </row>
    <row r="1591" spans="1:15" x14ac:dyDescent="0.3">
      <c r="A1591" s="72"/>
      <c r="B1591" s="73" t="s">
        <v>14</v>
      </c>
      <c r="C1591" s="57" t="s">
        <v>46</v>
      </c>
      <c r="D1591" s="57" t="s">
        <v>47</v>
      </c>
      <c r="E1591" s="57" t="s">
        <v>48</v>
      </c>
      <c r="F1591" s="57" t="s">
        <v>49</v>
      </c>
      <c r="G1591" s="57" t="s">
        <v>50</v>
      </c>
      <c r="H1591" s="57" t="s">
        <v>51</v>
      </c>
      <c r="I1591" s="57" t="s">
        <v>52</v>
      </c>
      <c r="J1591" s="57" t="s">
        <v>53</v>
      </c>
      <c r="K1591" s="57" t="s">
        <v>54</v>
      </c>
      <c r="L1591" s="57" t="s">
        <v>55</v>
      </c>
      <c r="M1591" s="57" t="s">
        <v>13</v>
      </c>
      <c r="N1591" s="10"/>
      <c r="O1591" s="10"/>
    </row>
    <row r="1592" spans="1:15" ht="15.6" x14ac:dyDescent="0.3">
      <c r="A1592" s="72"/>
      <c r="B1592" s="73"/>
      <c r="C1592" s="3" t="str">
        <f t="shared" ref="C1592:L1592" si="280">VLOOKUP($A1588,NotaIndividualPorAlunoQUI,RIGHT(C1591,2)-9,0)</f>
        <v/>
      </c>
      <c r="D1592" s="3" t="str">
        <f t="shared" si="280"/>
        <v/>
      </c>
      <c r="E1592" s="3" t="str">
        <f t="shared" si="280"/>
        <v/>
      </c>
      <c r="F1592" s="3" t="str">
        <f t="shared" si="280"/>
        <v/>
      </c>
      <c r="G1592" s="3" t="str">
        <f t="shared" si="280"/>
        <v/>
      </c>
      <c r="H1592" s="3" t="str">
        <f t="shared" si="280"/>
        <v/>
      </c>
      <c r="I1592" s="3" t="str">
        <f t="shared" si="280"/>
        <v/>
      </c>
      <c r="J1592" s="3" t="str">
        <f t="shared" si="280"/>
        <v/>
      </c>
      <c r="K1592" s="3" t="str">
        <f t="shared" si="280"/>
        <v/>
      </c>
      <c r="L1592" s="3" t="str">
        <f t="shared" si="280"/>
        <v/>
      </c>
      <c r="M1592" s="19" t="str">
        <f>VLOOKUP($A1588,NotaIndividualPorAlunoQUI,RIGHT(L1591,2)-8,0)</f>
        <v/>
      </c>
      <c r="N1592" s="10"/>
      <c r="O1592" s="10"/>
    </row>
    <row r="1593" spans="1:15" x14ac:dyDescent="0.3">
      <c r="A1593" s="72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0"/>
      <c r="O1593" s="10"/>
    </row>
    <row r="1594" spans="1:15" x14ac:dyDescent="0.3">
      <c r="A1594" s="72"/>
      <c r="B1594" s="73" t="s">
        <v>12</v>
      </c>
      <c r="C1594" s="57" t="s">
        <v>2</v>
      </c>
      <c r="D1594" s="57" t="s">
        <v>3</v>
      </c>
      <c r="E1594" s="57" t="s">
        <v>4</v>
      </c>
      <c r="F1594" s="57" t="s">
        <v>5</v>
      </c>
      <c r="G1594" s="57" t="s">
        <v>6</v>
      </c>
      <c r="H1594" s="57" t="s">
        <v>7</v>
      </c>
      <c r="I1594" s="57" t="s">
        <v>8</v>
      </c>
      <c r="J1594" s="57" t="s">
        <v>9</v>
      </c>
      <c r="K1594" s="57" t="s">
        <v>10</v>
      </c>
      <c r="L1594" s="57" t="s">
        <v>11</v>
      </c>
      <c r="M1594" s="57" t="s">
        <v>13</v>
      </c>
      <c r="N1594" s="10"/>
      <c r="O1594" s="10"/>
    </row>
    <row r="1595" spans="1:15" ht="15.6" x14ac:dyDescent="0.3">
      <c r="A1595" s="72"/>
      <c r="B1595" s="73"/>
      <c r="C1595" s="3" t="str">
        <f t="shared" ref="C1595:L1595" si="281">VLOOKUP($A1588,NotaIndividualPorAlunoFIS,RIGHT(C1594,2)+1,0)</f>
        <v/>
      </c>
      <c r="D1595" s="3" t="str">
        <f t="shared" si="281"/>
        <v/>
      </c>
      <c r="E1595" s="3" t="str">
        <f t="shared" si="281"/>
        <v/>
      </c>
      <c r="F1595" s="3" t="str">
        <f t="shared" si="281"/>
        <v/>
      </c>
      <c r="G1595" s="3" t="str">
        <f t="shared" si="281"/>
        <v/>
      </c>
      <c r="H1595" s="3" t="str">
        <f t="shared" si="281"/>
        <v/>
      </c>
      <c r="I1595" s="3" t="str">
        <f t="shared" si="281"/>
        <v/>
      </c>
      <c r="J1595" s="3" t="str">
        <f t="shared" si="281"/>
        <v/>
      </c>
      <c r="K1595" s="3" t="str">
        <f t="shared" si="281"/>
        <v/>
      </c>
      <c r="L1595" s="3" t="str">
        <f t="shared" si="281"/>
        <v/>
      </c>
      <c r="M1595" s="19" t="str">
        <f>VLOOKUP($A1588,NotaIndividualPorAlunoFIS,RIGHT(L1594,2)+2,0)</f>
        <v/>
      </c>
      <c r="N1595" s="10"/>
      <c r="O1595" s="10"/>
    </row>
    <row r="1596" spans="1:15" ht="15.6" x14ac:dyDescent="0.3">
      <c r="A1596" s="72"/>
      <c r="B1596" s="12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0"/>
      <c r="O1596" s="10"/>
    </row>
    <row r="1597" spans="1:15" ht="15.6" x14ac:dyDescent="0.3">
      <c r="A1597" s="72"/>
      <c r="B1597" s="73" t="s">
        <v>16</v>
      </c>
      <c r="C1597" s="23" t="s">
        <v>41</v>
      </c>
      <c r="D1597" s="58" t="s">
        <v>42</v>
      </c>
      <c r="E1597" s="23" t="s">
        <v>43</v>
      </c>
      <c r="F1597" s="58" t="s">
        <v>44</v>
      </c>
      <c r="G1597" s="23" t="s">
        <v>63</v>
      </c>
      <c r="H1597" s="58" t="s">
        <v>32</v>
      </c>
      <c r="I1597" s="14"/>
      <c r="J1597" s="14"/>
      <c r="K1597" s="14"/>
      <c r="L1597" s="14"/>
      <c r="M1597" s="15" t="s">
        <v>18</v>
      </c>
      <c r="N1597" s="10"/>
      <c r="O1597" s="10"/>
    </row>
    <row r="1598" spans="1:15" ht="15.6" x14ac:dyDescent="0.3">
      <c r="A1598" s="72"/>
      <c r="B1598" s="73"/>
      <c r="C1598" s="26" t="str">
        <f>VLOOKUP($A1588,NotaIndividualPorAlunoRED,2,0)</f>
        <v/>
      </c>
      <c r="D1598" s="26" t="str">
        <f>VLOOKUP($A1588,NotaIndividualPorAlunoRED,3,0)</f>
        <v/>
      </c>
      <c r="E1598" s="26" t="str">
        <f>VLOOKUP($A1588,NotaIndividualPorAlunoRED,4,0)</f>
        <v/>
      </c>
      <c r="F1598" s="26" t="str">
        <f>VLOOKUP($A1588,NotaIndividualPorAlunoRED,5,0)</f>
        <v/>
      </c>
      <c r="G1598" s="26" t="str">
        <f>VLOOKUP($A1588,NotaIndividualPorAlunoRED,6,0)</f>
        <v/>
      </c>
      <c r="H1598" s="21" t="str">
        <f>VLOOKUP($A1588,NotaIndividualPorAlunoRED,7,0)</f>
        <v/>
      </c>
      <c r="I1598" s="14"/>
      <c r="J1598" s="14"/>
      <c r="K1598" s="14"/>
      <c r="L1598" s="14"/>
      <c r="M1598" s="20" t="str">
        <f>VLOOKUP(A1588,NOTAS!C:I,7,0)</f>
        <v/>
      </c>
      <c r="N1598" s="10"/>
      <c r="O1598" s="10"/>
    </row>
    <row r="1599" spans="1:15" x14ac:dyDescent="0.3">
      <c r="A1599" s="72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0"/>
      <c r="O1599" s="10"/>
    </row>
    <row r="1600" spans="1:15" x14ac:dyDescent="0.3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</row>
    <row r="1601" spans="1:15" x14ac:dyDescent="0.3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</row>
    <row r="1602" spans="1:15" x14ac:dyDescent="0.3">
      <c r="A1602" s="58" t="s">
        <v>38</v>
      </c>
      <c r="B1602" s="57" t="s">
        <v>35</v>
      </c>
      <c r="C1602" s="57" t="s">
        <v>56</v>
      </c>
      <c r="D1602" s="57" t="s">
        <v>57</v>
      </c>
      <c r="E1602" s="57" t="s">
        <v>58</v>
      </c>
      <c r="F1602" s="57" t="s">
        <v>59</v>
      </c>
      <c r="G1602" s="57" t="s">
        <v>60</v>
      </c>
      <c r="H1602" s="57" t="s">
        <v>36</v>
      </c>
      <c r="I1602" s="57" t="s">
        <v>61</v>
      </c>
      <c r="J1602" s="57" t="s">
        <v>34</v>
      </c>
      <c r="K1602" s="57" t="s">
        <v>62</v>
      </c>
      <c r="L1602" s="16" t="s">
        <v>33</v>
      </c>
      <c r="M1602" s="57" t="s">
        <v>37</v>
      </c>
      <c r="N1602" s="10"/>
      <c r="O1602" s="10"/>
    </row>
    <row r="1603" spans="1:15" ht="15.6" x14ac:dyDescent="0.3">
      <c r="A1603" s="58" t="str" cm="1">
        <f t="array" ref="A1603">IF(ISERROR(INDEX(ListaDeAlunos,(((ROW()-2)/17)+1),(COLUMN()+1))),"",INDEX(ListaDeAlunos,(((ROW()-2)/17)+1),(COLUMN()+1)))</f>
        <v/>
      </c>
      <c r="B1603" s="17" t="str">
        <f>VLOOKUP($A1603,NotaIndividualPorAlunoPROVAO,2,0)</f>
        <v/>
      </c>
      <c r="C1603" s="18" t="str">
        <f>VLOOKUP($A1603,NotaIndividualPorAlunoPROVAO,3,0)</f>
        <v/>
      </c>
      <c r="D1603" s="17" t="str">
        <f>VLOOKUP($A1603,NotaIndividualPorAlunoPROVAO,4,0)</f>
        <v/>
      </c>
      <c r="E1603" s="18" t="str">
        <f>VLOOKUP($A1603,NotaIndividualPorAlunoPROVAO,5,0)</f>
        <v/>
      </c>
      <c r="F1603" s="17" t="str">
        <f>VLOOKUP($A1603,NotaIndividualPorAlunoPROVAO,6,0)</f>
        <v/>
      </c>
      <c r="G1603" s="18" t="str">
        <f>VLOOKUP($A1603,NotaIndividualPorAlunoPROVAO,7,0)</f>
        <v/>
      </c>
      <c r="H1603" s="17" t="str">
        <f>VLOOKUP($A1603,NotaIndividualPorAlunoPROVAO,8,0)</f>
        <v/>
      </c>
      <c r="I1603" s="18" t="str">
        <f>VLOOKUP($A1603,NotaIndividualPorAlunoPROVAO,9,0)</f>
        <v/>
      </c>
      <c r="J1603" s="17" t="str">
        <f>VLOOKUP($A1603,NotaIndividualPorAlunoPROVAO,10,0)</f>
        <v/>
      </c>
      <c r="K1603" s="18" t="str">
        <f>VLOOKUP($A1603,NotaIndividualPorAlunoPROVAO,11,0)</f>
        <v/>
      </c>
      <c r="L1603" s="15" t="str">
        <f>VLOOKUP($A1603,NotaIndividualPorAlunoPROVAO,12,0)</f>
        <v/>
      </c>
      <c r="M1603" s="25" t="str">
        <f>VLOOKUP($A1603,NotaIndividualPorAlunoPROVAO,13,0)</f>
        <v/>
      </c>
      <c r="N1603" s="10"/>
      <c r="O1603" s="10"/>
    </row>
    <row r="1604" spans="1:15" x14ac:dyDescent="0.3">
      <c r="N1604" s="10"/>
      <c r="O1604" s="10"/>
    </row>
    <row r="1605" spans="1:15" x14ac:dyDescent="0.3">
      <c r="A1605" s="72" t="str">
        <f>A1603</f>
        <v/>
      </c>
      <c r="B1605" s="73" t="s">
        <v>15</v>
      </c>
      <c r="C1605" s="57" t="s">
        <v>2</v>
      </c>
      <c r="D1605" s="57" t="s">
        <v>3</v>
      </c>
      <c r="E1605" s="57" t="s">
        <v>4</v>
      </c>
      <c r="F1605" s="57" t="s">
        <v>5</v>
      </c>
      <c r="G1605" s="57" t="s">
        <v>6</v>
      </c>
      <c r="H1605" s="57" t="s">
        <v>7</v>
      </c>
      <c r="I1605" s="57" t="s">
        <v>8</v>
      </c>
      <c r="J1605" s="57" t="s">
        <v>9</v>
      </c>
      <c r="K1605" s="57" t="s">
        <v>10</v>
      </c>
      <c r="L1605" s="57" t="s">
        <v>11</v>
      </c>
      <c r="M1605" s="57" t="s">
        <v>13</v>
      </c>
      <c r="N1605" s="10"/>
      <c r="O1605" s="10"/>
    </row>
    <row r="1606" spans="1:15" ht="15.6" x14ac:dyDescent="0.3">
      <c r="A1606" s="72"/>
      <c r="B1606" s="73"/>
      <c r="C1606" s="5" t="str">
        <f t="shared" ref="C1606:L1606" si="282">VLOOKUP($A1605,NotaIndividualPorAlunoMAT,RIGHT(C1605,2)+1,0)</f>
        <v/>
      </c>
      <c r="D1606" s="5" t="str">
        <f t="shared" si="282"/>
        <v/>
      </c>
      <c r="E1606" s="5" t="str">
        <f t="shared" si="282"/>
        <v/>
      </c>
      <c r="F1606" s="5" t="str">
        <f t="shared" si="282"/>
        <v/>
      </c>
      <c r="G1606" s="5" t="str">
        <f t="shared" si="282"/>
        <v/>
      </c>
      <c r="H1606" s="5" t="str">
        <f t="shared" si="282"/>
        <v/>
      </c>
      <c r="I1606" s="5" t="str">
        <f t="shared" si="282"/>
        <v/>
      </c>
      <c r="J1606" s="5" t="str">
        <f t="shared" si="282"/>
        <v/>
      </c>
      <c r="K1606" s="5" t="str">
        <f t="shared" si="282"/>
        <v/>
      </c>
      <c r="L1606" s="5" t="str">
        <f t="shared" si="282"/>
        <v/>
      </c>
      <c r="M1606" s="19" t="str">
        <f>VLOOKUP($A1605,NotaIndividualPorAlunoMAT,RIGHT(L1605,2)+2,0)</f>
        <v/>
      </c>
      <c r="N1606" s="10"/>
      <c r="O1606" s="10"/>
    </row>
    <row r="1607" spans="1:15" x14ac:dyDescent="0.3">
      <c r="A1607" s="72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0"/>
      <c r="O1607" s="10"/>
    </row>
    <row r="1608" spans="1:15" x14ac:dyDescent="0.3">
      <c r="A1608" s="72"/>
      <c r="B1608" s="73" t="s">
        <v>14</v>
      </c>
      <c r="C1608" s="57" t="s">
        <v>46</v>
      </c>
      <c r="D1608" s="57" t="s">
        <v>47</v>
      </c>
      <c r="E1608" s="57" t="s">
        <v>48</v>
      </c>
      <c r="F1608" s="57" t="s">
        <v>49</v>
      </c>
      <c r="G1608" s="57" t="s">
        <v>50</v>
      </c>
      <c r="H1608" s="57" t="s">
        <v>51</v>
      </c>
      <c r="I1608" s="57" t="s">
        <v>52</v>
      </c>
      <c r="J1608" s="57" t="s">
        <v>53</v>
      </c>
      <c r="K1608" s="57" t="s">
        <v>54</v>
      </c>
      <c r="L1608" s="57" t="s">
        <v>55</v>
      </c>
      <c r="M1608" s="57" t="s">
        <v>13</v>
      </c>
      <c r="N1608" s="10"/>
      <c r="O1608" s="10"/>
    </row>
    <row r="1609" spans="1:15" ht="15.6" x14ac:dyDescent="0.3">
      <c r="A1609" s="72"/>
      <c r="B1609" s="73"/>
      <c r="C1609" s="3" t="str">
        <f t="shared" ref="C1609:L1609" si="283">VLOOKUP($A1605,NotaIndividualPorAlunoQUI,RIGHT(C1608,2)-9,0)</f>
        <v/>
      </c>
      <c r="D1609" s="3" t="str">
        <f t="shared" si="283"/>
        <v/>
      </c>
      <c r="E1609" s="3" t="str">
        <f t="shared" si="283"/>
        <v/>
      </c>
      <c r="F1609" s="3" t="str">
        <f t="shared" si="283"/>
        <v/>
      </c>
      <c r="G1609" s="3" t="str">
        <f t="shared" si="283"/>
        <v/>
      </c>
      <c r="H1609" s="3" t="str">
        <f t="shared" si="283"/>
        <v/>
      </c>
      <c r="I1609" s="3" t="str">
        <f t="shared" si="283"/>
        <v/>
      </c>
      <c r="J1609" s="3" t="str">
        <f t="shared" si="283"/>
        <v/>
      </c>
      <c r="K1609" s="3" t="str">
        <f t="shared" si="283"/>
        <v/>
      </c>
      <c r="L1609" s="3" t="str">
        <f t="shared" si="283"/>
        <v/>
      </c>
      <c r="M1609" s="19" t="str">
        <f>VLOOKUP($A1605,NotaIndividualPorAlunoQUI,RIGHT(L1608,2)-8,0)</f>
        <v/>
      </c>
      <c r="N1609" s="10"/>
      <c r="O1609" s="10"/>
    </row>
    <row r="1610" spans="1:15" x14ac:dyDescent="0.3">
      <c r="A1610" s="72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0"/>
      <c r="O1610" s="10"/>
    </row>
    <row r="1611" spans="1:15" x14ac:dyDescent="0.3">
      <c r="A1611" s="72"/>
      <c r="B1611" s="73" t="s">
        <v>12</v>
      </c>
      <c r="C1611" s="57" t="s">
        <v>2</v>
      </c>
      <c r="D1611" s="57" t="s">
        <v>3</v>
      </c>
      <c r="E1611" s="57" t="s">
        <v>4</v>
      </c>
      <c r="F1611" s="57" t="s">
        <v>5</v>
      </c>
      <c r="G1611" s="57" t="s">
        <v>6</v>
      </c>
      <c r="H1611" s="57" t="s">
        <v>7</v>
      </c>
      <c r="I1611" s="57" t="s">
        <v>8</v>
      </c>
      <c r="J1611" s="57" t="s">
        <v>9</v>
      </c>
      <c r="K1611" s="57" t="s">
        <v>10</v>
      </c>
      <c r="L1611" s="57" t="s">
        <v>11</v>
      </c>
      <c r="M1611" s="57" t="s">
        <v>13</v>
      </c>
      <c r="N1611" s="10"/>
      <c r="O1611" s="10"/>
    </row>
    <row r="1612" spans="1:15" ht="15.6" x14ac:dyDescent="0.3">
      <c r="A1612" s="72"/>
      <c r="B1612" s="73"/>
      <c r="C1612" s="3" t="str">
        <f t="shared" ref="C1612:L1612" si="284">VLOOKUP($A1605,NotaIndividualPorAlunoFIS,RIGHT(C1611,2)+1,0)</f>
        <v/>
      </c>
      <c r="D1612" s="3" t="str">
        <f t="shared" si="284"/>
        <v/>
      </c>
      <c r="E1612" s="3" t="str">
        <f t="shared" si="284"/>
        <v/>
      </c>
      <c r="F1612" s="3" t="str">
        <f t="shared" si="284"/>
        <v/>
      </c>
      <c r="G1612" s="3" t="str">
        <f t="shared" si="284"/>
        <v/>
      </c>
      <c r="H1612" s="3" t="str">
        <f t="shared" si="284"/>
        <v/>
      </c>
      <c r="I1612" s="3" t="str">
        <f t="shared" si="284"/>
        <v/>
      </c>
      <c r="J1612" s="3" t="str">
        <f t="shared" si="284"/>
        <v/>
      </c>
      <c r="K1612" s="3" t="str">
        <f t="shared" si="284"/>
        <v/>
      </c>
      <c r="L1612" s="3" t="str">
        <f t="shared" si="284"/>
        <v/>
      </c>
      <c r="M1612" s="19" t="str">
        <f>VLOOKUP($A1605,NotaIndividualPorAlunoFIS,RIGHT(L1611,2)+2,0)</f>
        <v/>
      </c>
      <c r="N1612" s="10"/>
      <c r="O1612" s="10"/>
    </row>
    <row r="1613" spans="1:15" ht="15.6" x14ac:dyDescent="0.3">
      <c r="A1613" s="72"/>
      <c r="B1613" s="12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0"/>
      <c r="O1613" s="10"/>
    </row>
    <row r="1614" spans="1:15" ht="15.6" x14ac:dyDescent="0.3">
      <c r="A1614" s="72"/>
      <c r="B1614" s="73" t="s">
        <v>16</v>
      </c>
      <c r="C1614" s="23" t="s">
        <v>41</v>
      </c>
      <c r="D1614" s="58" t="s">
        <v>42</v>
      </c>
      <c r="E1614" s="23" t="s">
        <v>43</v>
      </c>
      <c r="F1614" s="58" t="s">
        <v>44</v>
      </c>
      <c r="G1614" s="23" t="s">
        <v>63</v>
      </c>
      <c r="H1614" s="58" t="s">
        <v>32</v>
      </c>
      <c r="I1614" s="14"/>
      <c r="J1614" s="14"/>
      <c r="K1614" s="14"/>
      <c r="L1614" s="14"/>
      <c r="M1614" s="15" t="s">
        <v>18</v>
      </c>
      <c r="N1614" s="10"/>
      <c r="O1614" s="10"/>
    </row>
    <row r="1615" spans="1:15" ht="15.6" x14ac:dyDescent="0.3">
      <c r="A1615" s="72"/>
      <c r="B1615" s="73"/>
      <c r="C1615" s="26" t="str">
        <f>VLOOKUP($A1605,NotaIndividualPorAlunoRED,2,0)</f>
        <v/>
      </c>
      <c r="D1615" s="26" t="str">
        <f>VLOOKUP($A1605,NotaIndividualPorAlunoRED,3,0)</f>
        <v/>
      </c>
      <c r="E1615" s="26" t="str">
        <f>VLOOKUP($A1605,NotaIndividualPorAlunoRED,4,0)</f>
        <v/>
      </c>
      <c r="F1615" s="26" t="str">
        <f>VLOOKUP($A1605,NotaIndividualPorAlunoRED,5,0)</f>
        <v/>
      </c>
      <c r="G1615" s="26" t="str">
        <f>VLOOKUP($A1605,NotaIndividualPorAlunoRED,6,0)</f>
        <v/>
      </c>
      <c r="H1615" s="21" t="str">
        <f>VLOOKUP($A1605,NotaIndividualPorAlunoRED,7,0)</f>
        <v/>
      </c>
      <c r="I1615" s="14"/>
      <c r="J1615" s="14"/>
      <c r="K1615" s="14"/>
      <c r="L1615" s="14"/>
      <c r="M1615" s="20" t="str">
        <f>VLOOKUP(A1605,NOTAS!C:I,7,0)</f>
        <v/>
      </c>
      <c r="N1615" s="10"/>
      <c r="O1615" s="10"/>
    </row>
    <row r="1616" spans="1:15" x14ac:dyDescent="0.3">
      <c r="A1616" s="72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0"/>
      <c r="O1616" s="10"/>
    </row>
    <row r="1617" spans="1:15" x14ac:dyDescent="0.3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</row>
    <row r="1618" spans="1:15" x14ac:dyDescent="0.3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</row>
    <row r="1619" spans="1:15" x14ac:dyDescent="0.3">
      <c r="A1619" s="58" t="s">
        <v>38</v>
      </c>
      <c r="B1619" s="57" t="s">
        <v>35</v>
      </c>
      <c r="C1619" s="57" t="s">
        <v>56</v>
      </c>
      <c r="D1619" s="57" t="s">
        <v>57</v>
      </c>
      <c r="E1619" s="57" t="s">
        <v>58</v>
      </c>
      <c r="F1619" s="57" t="s">
        <v>59</v>
      </c>
      <c r="G1619" s="57" t="s">
        <v>60</v>
      </c>
      <c r="H1619" s="57" t="s">
        <v>36</v>
      </c>
      <c r="I1619" s="57" t="s">
        <v>61</v>
      </c>
      <c r="J1619" s="57" t="s">
        <v>34</v>
      </c>
      <c r="K1619" s="57" t="s">
        <v>62</v>
      </c>
      <c r="L1619" s="16" t="s">
        <v>33</v>
      </c>
      <c r="M1619" s="57" t="s">
        <v>37</v>
      </c>
      <c r="N1619" s="10"/>
      <c r="O1619" s="10"/>
    </row>
    <row r="1620" spans="1:15" ht="15.6" x14ac:dyDescent="0.3">
      <c r="A1620" s="58" t="str" cm="1">
        <f t="array" ref="A1620">IF(ISERROR(INDEX(ListaDeAlunos,(((ROW()-2)/17)+1),(COLUMN()+1))),"",INDEX(ListaDeAlunos,(((ROW()-2)/17)+1),(COLUMN()+1)))</f>
        <v/>
      </c>
      <c r="B1620" s="17" t="str">
        <f>VLOOKUP($A1620,NotaIndividualPorAlunoPROVAO,2,0)</f>
        <v/>
      </c>
      <c r="C1620" s="18" t="str">
        <f>VLOOKUP($A1620,NotaIndividualPorAlunoPROVAO,3,0)</f>
        <v/>
      </c>
      <c r="D1620" s="17" t="str">
        <f>VLOOKUP($A1620,NotaIndividualPorAlunoPROVAO,4,0)</f>
        <v/>
      </c>
      <c r="E1620" s="18" t="str">
        <f>VLOOKUP($A1620,NotaIndividualPorAlunoPROVAO,5,0)</f>
        <v/>
      </c>
      <c r="F1620" s="17" t="str">
        <f>VLOOKUP($A1620,NotaIndividualPorAlunoPROVAO,6,0)</f>
        <v/>
      </c>
      <c r="G1620" s="18" t="str">
        <f>VLOOKUP($A1620,NotaIndividualPorAlunoPROVAO,7,0)</f>
        <v/>
      </c>
      <c r="H1620" s="17" t="str">
        <f>VLOOKUP($A1620,NotaIndividualPorAlunoPROVAO,8,0)</f>
        <v/>
      </c>
      <c r="I1620" s="18" t="str">
        <f>VLOOKUP($A1620,NotaIndividualPorAlunoPROVAO,9,0)</f>
        <v/>
      </c>
      <c r="J1620" s="17" t="str">
        <f>VLOOKUP($A1620,NotaIndividualPorAlunoPROVAO,10,0)</f>
        <v/>
      </c>
      <c r="K1620" s="18" t="str">
        <f>VLOOKUP($A1620,NotaIndividualPorAlunoPROVAO,11,0)</f>
        <v/>
      </c>
      <c r="L1620" s="15" t="str">
        <f>VLOOKUP($A1620,NotaIndividualPorAlunoPROVAO,12,0)</f>
        <v/>
      </c>
      <c r="M1620" s="25" t="str">
        <f>VLOOKUP($A1620,NotaIndividualPorAlunoPROVAO,13,0)</f>
        <v/>
      </c>
      <c r="N1620" s="10"/>
      <c r="O1620" s="10"/>
    </row>
    <row r="1621" spans="1:15" x14ac:dyDescent="0.3">
      <c r="N1621" s="10"/>
      <c r="O1621" s="10"/>
    </row>
    <row r="1622" spans="1:15" x14ac:dyDescent="0.3">
      <c r="A1622" s="72" t="str">
        <f>A1620</f>
        <v/>
      </c>
      <c r="B1622" s="73" t="s">
        <v>15</v>
      </c>
      <c r="C1622" s="57" t="s">
        <v>2</v>
      </c>
      <c r="D1622" s="57" t="s">
        <v>3</v>
      </c>
      <c r="E1622" s="57" t="s">
        <v>4</v>
      </c>
      <c r="F1622" s="57" t="s">
        <v>5</v>
      </c>
      <c r="G1622" s="57" t="s">
        <v>6</v>
      </c>
      <c r="H1622" s="57" t="s">
        <v>7</v>
      </c>
      <c r="I1622" s="57" t="s">
        <v>8</v>
      </c>
      <c r="J1622" s="57" t="s">
        <v>9</v>
      </c>
      <c r="K1622" s="57" t="s">
        <v>10</v>
      </c>
      <c r="L1622" s="57" t="s">
        <v>11</v>
      </c>
      <c r="M1622" s="57" t="s">
        <v>13</v>
      </c>
      <c r="N1622" s="10"/>
      <c r="O1622" s="10"/>
    </row>
    <row r="1623" spans="1:15" ht="15.6" x14ac:dyDescent="0.3">
      <c r="A1623" s="72"/>
      <c r="B1623" s="73"/>
      <c r="C1623" s="5" t="str">
        <f t="shared" ref="C1623:L1623" si="285">VLOOKUP($A1622,NotaIndividualPorAlunoMAT,RIGHT(C1622,2)+1,0)</f>
        <v/>
      </c>
      <c r="D1623" s="5" t="str">
        <f t="shared" si="285"/>
        <v/>
      </c>
      <c r="E1623" s="5" t="str">
        <f t="shared" si="285"/>
        <v/>
      </c>
      <c r="F1623" s="5" t="str">
        <f t="shared" si="285"/>
        <v/>
      </c>
      <c r="G1623" s="5" t="str">
        <f t="shared" si="285"/>
        <v/>
      </c>
      <c r="H1623" s="5" t="str">
        <f t="shared" si="285"/>
        <v/>
      </c>
      <c r="I1623" s="5" t="str">
        <f t="shared" si="285"/>
        <v/>
      </c>
      <c r="J1623" s="5" t="str">
        <f t="shared" si="285"/>
        <v/>
      </c>
      <c r="K1623" s="5" t="str">
        <f t="shared" si="285"/>
        <v/>
      </c>
      <c r="L1623" s="5" t="str">
        <f t="shared" si="285"/>
        <v/>
      </c>
      <c r="M1623" s="19" t="str">
        <f>VLOOKUP($A1622,NotaIndividualPorAlunoMAT,RIGHT(L1622,2)+2,0)</f>
        <v/>
      </c>
      <c r="N1623" s="10"/>
      <c r="O1623" s="10"/>
    </row>
    <row r="1624" spans="1:15" x14ac:dyDescent="0.3">
      <c r="A1624" s="72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0"/>
      <c r="O1624" s="10"/>
    </row>
    <row r="1625" spans="1:15" x14ac:dyDescent="0.3">
      <c r="A1625" s="72"/>
      <c r="B1625" s="73" t="s">
        <v>14</v>
      </c>
      <c r="C1625" s="57" t="s">
        <v>46</v>
      </c>
      <c r="D1625" s="57" t="s">
        <v>47</v>
      </c>
      <c r="E1625" s="57" t="s">
        <v>48</v>
      </c>
      <c r="F1625" s="57" t="s">
        <v>49</v>
      </c>
      <c r="G1625" s="57" t="s">
        <v>50</v>
      </c>
      <c r="H1625" s="57" t="s">
        <v>51</v>
      </c>
      <c r="I1625" s="57" t="s">
        <v>52</v>
      </c>
      <c r="J1625" s="57" t="s">
        <v>53</v>
      </c>
      <c r="K1625" s="57" t="s">
        <v>54</v>
      </c>
      <c r="L1625" s="57" t="s">
        <v>55</v>
      </c>
      <c r="M1625" s="57" t="s">
        <v>13</v>
      </c>
      <c r="N1625" s="10"/>
      <c r="O1625" s="10"/>
    </row>
    <row r="1626" spans="1:15" ht="15.6" x14ac:dyDescent="0.3">
      <c r="A1626" s="72"/>
      <c r="B1626" s="73"/>
      <c r="C1626" s="3" t="str">
        <f t="shared" ref="C1626:L1626" si="286">VLOOKUP($A1622,NotaIndividualPorAlunoQUI,RIGHT(C1625,2)-9,0)</f>
        <v/>
      </c>
      <c r="D1626" s="3" t="str">
        <f t="shared" si="286"/>
        <v/>
      </c>
      <c r="E1626" s="3" t="str">
        <f t="shared" si="286"/>
        <v/>
      </c>
      <c r="F1626" s="3" t="str">
        <f t="shared" si="286"/>
        <v/>
      </c>
      <c r="G1626" s="3" t="str">
        <f t="shared" si="286"/>
        <v/>
      </c>
      <c r="H1626" s="3" t="str">
        <f t="shared" si="286"/>
        <v/>
      </c>
      <c r="I1626" s="3" t="str">
        <f t="shared" si="286"/>
        <v/>
      </c>
      <c r="J1626" s="3" t="str">
        <f t="shared" si="286"/>
        <v/>
      </c>
      <c r="K1626" s="3" t="str">
        <f t="shared" si="286"/>
        <v/>
      </c>
      <c r="L1626" s="3" t="str">
        <f t="shared" si="286"/>
        <v/>
      </c>
      <c r="M1626" s="19" t="str">
        <f>VLOOKUP($A1622,NotaIndividualPorAlunoQUI,RIGHT(L1625,2)-8,0)</f>
        <v/>
      </c>
      <c r="N1626" s="10"/>
      <c r="O1626" s="10"/>
    </row>
    <row r="1627" spans="1:15" x14ac:dyDescent="0.3">
      <c r="A1627" s="72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0"/>
      <c r="O1627" s="10"/>
    </row>
    <row r="1628" spans="1:15" x14ac:dyDescent="0.3">
      <c r="A1628" s="72"/>
      <c r="B1628" s="73" t="s">
        <v>12</v>
      </c>
      <c r="C1628" s="57" t="s">
        <v>2</v>
      </c>
      <c r="D1628" s="57" t="s">
        <v>3</v>
      </c>
      <c r="E1628" s="57" t="s">
        <v>4</v>
      </c>
      <c r="F1628" s="57" t="s">
        <v>5</v>
      </c>
      <c r="G1628" s="57" t="s">
        <v>6</v>
      </c>
      <c r="H1628" s="57" t="s">
        <v>7</v>
      </c>
      <c r="I1628" s="57" t="s">
        <v>8</v>
      </c>
      <c r="J1628" s="57" t="s">
        <v>9</v>
      </c>
      <c r="K1628" s="57" t="s">
        <v>10</v>
      </c>
      <c r="L1628" s="57" t="s">
        <v>11</v>
      </c>
      <c r="M1628" s="57" t="s">
        <v>13</v>
      </c>
      <c r="N1628" s="10"/>
      <c r="O1628" s="10"/>
    </row>
    <row r="1629" spans="1:15" ht="15.6" x14ac:dyDescent="0.3">
      <c r="A1629" s="72"/>
      <c r="B1629" s="73"/>
      <c r="C1629" s="3" t="str">
        <f t="shared" ref="C1629:L1629" si="287">VLOOKUP($A1622,NotaIndividualPorAlunoFIS,RIGHT(C1628,2)+1,0)</f>
        <v/>
      </c>
      <c r="D1629" s="3" t="str">
        <f t="shared" si="287"/>
        <v/>
      </c>
      <c r="E1629" s="3" t="str">
        <f t="shared" si="287"/>
        <v/>
      </c>
      <c r="F1629" s="3" t="str">
        <f t="shared" si="287"/>
        <v/>
      </c>
      <c r="G1629" s="3" t="str">
        <f t="shared" si="287"/>
        <v/>
      </c>
      <c r="H1629" s="3" t="str">
        <f t="shared" si="287"/>
        <v/>
      </c>
      <c r="I1629" s="3" t="str">
        <f t="shared" si="287"/>
        <v/>
      </c>
      <c r="J1629" s="3" t="str">
        <f t="shared" si="287"/>
        <v/>
      </c>
      <c r="K1629" s="3" t="str">
        <f t="shared" si="287"/>
        <v/>
      </c>
      <c r="L1629" s="3" t="str">
        <f t="shared" si="287"/>
        <v/>
      </c>
      <c r="M1629" s="19" t="str">
        <f>VLOOKUP($A1622,NotaIndividualPorAlunoFIS,RIGHT(L1628,2)+2,0)</f>
        <v/>
      </c>
      <c r="N1629" s="10"/>
      <c r="O1629" s="10"/>
    </row>
    <row r="1630" spans="1:15" ht="15.6" x14ac:dyDescent="0.3">
      <c r="A1630" s="72"/>
      <c r="B1630" s="12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0"/>
      <c r="O1630" s="10"/>
    </row>
    <row r="1631" spans="1:15" ht="15.6" x14ac:dyDescent="0.3">
      <c r="A1631" s="72"/>
      <c r="B1631" s="73" t="s">
        <v>16</v>
      </c>
      <c r="C1631" s="23" t="s">
        <v>41</v>
      </c>
      <c r="D1631" s="58" t="s">
        <v>42</v>
      </c>
      <c r="E1631" s="23" t="s">
        <v>43</v>
      </c>
      <c r="F1631" s="58" t="s">
        <v>44</v>
      </c>
      <c r="G1631" s="23" t="s">
        <v>63</v>
      </c>
      <c r="H1631" s="58" t="s">
        <v>32</v>
      </c>
      <c r="I1631" s="14"/>
      <c r="J1631" s="14"/>
      <c r="K1631" s="14"/>
      <c r="L1631" s="14"/>
      <c r="M1631" s="15" t="s">
        <v>18</v>
      </c>
      <c r="N1631" s="10"/>
      <c r="O1631" s="10"/>
    </row>
    <row r="1632" spans="1:15" ht="15.6" x14ac:dyDescent="0.3">
      <c r="A1632" s="72"/>
      <c r="B1632" s="73"/>
      <c r="C1632" s="26" t="str">
        <f>VLOOKUP($A1622,NotaIndividualPorAlunoRED,2,0)</f>
        <v/>
      </c>
      <c r="D1632" s="26" t="str">
        <f>VLOOKUP($A1622,NotaIndividualPorAlunoRED,3,0)</f>
        <v/>
      </c>
      <c r="E1632" s="26" t="str">
        <f>VLOOKUP($A1622,NotaIndividualPorAlunoRED,4,0)</f>
        <v/>
      </c>
      <c r="F1632" s="26" t="str">
        <f>VLOOKUP($A1622,NotaIndividualPorAlunoRED,5,0)</f>
        <v/>
      </c>
      <c r="G1632" s="26" t="str">
        <f>VLOOKUP($A1622,NotaIndividualPorAlunoRED,6,0)</f>
        <v/>
      </c>
      <c r="H1632" s="21" t="str">
        <f>VLOOKUP($A1622,NotaIndividualPorAlunoRED,7,0)</f>
        <v/>
      </c>
      <c r="I1632" s="14"/>
      <c r="J1632" s="14"/>
      <c r="K1632" s="14"/>
      <c r="L1632" s="14"/>
      <c r="M1632" s="20" t="str">
        <f>VLOOKUP(A1622,NOTAS!C:I,7,0)</f>
        <v/>
      </c>
      <c r="N1632" s="10"/>
      <c r="O1632" s="10"/>
    </row>
    <row r="1633" spans="1:15" x14ac:dyDescent="0.3">
      <c r="A1633" s="72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0"/>
      <c r="O1633" s="10"/>
    </row>
    <row r="1634" spans="1:15" x14ac:dyDescent="0.3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</row>
    <row r="1635" spans="1:15" x14ac:dyDescent="0.3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</row>
    <row r="1636" spans="1:15" x14ac:dyDescent="0.3">
      <c r="A1636" s="58" t="s">
        <v>38</v>
      </c>
      <c r="B1636" s="57" t="s">
        <v>35</v>
      </c>
      <c r="C1636" s="57" t="s">
        <v>56</v>
      </c>
      <c r="D1636" s="57" t="s">
        <v>57</v>
      </c>
      <c r="E1636" s="57" t="s">
        <v>58</v>
      </c>
      <c r="F1636" s="57" t="s">
        <v>59</v>
      </c>
      <c r="G1636" s="57" t="s">
        <v>60</v>
      </c>
      <c r="H1636" s="57" t="s">
        <v>36</v>
      </c>
      <c r="I1636" s="57" t="s">
        <v>61</v>
      </c>
      <c r="J1636" s="57" t="s">
        <v>34</v>
      </c>
      <c r="K1636" s="57" t="s">
        <v>62</v>
      </c>
      <c r="L1636" s="16" t="s">
        <v>33</v>
      </c>
      <c r="M1636" s="57" t="s">
        <v>37</v>
      </c>
      <c r="N1636" s="10"/>
      <c r="O1636" s="10"/>
    </row>
    <row r="1637" spans="1:15" ht="15.6" x14ac:dyDescent="0.3">
      <c r="A1637" s="58" t="str" cm="1">
        <f t="array" ref="A1637">IF(ISERROR(INDEX(ListaDeAlunos,(((ROW()-2)/17)+1),(COLUMN()+1))),"",INDEX(ListaDeAlunos,(((ROW()-2)/17)+1),(COLUMN()+1)))</f>
        <v/>
      </c>
      <c r="B1637" s="17" t="str">
        <f>VLOOKUP($A1637,NotaIndividualPorAlunoPROVAO,2,0)</f>
        <v/>
      </c>
      <c r="C1637" s="18" t="str">
        <f>VLOOKUP($A1637,NotaIndividualPorAlunoPROVAO,3,0)</f>
        <v/>
      </c>
      <c r="D1637" s="17" t="str">
        <f>VLOOKUP($A1637,NotaIndividualPorAlunoPROVAO,4,0)</f>
        <v/>
      </c>
      <c r="E1637" s="18" t="str">
        <f>VLOOKUP($A1637,NotaIndividualPorAlunoPROVAO,5,0)</f>
        <v/>
      </c>
      <c r="F1637" s="17" t="str">
        <f>VLOOKUP($A1637,NotaIndividualPorAlunoPROVAO,6,0)</f>
        <v/>
      </c>
      <c r="G1637" s="18" t="str">
        <f>VLOOKUP($A1637,NotaIndividualPorAlunoPROVAO,7,0)</f>
        <v/>
      </c>
      <c r="H1637" s="17" t="str">
        <f>VLOOKUP($A1637,NotaIndividualPorAlunoPROVAO,8,0)</f>
        <v/>
      </c>
      <c r="I1637" s="18" t="str">
        <f>VLOOKUP($A1637,NotaIndividualPorAlunoPROVAO,9,0)</f>
        <v/>
      </c>
      <c r="J1637" s="17" t="str">
        <f>VLOOKUP($A1637,NotaIndividualPorAlunoPROVAO,10,0)</f>
        <v/>
      </c>
      <c r="K1637" s="18" t="str">
        <f>VLOOKUP($A1637,NotaIndividualPorAlunoPROVAO,11,0)</f>
        <v/>
      </c>
      <c r="L1637" s="15" t="str">
        <f>VLOOKUP($A1637,NotaIndividualPorAlunoPROVAO,12,0)</f>
        <v/>
      </c>
      <c r="M1637" s="25" t="str">
        <f>VLOOKUP($A1637,NotaIndividualPorAlunoPROVAO,13,0)</f>
        <v/>
      </c>
      <c r="N1637" s="10"/>
      <c r="O1637" s="10"/>
    </row>
    <row r="1638" spans="1:15" x14ac:dyDescent="0.3">
      <c r="N1638" s="10"/>
      <c r="O1638" s="10"/>
    </row>
    <row r="1639" spans="1:15" x14ac:dyDescent="0.3">
      <c r="A1639" s="72" t="str">
        <f>A1637</f>
        <v/>
      </c>
      <c r="B1639" s="73" t="s">
        <v>15</v>
      </c>
      <c r="C1639" s="57" t="s">
        <v>2</v>
      </c>
      <c r="D1639" s="57" t="s">
        <v>3</v>
      </c>
      <c r="E1639" s="57" t="s">
        <v>4</v>
      </c>
      <c r="F1639" s="57" t="s">
        <v>5</v>
      </c>
      <c r="G1639" s="57" t="s">
        <v>6</v>
      </c>
      <c r="H1639" s="57" t="s">
        <v>7</v>
      </c>
      <c r="I1639" s="57" t="s">
        <v>8</v>
      </c>
      <c r="J1639" s="57" t="s">
        <v>9</v>
      </c>
      <c r="K1639" s="57" t="s">
        <v>10</v>
      </c>
      <c r="L1639" s="57" t="s">
        <v>11</v>
      </c>
      <c r="M1639" s="57" t="s">
        <v>13</v>
      </c>
      <c r="N1639" s="10"/>
      <c r="O1639" s="10"/>
    </row>
    <row r="1640" spans="1:15" ht="15.6" x14ac:dyDescent="0.3">
      <c r="A1640" s="72"/>
      <c r="B1640" s="73"/>
      <c r="C1640" s="5" t="str">
        <f t="shared" ref="C1640:L1640" si="288">VLOOKUP($A1639,NotaIndividualPorAlunoMAT,RIGHT(C1639,2)+1,0)</f>
        <v/>
      </c>
      <c r="D1640" s="5" t="str">
        <f t="shared" si="288"/>
        <v/>
      </c>
      <c r="E1640" s="5" t="str">
        <f t="shared" si="288"/>
        <v/>
      </c>
      <c r="F1640" s="5" t="str">
        <f t="shared" si="288"/>
        <v/>
      </c>
      <c r="G1640" s="5" t="str">
        <f t="shared" si="288"/>
        <v/>
      </c>
      <c r="H1640" s="5" t="str">
        <f t="shared" si="288"/>
        <v/>
      </c>
      <c r="I1640" s="5" t="str">
        <f t="shared" si="288"/>
        <v/>
      </c>
      <c r="J1640" s="5" t="str">
        <f t="shared" si="288"/>
        <v/>
      </c>
      <c r="K1640" s="5" t="str">
        <f t="shared" si="288"/>
        <v/>
      </c>
      <c r="L1640" s="5" t="str">
        <f t="shared" si="288"/>
        <v/>
      </c>
      <c r="M1640" s="19" t="str">
        <f>VLOOKUP($A1639,NotaIndividualPorAlunoMAT,RIGHT(L1639,2)+2,0)</f>
        <v/>
      </c>
      <c r="N1640" s="10"/>
      <c r="O1640" s="10"/>
    </row>
    <row r="1641" spans="1:15" x14ac:dyDescent="0.3">
      <c r="A1641" s="72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0"/>
      <c r="O1641" s="10"/>
    </row>
    <row r="1642" spans="1:15" x14ac:dyDescent="0.3">
      <c r="A1642" s="72"/>
      <c r="B1642" s="73" t="s">
        <v>14</v>
      </c>
      <c r="C1642" s="57" t="s">
        <v>46</v>
      </c>
      <c r="D1642" s="57" t="s">
        <v>47</v>
      </c>
      <c r="E1642" s="57" t="s">
        <v>48</v>
      </c>
      <c r="F1642" s="57" t="s">
        <v>49</v>
      </c>
      <c r="G1642" s="57" t="s">
        <v>50</v>
      </c>
      <c r="H1642" s="57" t="s">
        <v>51</v>
      </c>
      <c r="I1642" s="57" t="s">
        <v>52</v>
      </c>
      <c r="J1642" s="57" t="s">
        <v>53</v>
      </c>
      <c r="K1642" s="57" t="s">
        <v>54</v>
      </c>
      <c r="L1642" s="57" t="s">
        <v>55</v>
      </c>
      <c r="M1642" s="57" t="s">
        <v>13</v>
      </c>
      <c r="N1642" s="10"/>
      <c r="O1642" s="10"/>
    </row>
    <row r="1643" spans="1:15" ht="15.6" x14ac:dyDescent="0.3">
      <c r="A1643" s="72"/>
      <c r="B1643" s="73"/>
      <c r="C1643" s="3" t="str">
        <f t="shared" ref="C1643:L1643" si="289">VLOOKUP($A1639,NotaIndividualPorAlunoQUI,RIGHT(C1642,2)-9,0)</f>
        <v/>
      </c>
      <c r="D1643" s="3" t="str">
        <f t="shared" si="289"/>
        <v/>
      </c>
      <c r="E1643" s="3" t="str">
        <f t="shared" si="289"/>
        <v/>
      </c>
      <c r="F1643" s="3" t="str">
        <f t="shared" si="289"/>
        <v/>
      </c>
      <c r="G1643" s="3" t="str">
        <f t="shared" si="289"/>
        <v/>
      </c>
      <c r="H1643" s="3" t="str">
        <f t="shared" si="289"/>
        <v/>
      </c>
      <c r="I1643" s="3" t="str">
        <f t="shared" si="289"/>
        <v/>
      </c>
      <c r="J1643" s="3" t="str">
        <f t="shared" si="289"/>
        <v/>
      </c>
      <c r="K1643" s="3" t="str">
        <f t="shared" si="289"/>
        <v/>
      </c>
      <c r="L1643" s="3" t="str">
        <f t="shared" si="289"/>
        <v/>
      </c>
      <c r="M1643" s="19" t="str">
        <f>VLOOKUP($A1639,NotaIndividualPorAlunoQUI,RIGHT(L1642,2)-8,0)</f>
        <v/>
      </c>
      <c r="N1643" s="10"/>
      <c r="O1643" s="10"/>
    </row>
    <row r="1644" spans="1:15" x14ac:dyDescent="0.3">
      <c r="A1644" s="72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0"/>
      <c r="O1644" s="10"/>
    </row>
    <row r="1645" spans="1:15" x14ac:dyDescent="0.3">
      <c r="A1645" s="72"/>
      <c r="B1645" s="73" t="s">
        <v>12</v>
      </c>
      <c r="C1645" s="57" t="s">
        <v>2</v>
      </c>
      <c r="D1645" s="57" t="s">
        <v>3</v>
      </c>
      <c r="E1645" s="57" t="s">
        <v>4</v>
      </c>
      <c r="F1645" s="57" t="s">
        <v>5</v>
      </c>
      <c r="G1645" s="57" t="s">
        <v>6</v>
      </c>
      <c r="H1645" s="57" t="s">
        <v>7</v>
      </c>
      <c r="I1645" s="57" t="s">
        <v>8</v>
      </c>
      <c r="J1645" s="57" t="s">
        <v>9</v>
      </c>
      <c r="K1645" s="57" t="s">
        <v>10</v>
      </c>
      <c r="L1645" s="57" t="s">
        <v>11</v>
      </c>
      <c r="M1645" s="57" t="s">
        <v>13</v>
      </c>
      <c r="N1645" s="10"/>
      <c r="O1645" s="10"/>
    </row>
    <row r="1646" spans="1:15" ht="15.6" x14ac:dyDescent="0.3">
      <c r="A1646" s="72"/>
      <c r="B1646" s="73"/>
      <c r="C1646" s="3" t="str">
        <f t="shared" ref="C1646:L1646" si="290">VLOOKUP($A1639,NotaIndividualPorAlunoFIS,RIGHT(C1645,2)+1,0)</f>
        <v/>
      </c>
      <c r="D1646" s="3" t="str">
        <f t="shared" si="290"/>
        <v/>
      </c>
      <c r="E1646" s="3" t="str">
        <f t="shared" si="290"/>
        <v/>
      </c>
      <c r="F1646" s="3" t="str">
        <f t="shared" si="290"/>
        <v/>
      </c>
      <c r="G1646" s="3" t="str">
        <f t="shared" si="290"/>
        <v/>
      </c>
      <c r="H1646" s="3" t="str">
        <f t="shared" si="290"/>
        <v/>
      </c>
      <c r="I1646" s="3" t="str">
        <f t="shared" si="290"/>
        <v/>
      </c>
      <c r="J1646" s="3" t="str">
        <f t="shared" si="290"/>
        <v/>
      </c>
      <c r="K1646" s="3" t="str">
        <f t="shared" si="290"/>
        <v/>
      </c>
      <c r="L1646" s="3" t="str">
        <f t="shared" si="290"/>
        <v/>
      </c>
      <c r="M1646" s="19" t="str">
        <f>VLOOKUP($A1639,NotaIndividualPorAlunoFIS,RIGHT(L1645,2)+2,0)</f>
        <v/>
      </c>
      <c r="N1646" s="10"/>
      <c r="O1646" s="10"/>
    </row>
    <row r="1647" spans="1:15" ht="15.6" x14ac:dyDescent="0.3">
      <c r="A1647" s="72"/>
      <c r="B1647" s="12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0"/>
      <c r="O1647" s="10"/>
    </row>
    <row r="1648" spans="1:15" ht="15.6" x14ac:dyDescent="0.3">
      <c r="A1648" s="72"/>
      <c r="B1648" s="73" t="s">
        <v>16</v>
      </c>
      <c r="C1648" s="23" t="s">
        <v>41</v>
      </c>
      <c r="D1648" s="58" t="s">
        <v>42</v>
      </c>
      <c r="E1648" s="23" t="s">
        <v>43</v>
      </c>
      <c r="F1648" s="58" t="s">
        <v>44</v>
      </c>
      <c r="G1648" s="23" t="s">
        <v>63</v>
      </c>
      <c r="H1648" s="58" t="s">
        <v>32</v>
      </c>
      <c r="I1648" s="14"/>
      <c r="J1648" s="14"/>
      <c r="K1648" s="14"/>
      <c r="L1648" s="14"/>
      <c r="M1648" s="15" t="s">
        <v>18</v>
      </c>
      <c r="N1648" s="10"/>
      <c r="O1648" s="10"/>
    </row>
    <row r="1649" spans="1:15" ht="15.6" x14ac:dyDescent="0.3">
      <c r="A1649" s="72"/>
      <c r="B1649" s="73"/>
      <c r="C1649" s="26" t="str">
        <f>VLOOKUP($A1639,NotaIndividualPorAlunoRED,2,0)</f>
        <v/>
      </c>
      <c r="D1649" s="26" t="str">
        <f>VLOOKUP($A1639,NotaIndividualPorAlunoRED,3,0)</f>
        <v/>
      </c>
      <c r="E1649" s="26" t="str">
        <f>VLOOKUP($A1639,NotaIndividualPorAlunoRED,4,0)</f>
        <v/>
      </c>
      <c r="F1649" s="26" t="str">
        <f>VLOOKUP($A1639,NotaIndividualPorAlunoRED,5,0)</f>
        <v/>
      </c>
      <c r="G1649" s="26" t="str">
        <f>VLOOKUP($A1639,NotaIndividualPorAlunoRED,6,0)</f>
        <v/>
      </c>
      <c r="H1649" s="21" t="str">
        <f>VLOOKUP($A1639,NotaIndividualPorAlunoRED,7,0)</f>
        <v/>
      </c>
      <c r="I1649" s="14"/>
      <c r="J1649" s="14"/>
      <c r="K1649" s="14"/>
      <c r="L1649" s="14"/>
      <c r="M1649" s="20" t="str">
        <f>VLOOKUP(A1639,NOTAS!C:I,7,0)</f>
        <v/>
      </c>
      <c r="N1649" s="10"/>
      <c r="O1649" s="10"/>
    </row>
    <row r="1650" spans="1:15" x14ac:dyDescent="0.3">
      <c r="A1650" s="72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0"/>
      <c r="O1650" s="10"/>
    </row>
    <row r="1651" spans="1:15" x14ac:dyDescent="0.3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</row>
    <row r="1652" spans="1:15" x14ac:dyDescent="0.3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</row>
    <row r="1653" spans="1:15" x14ac:dyDescent="0.3">
      <c r="A1653" s="58" t="s">
        <v>38</v>
      </c>
      <c r="B1653" s="57" t="s">
        <v>35</v>
      </c>
      <c r="C1653" s="57" t="s">
        <v>56</v>
      </c>
      <c r="D1653" s="57" t="s">
        <v>57</v>
      </c>
      <c r="E1653" s="57" t="s">
        <v>58</v>
      </c>
      <c r="F1653" s="57" t="s">
        <v>59</v>
      </c>
      <c r="G1653" s="57" t="s">
        <v>60</v>
      </c>
      <c r="H1653" s="57" t="s">
        <v>36</v>
      </c>
      <c r="I1653" s="57" t="s">
        <v>61</v>
      </c>
      <c r="J1653" s="57" t="s">
        <v>34</v>
      </c>
      <c r="K1653" s="57" t="s">
        <v>62</v>
      </c>
      <c r="L1653" s="16" t="s">
        <v>33</v>
      </c>
      <c r="M1653" s="57" t="s">
        <v>37</v>
      </c>
      <c r="N1653" s="10"/>
      <c r="O1653" s="10"/>
    </row>
    <row r="1654" spans="1:15" ht="15.6" x14ac:dyDescent="0.3">
      <c r="A1654" s="58" t="str" cm="1">
        <f t="array" ref="A1654">IF(ISERROR(INDEX(ListaDeAlunos,(((ROW()-2)/17)+1),(COLUMN()+1))),"",INDEX(ListaDeAlunos,(((ROW()-2)/17)+1),(COLUMN()+1)))</f>
        <v/>
      </c>
      <c r="B1654" s="17" t="str">
        <f>VLOOKUP($A1654,NotaIndividualPorAlunoPROVAO,2,0)</f>
        <v/>
      </c>
      <c r="C1654" s="18" t="str">
        <f>VLOOKUP($A1654,NotaIndividualPorAlunoPROVAO,3,0)</f>
        <v/>
      </c>
      <c r="D1654" s="17" t="str">
        <f>VLOOKUP($A1654,NotaIndividualPorAlunoPROVAO,4,0)</f>
        <v/>
      </c>
      <c r="E1654" s="18" t="str">
        <f>VLOOKUP($A1654,NotaIndividualPorAlunoPROVAO,5,0)</f>
        <v/>
      </c>
      <c r="F1654" s="17" t="str">
        <f>VLOOKUP($A1654,NotaIndividualPorAlunoPROVAO,6,0)</f>
        <v/>
      </c>
      <c r="G1654" s="18" t="str">
        <f>VLOOKUP($A1654,NotaIndividualPorAlunoPROVAO,7,0)</f>
        <v/>
      </c>
      <c r="H1654" s="17" t="str">
        <f>VLOOKUP($A1654,NotaIndividualPorAlunoPROVAO,8,0)</f>
        <v/>
      </c>
      <c r="I1654" s="18" t="str">
        <f>VLOOKUP($A1654,NotaIndividualPorAlunoPROVAO,9,0)</f>
        <v/>
      </c>
      <c r="J1654" s="17" t="str">
        <f>VLOOKUP($A1654,NotaIndividualPorAlunoPROVAO,10,0)</f>
        <v/>
      </c>
      <c r="K1654" s="18" t="str">
        <f>VLOOKUP($A1654,NotaIndividualPorAlunoPROVAO,11,0)</f>
        <v/>
      </c>
      <c r="L1654" s="15" t="str">
        <f>VLOOKUP($A1654,NotaIndividualPorAlunoPROVAO,12,0)</f>
        <v/>
      </c>
      <c r="M1654" s="25" t="str">
        <f>VLOOKUP($A1654,NotaIndividualPorAlunoPROVAO,13,0)</f>
        <v/>
      </c>
      <c r="N1654" s="10"/>
      <c r="O1654" s="10"/>
    </row>
    <row r="1655" spans="1:15" x14ac:dyDescent="0.3">
      <c r="N1655" s="10"/>
      <c r="O1655" s="10"/>
    </row>
    <row r="1656" spans="1:15" x14ac:dyDescent="0.3">
      <c r="A1656" s="72" t="str">
        <f>A1654</f>
        <v/>
      </c>
      <c r="B1656" s="73" t="s">
        <v>15</v>
      </c>
      <c r="C1656" s="57" t="s">
        <v>2</v>
      </c>
      <c r="D1656" s="57" t="s">
        <v>3</v>
      </c>
      <c r="E1656" s="57" t="s">
        <v>4</v>
      </c>
      <c r="F1656" s="57" t="s">
        <v>5</v>
      </c>
      <c r="G1656" s="57" t="s">
        <v>6</v>
      </c>
      <c r="H1656" s="57" t="s">
        <v>7</v>
      </c>
      <c r="I1656" s="57" t="s">
        <v>8</v>
      </c>
      <c r="J1656" s="57" t="s">
        <v>9</v>
      </c>
      <c r="K1656" s="57" t="s">
        <v>10</v>
      </c>
      <c r="L1656" s="57" t="s">
        <v>11</v>
      </c>
      <c r="M1656" s="57" t="s">
        <v>13</v>
      </c>
      <c r="N1656" s="10"/>
      <c r="O1656" s="10"/>
    </row>
    <row r="1657" spans="1:15" ht="15.6" x14ac:dyDescent="0.3">
      <c r="A1657" s="72"/>
      <c r="B1657" s="73"/>
      <c r="C1657" s="5" t="str">
        <f t="shared" ref="C1657:L1657" si="291">VLOOKUP($A1656,NotaIndividualPorAlunoMAT,RIGHT(C1656,2)+1,0)</f>
        <v/>
      </c>
      <c r="D1657" s="5" t="str">
        <f t="shared" si="291"/>
        <v/>
      </c>
      <c r="E1657" s="5" t="str">
        <f t="shared" si="291"/>
        <v/>
      </c>
      <c r="F1657" s="5" t="str">
        <f t="shared" si="291"/>
        <v/>
      </c>
      <c r="G1657" s="5" t="str">
        <f t="shared" si="291"/>
        <v/>
      </c>
      <c r="H1657" s="5" t="str">
        <f t="shared" si="291"/>
        <v/>
      </c>
      <c r="I1657" s="5" t="str">
        <f t="shared" si="291"/>
        <v/>
      </c>
      <c r="J1657" s="5" t="str">
        <f t="shared" si="291"/>
        <v/>
      </c>
      <c r="K1657" s="5" t="str">
        <f t="shared" si="291"/>
        <v/>
      </c>
      <c r="L1657" s="5" t="str">
        <f t="shared" si="291"/>
        <v/>
      </c>
      <c r="M1657" s="19" t="str">
        <f>VLOOKUP($A1656,NotaIndividualPorAlunoMAT,RIGHT(L1656,2)+2,0)</f>
        <v/>
      </c>
      <c r="N1657" s="10"/>
      <c r="O1657" s="10"/>
    </row>
    <row r="1658" spans="1:15" x14ac:dyDescent="0.3">
      <c r="A1658" s="72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0"/>
      <c r="O1658" s="10"/>
    </row>
    <row r="1659" spans="1:15" x14ac:dyDescent="0.3">
      <c r="A1659" s="72"/>
      <c r="B1659" s="73" t="s">
        <v>14</v>
      </c>
      <c r="C1659" s="57" t="s">
        <v>46</v>
      </c>
      <c r="D1659" s="57" t="s">
        <v>47</v>
      </c>
      <c r="E1659" s="57" t="s">
        <v>48</v>
      </c>
      <c r="F1659" s="57" t="s">
        <v>49</v>
      </c>
      <c r="G1659" s="57" t="s">
        <v>50</v>
      </c>
      <c r="H1659" s="57" t="s">
        <v>51</v>
      </c>
      <c r="I1659" s="57" t="s">
        <v>52</v>
      </c>
      <c r="J1659" s="57" t="s">
        <v>53</v>
      </c>
      <c r="K1659" s="57" t="s">
        <v>54</v>
      </c>
      <c r="L1659" s="57" t="s">
        <v>55</v>
      </c>
      <c r="M1659" s="57" t="s">
        <v>13</v>
      </c>
      <c r="N1659" s="10"/>
      <c r="O1659" s="10"/>
    </row>
    <row r="1660" spans="1:15" ht="15.6" x14ac:dyDescent="0.3">
      <c r="A1660" s="72"/>
      <c r="B1660" s="73"/>
      <c r="C1660" s="3" t="str">
        <f t="shared" ref="C1660:L1660" si="292">VLOOKUP($A1656,NotaIndividualPorAlunoQUI,RIGHT(C1659,2)-9,0)</f>
        <v/>
      </c>
      <c r="D1660" s="3" t="str">
        <f t="shared" si="292"/>
        <v/>
      </c>
      <c r="E1660" s="3" t="str">
        <f t="shared" si="292"/>
        <v/>
      </c>
      <c r="F1660" s="3" t="str">
        <f t="shared" si="292"/>
        <v/>
      </c>
      <c r="G1660" s="3" t="str">
        <f t="shared" si="292"/>
        <v/>
      </c>
      <c r="H1660" s="3" t="str">
        <f t="shared" si="292"/>
        <v/>
      </c>
      <c r="I1660" s="3" t="str">
        <f t="shared" si="292"/>
        <v/>
      </c>
      <c r="J1660" s="3" t="str">
        <f t="shared" si="292"/>
        <v/>
      </c>
      <c r="K1660" s="3" t="str">
        <f t="shared" si="292"/>
        <v/>
      </c>
      <c r="L1660" s="3" t="str">
        <f t="shared" si="292"/>
        <v/>
      </c>
      <c r="M1660" s="19" t="str">
        <f>VLOOKUP($A1656,NotaIndividualPorAlunoQUI,RIGHT(L1659,2)-8,0)</f>
        <v/>
      </c>
      <c r="N1660" s="10"/>
      <c r="O1660" s="10"/>
    </row>
    <row r="1661" spans="1:15" x14ac:dyDescent="0.3">
      <c r="A1661" s="72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0"/>
      <c r="O1661" s="10"/>
    </row>
    <row r="1662" spans="1:15" x14ac:dyDescent="0.3">
      <c r="A1662" s="72"/>
      <c r="B1662" s="73" t="s">
        <v>12</v>
      </c>
      <c r="C1662" s="57" t="s">
        <v>2</v>
      </c>
      <c r="D1662" s="57" t="s">
        <v>3</v>
      </c>
      <c r="E1662" s="57" t="s">
        <v>4</v>
      </c>
      <c r="F1662" s="57" t="s">
        <v>5</v>
      </c>
      <c r="G1662" s="57" t="s">
        <v>6</v>
      </c>
      <c r="H1662" s="57" t="s">
        <v>7</v>
      </c>
      <c r="I1662" s="57" t="s">
        <v>8</v>
      </c>
      <c r="J1662" s="57" t="s">
        <v>9</v>
      </c>
      <c r="K1662" s="57" t="s">
        <v>10</v>
      </c>
      <c r="L1662" s="57" t="s">
        <v>11</v>
      </c>
      <c r="M1662" s="57" t="s">
        <v>13</v>
      </c>
      <c r="N1662" s="10"/>
      <c r="O1662" s="10"/>
    </row>
    <row r="1663" spans="1:15" ht="15.6" x14ac:dyDescent="0.3">
      <c r="A1663" s="72"/>
      <c r="B1663" s="73"/>
      <c r="C1663" s="3" t="str">
        <f t="shared" ref="C1663:L1663" si="293">VLOOKUP($A1656,NotaIndividualPorAlunoFIS,RIGHT(C1662,2)+1,0)</f>
        <v/>
      </c>
      <c r="D1663" s="3" t="str">
        <f t="shared" si="293"/>
        <v/>
      </c>
      <c r="E1663" s="3" t="str">
        <f t="shared" si="293"/>
        <v/>
      </c>
      <c r="F1663" s="3" t="str">
        <f t="shared" si="293"/>
        <v/>
      </c>
      <c r="G1663" s="3" t="str">
        <f t="shared" si="293"/>
        <v/>
      </c>
      <c r="H1663" s="3" t="str">
        <f t="shared" si="293"/>
        <v/>
      </c>
      <c r="I1663" s="3" t="str">
        <f t="shared" si="293"/>
        <v/>
      </c>
      <c r="J1663" s="3" t="str">
        <f t="shared" si="293"/>
        <v/>
      </c>
      <c r="K1663" s="3" t="str">
        <f t="shared" si="293"/>
        <v/>
      </c>
      <c r="L1663" s="3" t="str">
        <f t="shared" si="293"/>
        <v/>
      </c>
      <c r="M1663" s="19" t="str">
        <f>VLOOKUP($A1656,NotaIndividualPorAlunoFIS,RIGHT(L1662,2)+2,0)</f>
        <v/>
      </c>
      <c r="N1663" s="10"/>
      <c r="O1663" s="10"/>
    </row>
    <row r="1664" spans="1:15" ht="15.6" x14ac:dyDescent="0.3">
      <c r="A1664" s="72"/>
      <c r="B1664" s="12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0"/>
      <c r="O1664" s="10"/>
    </row>
    <row r="1665" spans="1:15" ht="15.6" x14ac:dyDescent="0.3">
      <c r="A1665" s="72"/>
      <c r="B1665" s="73" t="s">
        <v>16</v>
      </c>
      <c r="C1665" s="23" t="s">
        <v>41</v>
      </c>
      <c r="D1665" s="58" t="s">
        <v>42</v>
      </c>
      <c r="E1665" s="23" t="s">
        <v>43</v>
      </c>
      <c r="F1665" s="58" t="s">
        <v>44</v>
      </c>
      <c r="G1665" s="23" t="s">
        <v>63</v>
      </c>
      <c r="H1665" s="58" t="s">
        <v>32</v>
      </c>
      <c r="I1665" s="14"/>
      <c r="J1665" s="14"/>
      <c r="K1665" s="14"/>
      <c r="L1665" s="14"/>
      <c r="M1665" s="15" t="s">
        <v>18</v>
      </c>
      <c r="N1665" s="10"/>
      <c r="O1665" s="10"/>
    </row>
    <row r="1666" spans="1:15" ht="15.6" x14ac:dyDescent="0.3">
      <c r="A1666" s="72"/>
      <c r="B1666" s="73"/>
      <c r="C1666" s="26" t="str">
        <f>VLOOKUP($A1656,NotaIndividualPorAlunoRED,2,0)</f>
        <v/>
      </c>
      <c r="D1666" s="26" t="str">
        <f>VLOOKUP($A1656,NotaIndividualPorAlunoRED,3,0)</f>
        <v/>
      </c>
      <c r="E1666" s="26" t="str">
        <f>VLOOKUP($A1656,NotaIndividualPorAlunoRED,4,0)</f>
        <v/>
      </c>
      <c r="F1666" s="26" t="str">
        <f>VLOOKUP($A1656,NotaIndividualPorAlunoRED,5,0)</f>
        <v/>
      </c>
      <c r="G1666" s="26" t="str">
        <f>VLOOKUP($A1656,NotaIndividualPorAlunoRED,6,0)</f>
        <v/>
      </c>
      <c r="H1666" s="21" t="str">
        <f>VLOOKUP($A1656,NotaIndividualPorAlunoRED,7,0)</f>
        <v/>
      </c>
      <c r="I1666" s="14"/>
      <c r="J1666" s="14"/>
      <c r="K1666" s="14"/>
      <c r="L1666" s="14"/>
      <c r="M1666" s="20" t="str">
        <f>VLOOKUP(A1656,NOTAS!C:I,7,0)</f>
        <v/>
      </c>
      <c r="N1666" s="10"/>
      <c r="O1666" s="10"/>
    </row>
    <row r="1667" spans="1:15" x14ac:dyDescent="0.3">
      <c r="A1667" s="72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0"/>
      <c r="O1667" s="10"/>
    </row>
    <row r="1668" spans="1:15" x14ac:dyDescent="0.3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</row>
    <row r="1669" spans="1:15" x14ac:dyDescent="0.3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</row>
    <row r="1670" spans="1:15" x14ac:dyDescent="0.3">
      <c r="A1670" s="58" t="s">
        <v>38</v>
      </c>
      <c r="B1670" s="57" t="s">
        <v>35</v>
      </c>
      <c r="C1670" s="57" t="s">
        <v>56</v>
      </c>
      <c r="D1670" s="57" t="s">
        <v>57</v>
      </c>
      <c r="E1670" s="57" t="s">
        <v>58</v>
      </c>
      <c r="F1670" s="57" t="s">
        <v>59</v>
      </c>
      <c r="G1670" s="57" t="s">
        <v>60</v>
      </c>
      <c r="H1670" s="57" t="s">
        <v>36</v>
      </c>
      <c r="I1670" s="57" t="s">
        <v>61</v>
      </c>
      <c r="J1670" s="57" t="s">
        <v>34</v>
      </c>
      <c r="K1670" s="57" t="s">
        <v>62</v>
      </c>
      <c r="L1670" s="16" t="s">
        <v>33</v>
      </c>
      <c r="M1670" s="57" t="s">
        <v>37</v>
      </c>
      <c r="N1670" s="10"/>
      <c r="O1670" s="10"/>
    </row>
    <row r="1671" spans="1:15" ht="15.6" x14ac:dyDescent="0.3">
      <c r="A1671" s="58" t="str" cm="1">
        <f t="array" ref="A1671">IF(ISERROR(INDEX(ListaDeAlunos,(((ROW()-2)/17)+1),(COLUMN()+1))),"",INDEX(ListaDeAlunos,(((ROW()-2)/17)+1),(COLUMN()+1)))</f>
        <v/>
      </c>
      <c r="B1671" s="17" t="str">
        <f>VLOOKUP($A1671,NotaIndividualPorAlunoPROVAO,2,0)</f>
        <v/>
      </c>
      <c r="C1671" s="18" t="str">
        <f>VLOOKUP($A1671,NotaIndividualPorAlunoPROVAO,3,0)</f>
        <v/>
      </c>
      <c r="D1671" s="17" t="str">
        <f>VLOOKUP($A1671,NotaIndividualPorAlunoPROVAO,4,0)</f>
        <v/>
      </c>
      <c r="E1671" s="18" t="str">
        <f>VLOOKUP($A1671,NotaIndividualPorAlunoPROVAO,5,0)</f>
        <v/>
      </c>
      <c r="F1671" s="17" t="str">
        <f>VLOOKUP($A1671,NotaIndividualPorAlunoPROVAO,6,0)</f>
        <v/>
      </c>
      <c r="G1671" s="18" t="str">
        <f>VLOOKUP($A1671,NotaIndividualPorAlunoPROVAO,7,0)</f>
        <v/>
      </c>
      <c r="H1671" s="17" t="str">
        <f>VLOOKUP($A1671,NotaIndividualPorAlunoPROVAO,8,0)</f>
        <v/>
      </c>
      <c r="I1671" s="18" t="str">
        <f>VLOOKUP($A1671,NotaIndividualPorAlunoPROVAO,9,0)</f>
        <v/>
      </c>
      <c r="J1671" s="17" t="str">
        <f>VLOOKUP($A1671,NotaIndividualPorAlunoPROVAO,10,0)</f>
        <v/>
      </c>
      <c r="K1671" s="18" t="str">
        <f>VLOOKUP($A1671,NotaIndividualPorAlunoPROVAO,11,0)</f>
        <v/>
      </c>
      <c r="L1671" s="15" t="str">
        <f>VLOOKUP($A1671,NotaIndividualPorAlunoPROVAO,12,0)</f>
        <v/>
      </c>
      <c r="M1671" s="25" t="str">
        <f>VLOOKUP($A1671,NotaIndividualPorAlunoPROVAO,13,0)</f>
        <v/>
      </c>
      <c r="N1671" s="10"/>
      <c r="O1671" s="10"/>
    </row>
    <row r="1672" spans="1:15" x14ac:dyDescent="0.3">
      <c r="N1672" s="10"/>
      <c r="O1672" s="10"/>
    </row>
    <row r="1673" spans="1:15" x14ac:dyDescent="0.3">
      <c r="A1673" s="72" t="str">
        <f>A1671</f>
        <v/>
      </c>
      <c r="B1673" s="73" t="s">
        <v>15</v>
      </c>
      <c r="C1673" s="57" t="s">
        <v>2</v>
      </c>
      <c r="D1673" s="57" t="s">
        <v>3</v>
      </c>
      <c r="E1673" s="57" t="s">
        <v>4</v>
      </c>
      <c r="F1673" s="57" t="s">
        <v>5</v>
      </c>
      <c r="G1673" s="57" t="s">
        <v>6</v>
      </c>
      <c r="H1673" s="57" t="s">
        <v>7</v>
      </c>
      <c r="I1673" s="57" t="s">
        <v>8</v>
      </c>
      <c r="J1673" s="57" t="s">
        <v>9</v>
      </c>
      <c r="K1673" s="57" t="s">
        <v>10</v>
      </c>
      <c r="L1673" s="57" t="s">
        <v>11</v>
      </c>
      <c r="M1673" s="57" t="s">
        <v>13</v>
      </c>
      <c r="N1673" s="10"/>
      <c r="O1673" s="10"/>
    </row>
    <row r="1674" spans="1:15" ht="15.6" x14ac:dyDescent="0.3">
      <c r="A1674" s="72"/>
      <c r="B1674" s="73"/>
      <c r="C1674" s="5" t="str">
        <f t="shared" ref="C1674:L1674" si="294">VLOOKUP($A1673,NotaIndividualPorAlunoMAT,RIGHT(C1673,2)+1,0)</f>
        <v/>
      </c>
      <c r="D1674" s="5" t="str">
        <f t="shared" si="294"/>
        <v/>
      </c>
      <c r="E1674" s="5" t="str">
        <f t="shared" si="294"/>
        <v/>
      </c>
      <c r="F1674" s="5" t="str">
        <f t="shared" si="294"/>
        <v/>
      </c>
      <c r="G1674" s="5" t="str">
        <f t="shared" si="294"/>
        <v/>
      </c>
      <c r="H1674" s="5" t="str">
        <f t="shared" si="294"/>
        <v/>
      </c>
      <c r="I1674" s="5" t="str">
        <f t="shared" si="294"/>
        <v/>
      </c>
      <c r="J1674" s="5" t="str">
        <f t="shared" si="294"/>
        <v/>
      </c>
      <c r="K1674" s="5" t="str">
        <f t="shared" si="294"/>
        <v/>
      </c>
      <c r="L1674" s="5" t="str">
        <f t="shared" si="294"/>
        <v/>
      </c>
      <c r="M1674" s="19" t="str">
        <f>VLOOKUP($A1673,NotaIndividualPorAlunoMAT,RIGHT(L1673,2)+2,0)</f>
        <v/>
      </c>
      <c r="N1674" s="10"/>
      <c r="O1674" s="10"/>
    </row>
    <row r="1675" spans="1:15" x14ac:dyDescent="0.3">
      <c r="A1675" s="72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0"/>
      <c r="O1675" s="10"/>
    </row>
    <row r="1676" spans="1:15" x14ac:dyDescent="0.3">
      <c r="A1676" s="72"/>
      <c r="B1676" s="73" t="s">
        <v>14</v>
      </c>
      <c r="C1676" s="57" t="s">
        <v>46</v>
      </c>
      <c r="D1676" s="57" t="s">
        <v>47</v>
      </c>
      <c r="E1676" s="57" t="s">
        <v>48</v>
      </c>
      <c r="F1676" s="57" t="s">
        <v>49</v>
      </c>
      <c r="G1676" s="57" t="s">
        <v>50</v>
      </c>
      <c r="H1676" s="57" t="s">
        <v>51</v>
      </c>
      <c r="I1676" s="57" t="s">
        <v>52</v>
      </c>
      <c r="J1676" s="57" t="s">
        <v>53</v>
      </c>
      <c r="K1676" s="57" t="s">
        <v>54</v>
      </c>
      <c r="L1676" s="57" t="s">
        <v>55</v>
      </c>
      <c r="M1676" s="57" t="s">
        <v>13</v>
      </c>
      <c r="N1676" s="10"/>
      <c r="O1676" s="10"/>
    </row>
    <row r="1677" spans="1:15" ht="15.6" x14ac:dyDescent="0.3">
      <c r="A1677" s="72"/>
      <c r="B1677" s="73"/>
      <c r="C1677" s="3" t="str">
        <f t="shared" ref="C1677:L1677" si="295">VLOOKUP($A1673,NotaIndividualPorAlunoQUI,RIGHT(C1676,2)-9,0)</f>
        <v/>
      </c>
      <c r="D1677" s="3" t="str">
        <f t="shared" si="295"/>
        <v/>
      </c>
      <c r="E1677" s="3" t="str">
        <f t="shared" si="295"/>
        <v/>
      </c>
      <c r="F1677" s="3" t="str">
        <f t="shared" si="295"/>
        <v/>
      </c>
      <c r="G1677" s="3" t="str">
        <f t="shared" si="295"/>
        <v/>
      </c>
      <c r="H1677" s="3" t="str">
        <f t="shared" si="295"/>
        <v/>
      </c>
      <c r="I1677" s="3" t="str">
        <f t="shared" si="295"/>
        <v/>
      </c>
      <c r="J1677" s="3" t="str">
        <f t="shared" si="295"/>
        <v/>
      </c>
      <c r="K1677" s="3" t="str">
        <f t="shared" si="295"/>
        <v/>
      </c>
      <c r="L1677" s="3" t="str">
        <f t="shared" si="295"/>
        <v/>
      </c>
      <c r="M1677" s="19" t="str">
        <f>VLOOKUP($A1673,NotaIndividualPorAlunoQUI,RIGHT(L1676,2)-8,0)</f>
        <v/>
      </c>
      <c r="N1677" s="10"/>
      <c r="O1677" s="10"/>
    </row>
    <row r="1678" spans="1:15" x14ac:dyDescent="0.3">
      <c r="A1678" s="72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0"/>
      <c r="O1678" s="10"/>
    </row>
    <row r="1679" spans="1:15" x14ac:dyDescent="0.3">
      <c r="A1679" s="72"/>
      <c r="B1679" s="73" t="s">
        <v>12</v>
      </c>
      <c r="C1679" s="57" t="s">
        <v>2</v>
      </c>
      <c r="D1679" s="57" t="s">
        <v>3</v>
      </c>
      <c r="E1679" s="57" t="s">
        <v>4</v>
      </c>
      <c r="F1679" s="57" t="s">
        <v>5</v>
      </c>
      <c r="G1679" s="57" t="s">
        <v>6</v>
      </c>
      <c r="H1679" s="57" t="s">
        <v>7</v>
      </c>
      <c r="I1679" s="57" t="s">
        <v>8</v>
      </c>
      <c r="J1679" s="57" t="s">
        <v>9</v>
      </c>
      <c r="K1679" s="57" t="s">
        <v>10</v>
      </c>
      <c r="L1679" s="57" t="s">
        <v>11</v>
      </c>
      <c r="M1679" s="57" t="s">
        <v>13</v>
      </c>
      <c r="N1679" s="10"/>
      <c r="O1679" s="10"/>
    </row>
    <row r="1680" spans="1:15" ht="15.6" x14ac:dyDescent="0.3">
      <c r="A1680" s="72"/>
      <c r="B1680" s="73"/>
      <c r="C1680" s="3" t="str">
        <f t="shared" ref="C1680:L1680" si="296">VLOOKUP($A1673,NotaIndividualPorAlunoFIS,RIGHT(C1679,2)+1,0)</f>
        <v/>
      </c>
      <c r="D1680" s="3" t="str">
        <f t="shared" si="296"/>
        <v/>
      </c>
      <c r="E1680" s="3" t="str">
        <f t="shared" si="296"/>
        <v/>
      </c>
      <c r="F1680" s="3" t="str">
        <f t="shared" si="296"/>
        <v/>
      </c>
      <c r="G1680" s="3" t="str">
        <f t="shared" si="296"/>
        <v/>
      </c>
      <c r="H1680" s="3" t="str">
        <f t="shared" si="296"/>
        <v/>
      </c>
      <c r="I1680" s="3" t="str">
        <f t="shared" si="296"/>
        <v/>
      </c>
      <c r="J1680" s="3" t="str">
        <f t="shared" si="296"/>
        <v/>
      </c>
      <c r="K1680" s="3" t="str">
        <f t="shared" si="296"/>
        <v/>
      </c>
      <c r="L1680" s="3" t="str">
        <f t="shared" si="296"/>
        <v/>
      </c>
      <c r="M1680" s="19" t="str">
        <f>VLOOKUP($A1673,NotaIndividualPorAlunoFIS,RIGHT(L1679,2)+2,0)</f>
        <v/>
      </c>
      <c r="N1680" s="10"/>
      <c r="O1680" s="10"/>
    </row>
    <row r="1681" spans="1:15" ht="15.6" x14ac:dyDescent="0.3">
      <c r="A1681" s="72"/>
      <c r="B1681" s="12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0"/>
      <c r="O1681" s="10"/>
    </row>
    <row r="1682" spans="1:15" ht="15.6" x14ac:dyDescent="0.3">
      <c r="A1682" s="72"/>
      <c r="B1682" s="73" t="s">
        <v>16</v>
      </c>
      <c r="C1682" s="23" t="s">
        <v>41</v>
      </c>
      <c r="D1682" s="58" t="s">
        <v>42</v>
      </c>
      <c r="E1682" s="23" t="s">
        <v>43</v>
      </c>
      <c r="F1682" s="58" t="s">
        <v>44</v>
      </c>
      <c r="G1682" s="23" t="s">
        <v>63</v>
      </c>
      <c r="H1682" s="58" t="s">
        <v>32</v>
      </c>
      <c r="I1682" s="14"/>
      <c r="J1682" s="14"/>
      <c r="K1682" s="14"/>
      <c r="L1682" s="14"/>
      <c r="M1682" s="15" t="s">
        <v>18</v>
      </c>
      <c r="N1682" s="10"/>
      <c r="O1682" s="10"/>
    </row>
    <row r="1683" spans="1:15" ht="15.6" x14ac:dyDescent="0.3">
      <c r="A1683" s="72"/>
      <c r="B1683" s="73"/>
      <c r="C1683" s="26" t="str">
        <f>VLOOKUP($A1673,NotaIndividualPorAlunoRED,2,0)</f>
        <v/>
      </c>
      <c r="D1683" s="26" t="str">
        <f>VLOOKUP($A1673,NotaIndividualPorAlunoRED,3,0)</f>
        <v/>
      </c>
      <c r="E1683" s="26" t="str">
        <f>VLOOKUP($A1673,NotaIndividualPorAlunoRED,4,0)</f>
        <v/>
      </c>
      <c r="F1683" s="26" t="str">
        <f>VLOOKUP($A1673,NotaIndividualPorAlunoRED,5,0)</f>
        <v/>
      </c>
      <c r="G1683" s="26" t="str">
        <f>VLOOKUP($A1673,NotaIndividualPorAlunoRED,6,0)</f>
        <v/>
      </c>
      <c r="H1683" s="21" t="str">
        <f>VLOOKUP($A1673,NotaIndividualPorAlunoRED,7,0)</f>
        <v/>
      </c>
      <c r="I1683" s="14"/>
      <c r="J1683" s="14"/>
      <c r="K1683" s="14"/>
      <c r="L1683" s="14"/>
      <c r="M1683" s="20" t="str">
        <f>VLOOKUP(A1673,NOTAS!C:I,7,0)</f>
        <v/>
      </c>
      <c r="N1683" s="10"/>
      <c r="O1683" s="10"/>
    </row>
    <row r="1684" spans="1:15" x14ac:dyDescent="0.3">
      <c r="A1684" s="72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0"/>
      <c r="O1684" s="10"/>
    </row>
    <row r="1685" spans="1:15" x14ac:dyDescent="0.3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</row>
    <row r="1686" spans="1:15" x14ac:dyDescent="0.3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</row>
  </sheetData>
  <mergeCells count="495">
    <mergeCell ref="A1673:A1684"/>
    <mergeCell ref="B1673:B1674"/>
    <mergeCell ref="B1676:B1677"/>
    <mergeCell ref="B1679:B1680"/>
    <mergeCell ref="B1682:B1683"/>
    <mergeCell ref="A1639:A1650"/>
    <mergeCell ref="B1639:B1640"/>
    <mergeCell ref="B1642:B1643"/>
    <mergeCell ref="B1645:B1646"/>
    <mergeCell ref="B1648:B1649"/>
    <mergeCell ref="A1656:A1667"/>
    <mergeCell ref="B1656:B1657"/>
    <mergeCell ref="B1659:B1660"/>
    <mergeCell ref="B1662:B1663"/>
    <mergeCell ref="B1665:B1666"/>
    <mergeCell ref="A1605:A1616"/>
    <mergeCell ref="B1605:B1606"/>
    <mergeCell ref="B1608:B1609"/>
    <mergeCell ref="B1611:B1612"/>
    <mergeCell ref="B1614:B1615"/>
    <mergeCell ref="A1622:A1633"/>
    <mergeCell ref="B1622:B1623"/>
    <mergeCell ref="B1625:B1626"/>
    <mergeCell ref="B1628:B1629"/>
    <mergeCell ref="B1631:B1632"/>
    <mergeCell ref="A1571:A1582"/>
    <mergeCell ref="B1571:B1572"/>
    <mergeCell ref="B1574:B1575"/>
    <mergeCell ref="B1577:B1578"/>
    <mergeCell ref="B1580:B1581"/>
    <mergeCell ref="A1588:A1599"/>
    <mergeCell ref="B1588:B1589"/>
    <mergeCell ref="B1591:B1592"/>
    <mergeCell ref="B1594:B1595"/>
    <mergeCell ref="B1597:B1598"/>
    <mergeCell ref="A1537:A1548"/>
    <mergeCell ref="B1537:B1538"/>
    <mergeCell ref="B1540:B1541"/>
    <mergeCell ref="B1543:B1544"/>
    <mergeCell ref="B1546:B1547"/>
    <mergeCell ref="A1554:A1565"/>
    <mergeCell ref="B1554:B1555"/>
    <mergeCell ref="B1557:B1558"/>
    <mergeCell ref="B1560:B1561"/>
    <mergeCell ref="B1563:B1564"/>
    <mergeCell ref="A1503:A1514"/>
    <mergeCell ref="B1503:B1504"/>
    <mergeCell ref="B1506:B1507"/>
    <mergeCell ref="B1509:B1510"/>
    <mergeCell ref="B1512:B1513"/>
    <mergeCell ref="A1520:A1531"/>
    <mergeCell ref="B1520:B1521"/>
    <mergeCell ref="B1523:B1524"/>
    <mergeCell ref="B1526:B1527"/>
    <mergeCell ref="B1529:B1530"/>
    <mergeCell ref="A1469:A1480"/>
    <mergeCell ref="B1469:B1470"/>
    <mergeCell ref="B1472:B1473"/>
    <mergeCell ref="B1475:B1476"/>
    <mergeCell ref="B1478:B1479"/>
    <mergeCell ref="A1486:A1497"/>
    <mergeCell ref="B1486:B1487"/>
    <mergeCell ref="B1489:B1490"/>
    <mergeCell ref="B1492:B1493"/>
    <mergeCell ref="B1495:B1496"/>
    <mergeCell ref="A1435:A1446"/>
    <mergeCell ref="B1435:B1436"/>
    <mergeCell ref="B1438:B1439"/>
    <mergeCell ref="B1441:B1442"/>
    <mergeCell ref="B1444:B1445"/>
    <mergeCell ref="A1452:A1463"/>
    <mergeCell ref="B1452:B1453"/>
    <mergeCell ref="B1455:B1456"/>
    <mergeCell ref="B1458:B1459"/>
    <mergeCell ref="B1461:B1462"/>
    <mergeCell ref="A1401:A1412"/>
    <mergeCell ref="B1401:B1402"/>
    <mergeCell ref="B1404:B1405"/>
    <mergeCell ref="B1407:B1408"/>
    <mergeCell ref="B1410:B1411"/>
    <mergeCell ref="A1418:A1429"/>
    <mergeCell ref="B1418:B1419"/>
    <mergeCell ref="B1421:B1422"/>
    <mergeCell ref="B1424:B1425"/>
    <mergeCell ref="B1427:B1428"/>
    <mergeCell ref="A1367:A1378"/>
    <mergeCell ref="B1367:B1368"/>
    <mergeCell ref="B1370:B1371"/>
    <mergeCell ref="B1373:B1374"/>
    <mergeCell ref="B1376:B1377"/>
    <mergeCell ref="A1384:A1395"/>
    <mergeCell ref="B1384:B1385"/>
    <mergeCell ref="B1387:B1388"/>
    <mergeCell ref="B1390:B1391"/>
    <mergeCell ref="B1393:B1394"/>
    <mergeCell ref="A1333:A1344"/>
    <mergeCell ref="B1333:B1334"/>
    <mergeCell ref="B1336:B1337"/>
    <mergeCell ref="B1339:B1340"/>
    <mergeCell ref="B1342:B1343"/>
    <mergeCell ref="A1350:A1361"/>
    <mergeCell ref="B1350:B1351"/>
    <mergeCell ref="B1353:B1354"/>
    <mergeCell ref="B1356:B1357"/>
    <mergeCell ref="B1359:B1360"/>
    <mergeCell ref="A1299:A1310"/>
    <mergeCell ref="B1299:B1300"/>
    <mergeCell ref="B1302:B1303"/>
    <mergeCell ref="B1305:B1306"/>
    <mergeCell ref="B1308:B1309"/>
    <mergeCell ref="A1316:A1327"/>
    <mergeCell ref="B1316:B1317"/>
    <mergeCell ref="B1319:B1320"/>
    <mergeCell ref="B1322:B1323"/>
    <mergeCell ref="B1325:B1326"/>
    <mergeCell ref="A1265:A1276"/>
    <mergeCell ref="B1265:B1266"/>
    <mergeCell ref="B1268:B1269"/>
    <mergeCell ref="B1271:B1272"/>
    <mergeCell ref="B1274:B1275"/>
    <mergeCell ref="A1282:A1293"/>
    <mergeCell ref="B1282:B1283"/>
    <mergeCell ref="B1285:B1286"/>
    <mergeCell ref="B1288:B1289"/>
    <mergeCell ref="B1291:B1292"/>
    <mergeCell ref="A1231:A1242"/>
    <mergeCell ref="B1231:B1232"/>
    <mergeCell ref="B1234:B1235"/>
    <mergeCell ref="B1237:B1238"/>
    <mergeCell ref="B1240:B1241"/>
    <mergeCell ref="A1248:A1259"/>
    <mergeCell ref="B1248:B1249"/>
    <mergeCell ref="B1251:B1252"/>
    <mergeCell ref="B1254:B1255"/>
    <mergeCell ref="B1257:B1258"/>
    <mergeCell ref="A1197:A1208"/>
    <mergeCell ref="B1197:B1198"/>
    <mergeCell ref="B1200:B1201"/>
    <mergeCell ref="B1203:B1204"/>
    <mergeCell ref="B1206:B1207"/>
    <mergeCell ref="A1214:A1225"/>
    <mergeCell ref="B1214:B1215"/>
    <mergeCell ref="B1217:B1218"/>
    <mergeCell ref="B1220:B1221"/>
    <mergeCell ref="B1223:B1224"/>
    <mergeCell ref="A1163:A1174"/>
    <mergeCell ref="B1163:B1164"/>
    <mergeCell ref="B1166:B1167"/>
    <mergeCell ref="B1169:B1170"/>
    <mergeCell ref="B1172:B1173"/>
    <mergeCell ref="A1180:A1191"/>
    <mergeCell ref="B1180:B1181"/>
    <mergeCell ref="B1183:B1184"/>
    <mergeCell ref="B1186:B1187"/>
    <mergeCell ref="B1189:B1190"/>
    <mergeCell ref="A1129:A1140"/>
    <mergeCell ref="B1129:B1130"/>
    <mergeCell ref="B1132:B1133"/>
    <mergeCell ref="B1135:B1136"/>
    <mergeCell ref="B1138:B1139"/>
    <mergeCell ref="A1146:A1157"/>
    <mergeCell ref="B1146:B1147"/>
    <mergeCell ref="B1149:B1150"/>
    <mergeCell ref="B1152:B1153"/>
    <mergeCell ref="B1155:B1156"/>
    <mergeCell ref="A1095:A1106"/>
    <mergeCell ref="B1095:B1096"/>
    <mergeCell ref="B1098:B1099"/>
    <mergeCell ref="B1101:B1102"/>
    <mergeCell ref="B1104:B1105"/>
    <mergeCell ref="A1112:A1123"/>
    <mergeCell ref="B1112:B1113"/>
    <mergeCell ref="B1115:B1116"/>
    <mergeCell ref="B1118:B1119"/>
    <mergeCell ref="B1121:B1122"/>
    <mergeCell ref="A1061:A1072"/>
    <mergeCell ref="B1061:B1062"/>
    <mergeCell ref="B1064:B1065"/>
    <mergeCell ref="B1067:B1068"/>
    <mergeCell ref="B1070:B1071"/>
    <mergeCell ref="A1078:A1089"/>
    <mergeCell ref="B1078:B1079"/>
    <mergeCell ref="B1081:B1082"/>
    <mergeCell ref="B1084:B1085"/>
    <mergeCell ref="B1087:B1088"/>
    <mergeCell ref="A1027:A1038"/>
    <mergeCell ref="B1027:B1028"/>
    <mergeCell ref="B1030:B1031"/>
    <mergeCell ref="B1033:B1034"/>
    <mergeCell ref="B1036:B1037"/>
    <mergeCell ref="A1044:A1055"/>
    <mergeCell ref="B1044:B1045"/>
    <mergeCell ref="B1047:B1048"/>
    <mergeCell ref="B1050:B1051"/>
    <mergeCell ref="B1053:B1054"/>
    <mergeCell ref="A993:A1004"/>
    <mergeCell ref="B993:B994"/>
    <mergeCell ref="B996:B997"/>
    <mergeCell ref="B999:B1000"/>
    <mergeCell ref="B1002:B1003"/>
    <mergeCell ref="A1010:A1021"/>
    <mergeCell ref="B1010:B1011"/>
    <mergeCell ref="B1013:B1014"/>
    <mergeCell ref="B1016:B1017"/>
    <mergeCell ref="B1019:B1020"/>
    <mergeCell ref="A959:A970"/>
    <mergeCell ref="B959:B960"/>
    <mergeCell ref="B962:B963"/>
    <mergeCell ref="B965:B966"/>
    <mergeCell ref="B968:B969"/>
    <mergeCell ref="A976:A987"/>
    <mergeCell ref="B976:B977"/>
    <mergeCell ref="B979:B980"/>
    <mergeCell ref="B982:B983"/>
    <mergeCell ref="B985:B986"/>
    <mergeCell ref="A925:A936"/>
    <mergeCell ref="B925:B926"/>
    <mergeCell ref="B928:B929"/>
    <mergeCell ref="B931:B932"/>
    <mergeCell ref="B934:B935"/>
    <mergeCell ref="A942:A953"/>
    <mergeCell ref="B942:B943"/>
    <mergeCell ref="B945:B946"/>
    <mergeCell ref="B948:B949"/>
    <mergeCell ref="B951:B952"/>
    <mergeCell ref="A891:A902"/>
    <mergeCell ref="B891:B892"/>
    <mergeCell ref="B894:B895"/>
    <mergeCell ref="B897:B898"/>
    <mergeCell ref="B900:B901"/>
    <mergeCell ref="A908:A919"/>
    <mergeCell ref="B908:B909"/>
    <mergeCell ref="B911:B912"/>
    <mergeCell ref="B914:B915"/>
    <mergeCell ref="B917:B918"/>
    <mergeCell ref="A857:A868"/>
    <mergeCell ref="B857:B858"/>
    <mergeCell ref="B860:B861"/>
    <mergeCell ref="B863:B864"/>
    <mergeCell ref="B866:B867"/>
    <mergeCell ref="A874:A885"/>
    <mergeCell ref="B874:B875"/>
    <mergeCell ref="B877:B878"/>
    <mergeCell ref="B880:B881"/>
    <mergeCell ref="B883:B884"/>
    <mergeCell ref="A823:A834"/>
    <mergeCell ref="B823:B824"/>
    <mergeCell ref="B826:B827"/>
    <mergeCell ref="B829:B830"/>
    <mergeCell ref="B832:B833"/>
    <mergeCell ref="A840:A851"/>
    <mergeCell ref="B840:B841"/>
    <mergeCell ref="B843:B844"/>
    <mergeCell ref="B846:B847"/>
    <mergeCell ref="B849:B850"/>
    <mergeCell ref="A789:A800"/>
    <mergeCell ref="B789:B790"/>
    <mergeCell ref="B792:B793"/>
    <mergeCell ref="B795:B796"/>
    <mergeCell ref="B798:B799"/>
    <mergeCell ref="A806:A817"/>
    <mergeCell ref="B806:B807"/>
    <mergeCell ref="B809:B810"/>
    <mergeCell ref="B812:B813"/>
    <mergeCell ref="B815:B816"/>
    <mergeCell ref="A755:A766"/>
    <mergeCell ref="B755:B756"/>
    <mergeCell ref="B758:B759"/>
    <mergeCell ref="B761:B762"/>
    <mergeCell ref="B764:B765"/>
    <mergeCell ref="A772:A783"/>
    <mergeCell ref="B772:B773"/>
    <mergeCell ref="B775:B776"/>
    <mergeCell ref="B778:B779"/>
    <mergeCell ref="B781:B782"/>
    <mergeCell ref="A721:A732"/>
    <mergeCell ref="B721:B722"/>
    <mergeCell ref="B724:B725"/>
    <mergeCell ref="B727:B728"/>
    <mergeCell ref="B730:B731"/>
    <mergeCell ref="A738:A749"/>
    <mergeCell ref="B738:B739"/>
    <mergeCell ref="B741:B742"/>
    <mergeCell ref="B744:B745"/>
    <mergeCell ref="B747:B748"/>
    <mergeCell ref="A687:A698"/>
    <mergeCell ref="B687:B688"/>
    <mergeCell ref="B690:B691"/>
    <mergeCell ref="B693:B694"/>
    <mergeCell ref="B696:B697"/>
    <mergeCell ref="A704:A715"/>
    <mergeCell ref="B704:B705"/>
    <mergeCell ref="B707:B708"/>
    <mergeCell ref="B710:B711"/>
    <mergeCell ref="B713:B714"/>
    <mergeCell ref="A653:A664"/>
    <mergeCell ref="B653:B654"/>
    <mergeCell ref="B656:B657"/>
    <mergeCell ref="B659:B660"/>
    <mergeCell ref="B662:B663"/>
    <mergeCell ref="A670:A681"/>
    <mergeCell ref="B670:B671"/>
    <mergeCell ref="B673:B674"/>
    <mergeCell ref="B676:B677"/>
    <mergeCell ref="B679:B680"/>
    <mergeCell ref="A619:A630"/>
    <mergeCell ref="B619:B620"/>
    <mergeCell ref="B622:B623"/>
    <mergeCell ref="B625:B626"/>
    <mergeCell ref="B628:B629"/>
    <mergeCell ref="A636:A647"/>
    <mergeCell ref="B636:B637"/>
    <mergeCell ref="B639:B640"/>
    <mergeCell ref="B642:B643"/>
    <mergeCell ref="B645:B646"/>
    <mergeCell ref="A585:A596"/>
    <mergeCell ref="B585:B586"/>
    <mergeCell ref="B588:B589"/>
    <mergeCell ref="B591:B592"/>
    <mergeCell ref="B594:B595"/>
    <mergeCell ref="A602:A613"/>
    <mergeCell ref="B602:B603"/>
    <mergeCell ref="B605:B606"/>
    <mergeCell ref="B608:B609"/>
    <mergeCell ref="B611:B612"/>
    <mergeCell ref="A551:A562"/>
    <mergeCell ref="B551:B552"/>
    <mergeCell ref="B554:B555"/>
    <mergeCell ref="B557:B558"/>
    <mergeCell ref="B560:B561"/>
    <mergeCell ref="A568:A579"/>
    <mergeCell ref="B568:B569"/>
    <mergeCell ref="B571:B572"/>
    <mergeCell ref="B574:B575"/>
    <mergeCell ref="B577:B578"/>
    <mergeCell ref="A517:A528"/>
    <mergeCell ref="B517:B518"/>
    <mergeCell ref="B520:B521"/>
    <mergeCell ref="B523:B524"/>
    <mergeCell ref="B526:B527"/>
    <mergeCell ref="A534:A545"/>
    <mergeCell ref="B534:B535"/>
    <mergeCell ref="B537:B538"/>
    <mergeCell ref="B540:B541"/>
    <mergeCell ref="B543:B544"/>
    <mergeCell ref="A483:A494"/>
    <mergeCell ref="B483:B484"/>
    <mergeCell ref="B486:B487"/>
    <mergeCell ref="B489:B490"/>
    <mergeCell ref="B492:B493"/>
    <mergeCell ref="A500:A511"/>
    <mergeCell ref="B500:B501"/>
    <mergeCell ref="B503:B504"/>
    <mergeCell ref="B506:B507"/>
    <mergeCell ref="B509:B510"/>
    <mergeCell ref="A58:A69"/>
    <mergeCell ref="B58:B59"/>
    <mergeCell ref="B61:B62"/>
    <mergeCell ref="B64:B65"/>
    <mergeCell ref="B67:B68"/>
    <mergeCell ref="A7:A18"/>
    <mergeCell ref="B7:B8"/>
    <mergeCell ref="B10:B11"/>
    <mergeCell ref="B13:B14"/>
    <mergeCell ref="B16:B17"/>
    <mergeCell ref="A41:A52"/>
    <mergeCell ref="B41:B42"/>
    <mergeCell ref="B44:B45"/>
    <mergeCell ref="B47:B48"/>
    <mergeCell ref="B50:B51"/>
    <mergeCell ref="A24:A35"/>
    <mergeCell ref="B24:B25"/>
    <mergeCell ref="B27:B28"/>
    <mergeCell ref="B30:B31"/>
    <mergeCell ref="B33:B34"/>
    <mergeCell ref="A92:A103"/>
    <mergeCell ref="B92:B93"/>
    <mergeCell ref="B95:B96"/>
    <mergeCell ref="B98:B99"/>
    <mergeCell ref="B101:B102"/>
    <mergeCell ref="A75:A86"/>
    <mergeCell ref="B75:B76"/>
    <mergeCell ref="B78:B79"/>
    <mergeCell ref="B81:B82"/>
    <mergeCell ref="B84:B85"/>
    <mergeCell ref="A126:A137"/>
    <mergeCell ref="B126:B127"/>
    <mergeCell ref="B129:B130"/>
    <mergeCell ref="B132:B133"/>
    <mergeCell ref="B135:B136"/>
    <mergeCell ref="A109:A120"/>
    <mergeCell ref="B109:B110"/>
    <mergeCell ref="B112:B113"/>
    <mergeCell ref="B115:B116"/>
    <mergeCell ref="B118:B119"/>
    <mergeCell ref="A160:A171"/>
    <mergeCell ref="B160:B161"/>
    <mergeCell ref="B163:B164"/>
    <mergeCell ref="B166:B167"/>
    <mergeCell ref="B169:B170"/>
    <mergeCell ref="B152:B153"/>
    <mergeCell ref="B149:B150"/>
    <mergeCell ref="B146:B147"/>
    <mergeCell ref="B143:B144"/>
    <mergeCell ref="A143:A154"/>
    <mergeCell ref="A194:A205"/>
    <mergeCell ref="B194:B195"/>
    <mergeCell ref="B197:B198"/>
    <mergeCell ref="B200:B201"/>
    <mergeCell ref="B203:B204"/>
    <mergeCell ref="A177:A188"/>
    <mergeCell ref="B177:B178"/>
    <mergeCell ref="B180:B181"/>
    <mergeCell ref="B183:B184"/>
    <mergeCell ref="B186:B187"/>
    <mergeCell ref="A228:A239"/>
    <mergeCell ref="B228:B229"/>
    <mergeCell ref="B231:B232"/>
    <mergeCell ref="B234:B235"/>
    <mergeCell ref="B237:B238"/>
    <mergeCell ref="A211:A222"/>
    <mergeCell ref="B211:B212"/>
    <mergeCell ref="B214:B215"/>
    <mergeCell ref="B217:B218"/>
    <mergeCell ref="B220:B221"/>
    <mergeCell ref="A262:A273"/>
    <mergeCell ref="B262:B263"/>
    <mergeCell ref="B265:B266"/>
    <mergeCell ref="B268:B269"/>
    <mergeCell ref="B271:B272"/>
    <mergeCell ref="A245:A256"/>
    <mergeCell ref="B245:B246"/>
    <mergeCell ref="B248:B249"/>
    <mergeCell ref="B251:B252"/>
    <mergeCell ref="B254:B255"/>
    <mergeCell ref="A296:A307"/>
    <mergeCell ref="B296:B297"/>
    <mergeCell ref="B299:B300"/>
    <mergeCell ref="B302:B303"/>
    <mergeCell ref="B305:B306"/>
    <mergeCell ref="A279:A290"/>
    <mergeCell ref="B279:B280"/>
    <mergeCell ref="B282:B283"/>
    <mergeCell ref="B285:B286"/>
    <mergeCell ref="B288:B289"/>
    <mergeCell ref="A330:A341"/>
    <mergeCell ref="B330:B331"/>
    <mergeCell ref="B333:B334"/>
    <mergeCell ref="B336:B337"/>
    <mergeCell ref="B339:B340"/>
    <mergeCell ref="A313:A324"/>
    <mergeCell ref="B313:B314"/>
    <mergeCell ref="B316:B317"/>
    <mergeCell ref="B319:B320"/>
    <mergeCell ref="B322:B323"/>
    <mergeCell ref="B364:B365"/>
    <mergeCell ref="B367:B368"/>
    <mergeCell ref="B370:B371"/>
    <mergeCell ref="B373:B374"/>
    <mergeCell ref="A347:A358"/>
    <mergeCell ref="B347:B348"/>
    <mergeCell ref="B350:B351"/>
    <mergeCell ref="B353:B354"/>
    <mergeCell ref="B356:B357"/>
    <mergeCell ref="A364:A375"/>
    <mergeCell ref="A398:A409"/>
    <mergeCell ref="B398:B399"/>
    <mergeCell ref="B401:B402"/>
    <mergeCell ref="B404:B405"/>
    <mergeCell ref="B407:B408"/>
    <mergeCell ref="A381:A392"/>
    <mergeCell ref="B381:B382"/>
    <mergeCell ref="B384:B385"/>
    <mergeCell ref="B387:B388"/>
    <mergeCell ref="B390:B391"/>
    <mergeCell ref="A415:A426"/>
    <mergeCell ref="B415:B416"/>
    <mergeCell ref="B418:B419"/>
    <mergeCell ref="B421:B422"/>
    <mergeCell ref="B424:B425"/>
    <mergeCell ref="A432:A443"/>
    <mergeCell ref="B432:B433"/>
    <mergeCell ref="B435:B436"/>
    <mergeCell ref="B438:B439"/>
    <mergeCell ref="B441:B442"/>
    <mergeCell ref="A449:A460"/>
    <mergeCell ref="B449:B450"/>
    <mergeCell ref="B452:B453"/>
    <mergeCell ref="B455:B456"/>
    <mergeCell ref="B458:B459"/>
    <mergeCell ref="A466:A477"/>
    <mergeCell ref="B466:B467"/>
    <mergeCell ref="B469:B470"/>
    <mergeCell ref="B472:B473"/>
    <mergeCell ref="B475:B476"/>
  </mergeCells>
  <conditionalFormatting sqref="M17">
    <cfRule type="cellIs" dxfId="2679" priority="3002" operator="lessThan">
      <formula>5</formula>
    </cfRule>
  </conditionalFormatting>
  <conditionalFormatting sqref="B5:M5">
    <cfRule type="cellIs" dxfId="2678" priority="2686" operator="equal">
      <formula>""</formula>
    </cfRule>
  </conditionalFormatting>
  <conditionalFormatting sqref="L5 B5 D5 F5 H5 J5">
    <cfRule type="cellIs" dxfId="2677" priority="2687" operator="notEqual">
      <formula>""</formula>
    </cfRule>
  </conditionalFormatting>
  <conditionalFormatting sqref="M8">
    <cfRule type="cellIs" dxfId="2676" priority="2683" operator="equal">
      <formula>""</formula>
    </cfRule>
  </conditionalFormatting>
  <conditionalFormatting sqref="M11">
    <cfRule type="cellIs" dxfId="2675" priority="2680" operator="equal">
      <formula>""</formula>
    </cfRule>
  </conditionalFormatting>
  <conditionalFormatting sqref="M14">
    <cfRule type="cellIs" dxfId="2674" priority="2677" operator="equal">
      <formula>""</formula>
    </cfRule>
  </conditionalFormatting>
  <conditionalFormatting sqref="H17">
    <cfRule type="cellIs" dxfId="2673" priority="2674" operator="equal">
      <formula>""</formula>
    </cfRule>
  </conditionalFormatting>
  <conditionalFormatting sqref="M34">
    <cfRule type="cellIs" dxfId="2672" priority="2646" operator="lessThan">
      <formula>5</formula>
    </cfRule>
  </conditionalFormatting>
  <conditionalFormatting sqref="B22:M22">
    <cfRule type="cellIs" dxfId="2671" priority="2632" operator="equal">
      <formula>""</formula>
    </cfRule>
  </conditionalFormatting>
  <conditionalFormatting sqref="L22 B22 D22 F22 H22 J22">
    <cfRule type="cellIs" dxfId="2670" priority="2633" operator="notEqual">
      <formula>""</formula>
    </cfRule>
  </conditionalFormatting>
  <conditionalFormatting sqref="M25">
    <cfRule type="cellIs" dxfId="2669" priority="2629" operator="equal">
      <formula>""</formula>
    </cfRule>
  </conditionalFormatting>
  <conditionalFormatting sqref="M28">
    <cfRule type="cellIs" dxfId="2668" priority="2626" operator="equal">
      <formula>""</formula>
    </cfRule>
  </conditionalFormatting>
  <conditionalFormatting sqref="M31">
    <cfRule type="cellIs" dxfId="2667" priority="2623" operator="equal">
      <formula>""</formula>
    </cfRule>
  </conditionalFormatting>
  <conditionalFormatting sqref="H34">
    <cfRule type="cellIs" dxfId="2666" priority="2620" operator="equal">
      <formula>""</formula>
    </cfRule>
  </conditionalFormatting>
  <conditionalFormatting sqref="M51">
    <cfRule type="cellIs" dxfId="2665" priority="2619" operator="lessThan">
      <formula>5</formula>
    </cfRule>
  </conditionalFormatting>
  <conditionalFormatting sqref="B39:M39">
    <cfRule type="cellIs" dxfId="2664" priority="2605" operator="equal">
      <formula>""</formula>
    </cfRule>
  </conditionalFormatting>
  <conditionalFormatting sqref="L39 B39 D39 F39 H39 J39">
    <cfRule type="cellIs" dxfId="2663" priority="2606" operator="notEqual">
      <formula>""</formula>
    </cfRule>
  </conditionalFormatting>
  <conditionalFormatting sqref="M42">
    <cfRule type="cellIs" dxfId="2662" priority="2602" operator="equal">
      <formula>""</formula>
    </cfRule>
  </conditionalFormatting>
  <conditionalFormatting sqref="M45">
    <cfRule type="cellIs" dxfId="2661" priority="2599" operator="equal">
      <formula>""</formula>
    </cfRule>
  </conditionalFormatting>
  <conditionalFormatting sqref="M48">
    <cfRule type="cellIs" dxfId="2660" priority="2596" operator="equal">
      <formula>""</formula>
    </cfRule>
  </conditionalFormatting>
  <conditionalFormatting sqref="H51">
    <cfRule type="cellIs" dxfId="2659" priority="2593" operator="equal">
      <formula>""</formula>
    </cfRule>
  </conditionalFormatting>
  <conditionalFormatting sqref="M68">
    <cfRule type="cellIs" dxfId="2658" priority="2592" operator="lessThan">
      <formula>5</formula>
    </cfRule>
  </conditionalFormatting>
  <conditionalFormatting sqref="B56:M56">
    <cfRule type="cellIs" dxfId="2657" priority="2578" operator="equal">
      <formula>""</formula>
    </cfRule>
  </conditionalFormatting>
  <conditionalFormatting sqref="L56 B56 D56 F56 H56 J56">
    <cfRule type="cellIs" dxfId="2656" priority="2579" operator="notEqual">
      <formula>""</formula>
    </cfRule>
  </conditionalFormatting>
  <conditionalFormatting sqref="M59">
    <cfRule type="cellIs" dxfId="2655" priority="2575" operator="equal">
      <formula>""</formula>
    </cfRule>
  </conditionalFormatting>
  <conditionalFormatting sqref="M62">
    <cfRule type="cellIs" dxfId="2654" priority="2572" operator="equal">
      <formula>""</formula>
    </cfRule>
  </conditionalFormatting>
  <conditionalFormatting sqref="M65">
    <cfRule type="cellIs" dxfId="2653" priority="2569" operator="equal">
      <formula>""</formula>
    </cfRule>
  </conditionalFormatting>
  <conditionalFormatting sqref="H68">
    <cfRule type="cellIs" dxfId="2652" priority="2566" operator="equal">
      <formula>""</formula>
    </cfRule>
  </conditionalFormatting>
  <conditionalFormatting sqref="M85">
    <cfRule type="cellIs" dxfId="2651" priority="2565" operator="lessThan">
      <formula>5</formula>
    </cfRule>
  </conditionalFormatting>
  <conditionalFormatting sqref="B73:M73">
    <cfRule type="cellIs" dxfId="2650" priority="2551" operator="equal">
      <formula>""</formula>
    </cfRule>
  </conditionalFormatting>
  <conditionalFormatting sqref="L73 B73 D73 F73 H73 J73">
    <cfRule type="cellIs" dxfId="2649" priority="2552" operator="notEqual">
      <formula>""</formula>
    </cfRule>
  </conditionalFormatting>
  <conditionalFormatting sqref="M76">
    <cfRule type="cellIs" dxfId="2648" priority="2548" operator="equal">
      <formula>""</formula>
    </cfRule>
  </conditionalFormatting>
  <conditionalFormatting sqref="M79">
    <cfRule type="cellIs" dxfId="2647" priority="2545" operator="equal">
      <formula>""</formula>
    </cfRule>
  </conditionalFormatting>
  <conditionalFormatting sqref="M82">
    <cfRule type="cellIs" dxfId="2646" priority="2542" operator="equal">
      <formula>""</formula>
    </cfRule>
  </conditionalFormatting>
  <conditionalFormatting sqref="H85">
    <cfRule type="cellIs" dxfId="2645" priority="2539" operator="equal">
      <formula>""</formula>
    </cfRule>
  </conditionalFormatting>
  <conditionalFormatting sqref="M102">
    <cfRule type="cellIs" dxfId="2644" priority="2538" operator="lessThan">
      <formula>5</formula>
    </cfRule>
  </conditionalFormatting>
  <conditionalFormatting sqref="B90:M90">
    <cfRule type="cellIs" dxfId="2643" priority="2524" operator="equal">
      <formula>""</formula>
    </cfRule>
  </conditionalFormatting>
  <conditionalFormatting sqref="L90 B90 D90 F90 H90 J90">
    <cfRule type="cellIs" dxfId="2642" priority="2525" operator="notEqual">
      <formula>""</formula>
    </cfRule>
  </conditionalFormatting>
  <conditionalFormatting sqref="M93">
    <cfRule type="cellIs" dxfId="2641" priority="2521" operator="equal">
      <formula>""</formula>
    </cfRule>
  </conditionalFormatting>
  <conditionalFormatting sqref="M96">
    <cfRule type="cellIs" dxfId="2640" priority="2518" operator="equal">
      <formula>""</formula>
    </cfRule>
  </conditionalFormatting>
  <conditionalFormatting sqref="M99">
    <cfRule type="cellIs" dxfId="2639" priority="2515" operator="equal">
      <formula>""</formula>
    </cfRule>
  </conditionalFormatting>
  <conditionalFormatting sqref="H102">
    <cfRule type="cellIs" dxfId="2638" priority="2512" operator="equal">
      <formula>""</formula>
    </cfRule>
  </conditionalFormatting>
  <conditionalFormatting sqref="M119">
    <cfRule type="cellIs" dxfId="2637" priority="2511" operator="lessThan">
      <formula>5</formula>
    </cfRule>
  </conditionalFormatting>
  <conditionalFormatting sqref="B107:M107">
    <cfRule type="cellIs" dxfId="2636" priority="2497" operator="equal">
      <formula>""</formula>
    </cfRule>
  </conditionalFormatting>
  <conditionalFormatting sqref="L107 B107 D107 F107 H107 J107">
    <cfRule type="cellIs" dxfId="2635" priority="2498" operator="notEqual">
      <formula>""</formula>
    </cfRule>
  </conditionalFormatting>
  <conditionalFormatting sqref="M110">
    <cfRule type="cellIs" dxfId="2634" priority="2494" operator="equal">
      <formula>""</formula>
    </cfRule>
  </conditionalFormatting>
  <conditionalFormatting sqref="M113">
    <cfRule type="cellIs" dxfId="2633" priority="2491" operator="equal">
      <formula>""</formula>
    </cfRule>
  </conditionalFormatting>
  <conditionalFormatting sqref="M116">
    <cfRule type="cellIs" dxfId="2632" priority="2488" operator="equal">
      <formula>""</formula>
    </cfRule>
  </conditionalFormatting>
  <conditionalFormatting sqref="H119">
    <cfRule type="cellIs" dxfId="2631" priority="2485" operator="equal">
      <formula>""</formula>
    </cfRule>
  </conditionalFormatting>
  <conditionalFormatting sqref="M136">
    <cfRule type="cellIs" dxfId="2630" priority="2484" operator="lessThan">
      <formula>5</formula>
    </cfRule>
  </conditionalFormatting>
  <conditionalFormatting sqref="B124:M124">
    <cfRule type="cellIs" dxfId="2629" priority="2470" operator="equal">
      <formula>""</formula>
    </cfRule>
  </conditionalFormatting>
  <conditionalFormatting sqref="L124 B124 D124 F124 H124 J124">
    <cfRule type="cellIs" dxfId="2628" priority="2471" operator="notEqual">
      <formula>""</formula>
    </cfRule>
  </conditionalFormatting>
  <conditionalFormatting sqref="M127">
    <cfRule type="cellIs" dxfId="2627" priority="2467" operator="equal">
      <formula>""</formula>
    </cfRule>
  </conditionalFormatting>
  <conditionalFormatting sqref="M130">
    <cfRule type="cellIs" dxfId="2626" priority="2464" operator="equal">
      <formula>""</formula>
    </cfRule>
  </conditionalFormatting>
  <conditionalFormatting sqref="M133">
    <cfRule type="cellIs" dxfId="2625" priority="2461" operator="equal">
      <formula>""</formula>
    </cfRule>
  </conditionalFormatting>
  <conditionalFormatting sqref="H136">
    <cfRule type="cellIs" dxfId="2624" priority="2458" operator="equal">
      <formula>""</formula>
    </cfRule>
  </conditionalFormatting>
  <conditionalFormatting sqref="M153">
    <cfRule type="cellIs" dxfId="2623" priority="2457" operator="lessThan">
      <formula>5</formula>
    </cfRule>
  </conditionalFormatting>
  <conditionalFormatting sqref="B141:M141">
    <cfRule type="cellIs" dxfId="2622" priority="2443" operator="equal">
      <formula>""</formula>
    </cfRule>
  </conditionalFormatting>
  <conditionalFormatting sqref="L141 B141 D141 F141 H141 J141">
    <cfRule type="cellIs" dxfId="2621" priority="2444" operator="notEqual">
      <formula>""</formula>
    </cfRule>
  </conditionalFormatting>
  <conditionalFormatting sqref="M144">
    <cfRule type="cellIs" dxfId="2620" priority="2440" operator="equal">
      <formula>""</formula>
    </cfRule>
  </conditionalFormatting>
  <conditionalFormatting sqref="M147">
    <cfRule type="cellIs" dxfId="2619" priority="2437" operator="equal">
      <formula>""</formula>
    </cfRule>
  </conditionalFormatting>
  <conditionalFormatting sqref="M150">
    <cfRule type="cellIs" dxfId="2618" priority="2434" operator="equal">
      <formula>""</formula>
    </cfRule>
  </conditionalFormatting>
  <conditionalFormatting sqref="H153">
    <cfRule type="cellIs" dxfId="2617" priority="2431" operator="equal">
      <formula>""</formula>
    </cfRule>
  </conditionalFormatting>
  <conditionalFormatting sqref="M170">
    <cfRule type="cellIs" dxfId="2616" priority="2430" operator="lessThan">
      <formula>5</formula>
    </cfRule>
  </conditionalFormatting>
  <conditionalFormatting sqref="B158:M158">
    <cfRule type="cellIs" dxfId="2615" priority="2416" operator="equal">
      <formula>""</formula>
    </cfRule>
  </conditionalFormatting>
  <conditionalFormatting sqref="L158 B158 D158 F158 H158 J158">
    <cfRule type="cellIs" dxfId="2614" priority="2417" operator="notEqual">
      <formula>""</formula>
    </cfRule>
  </conditionalFormatting>
  <conditionalFormatting sqref="M161">
    <cfRule type="cellIs" dxfId="2613" priority="2413" operator="equal">
      <formula>""</formula>
    </cfRule>
  </conditionalFormatting>
  <conditionalFormatting sqref="M164">
    <cfRule type="cellIs" dxfId="2612" priority="2410" operator="equal">
      <formula>""</formula>
    </cfRule>
  </conditionalFormatting>
  <conditionalFormatting sqref="M167">
    <cfRule type="cellIs" dxfId="2611" priority="2407" operator="equal">
      <formula>""</formula>
    </cfRule>
  </conditionalFormatting>
  <conditionalFormatting sqref="H170">
    <cfRule type="cellIs" dxfId="2610" priority="2404" operator="equal">
      <formula>""</formula>
    </cfRule>
  </conditionalFormatting>
  <conditionalFormatting sqref="M187">
    <cfRule type="cellIs" dxfId="2609" priority="2403" operator="lessThan">
      <formula>5</formula>
    </cfRule>
  </conditionalFormatting>
  <conditionalFormatting sqref="B175:M175">
    <cfRule type="cellIs" dxfId="2608" priority="2389" operator="equal">
      <formula>""</formula>
    </cfRule>
  </conditionalFormatting>
  <conditionalFormatting sqref="L175 B175 D175 F175 H175 J175">
    <cfRule type="cellIs" dxfId="2607" priority="2390" operator="notEqual">
      <formula>""</formula>
    </cfRule>
  </conditionalFormatting>
  <conditionalFormatting sqref="M178">
    <cfRule type="cellIs" dxfId="2606" priority="2386" operator="equal">
      <formula>""</formula>
    </cfRule>
  </conditionalFormatting>
  <conditionalFormatting sqref="M181">
    <cfRule type="cellIs" dxfId="2605" priority="2383" operator="equal">
      <formula>""</formula>
    </cfRule>
  </conditionalFormatting>
  <conditionalFormatting sqref="M184">
    <cfRule type="cellIs" dxfId="2604" priority="2380" operator="equal">
      <formula>""</formula>
    </cfRule>
  </conditionalFormatting>
  <conditionalFormatting sqref="H187">
    <cfRule type="cellIs" dxfId="2603" priority="2377" operator="equal">
      <formula>""</formula>
    </cfRule>
  </conditionalFormatting>
  <conditionalFormatting sqref="M204">
    <cfRule type="cellIs" dxfId="2602" priority="2376" operator="lessThan">
      <formula>5</formula>
    </cfRule>
  </conditionalFormatting>
  <conditionalFormatting sqref="B192:M192">
    <cfRule type="cellIs" dxfId="2601" priority="2362" operator="equal">
      <formula>""</formula>
    </cfRule>
  </conditionalFormatting>
  <conditionalFormatting sqref="L192 B192 D192 F192 H192 J192">
    <cfRule type="cellIs" dxfId="2600" priority="2363" operator="notEqual">
      <formula>""</formula>
    </cfRule>
  </conditionalFormatting>
  <conditionalFormatting sqref="M195">
    <cfRule type="cellIs" dxfId="2599" priority="2359" operator="equal">
      <formula>""</formula>
    </cfRule>
  </conditionalFormatting>
  <conditionalFormatting sqref="M198">
    <cfRule type="cellIs" dxfId="2598" priority="2356" operator="equal">
      <formula>""</formula>
    </cfRule>
  </conditionalFormatting>
  <conditionalFormatting sqref="M201">
    <cfRule type="cellIs" dxfId="2597" priority="2353" operator="equal">
      <formula>""</formula>
    </cfRule>
  </conditionalFormatting>
  <conditionalFormatting sqref="H204">
    <cfRule type="cellIs" dxfId="2596" priority="2350" operator="equal">
      <formula>""</formula>
    </cfRule>
  </conditionalFormatting>
  <conditionalFormatting sqref="M221">
    <cfRule type="cellIs" dxfId="2595" priority="2349" operator="lessThan">
      <formula>5</formula>
    </cfRule>
  </conditionalFormatting>
  <conditionalFormatting sqref="B209:M209">
    <cfRule type="cellIs" dxfId="2594" priority="2335" operator="equal">
      <formula>""</formula>
    </cfRule>
  </conditionalFormatting>
  <conditionalFormatting sqref="L209 B209 D209 F209 H209 J209">
    <cfRule type="cellIs" dxfId="2593" priority="2336" operator="notEqual">
      <formula>""</formula>
    </cfRule>
  </conditionalFormatting>
  <conditionalFormatting sqref="M212">
    <cfRule type="cellIs" dxfId="2592" priority="2332" operator="equal">
      <formula>""</formula>
    </cfRule>
  </conditionalFormatting>
  <conditionalFormatting sqref="M215">
    <cfRule type="cellIs" dxfId="2591" priority="2329" operator="equal">
      <formula>""</formula>
    </cfRule>
  </conditionalFormatting>
  <conditionalFormatting sqref="M218">
    <cfRule type="cellIs" dxfId="2590" priority="2326" operator="equal">
      <formula>""</formula>
    </cfRule>
  </conditionalFormatting>
  <conditionalFormatting sqref="H221">
    <cfRule type="cellIs" dxfId="2589" priority="2323" operator="equal">
      <formula>""</formula>
    </cfRule>
  </conditionalFormatting>
  <conditionalFormatting sqref="M238">
    <cfRule type="cellIs" dxfId="2588" priority="2322" operator="lessThan">
      <formula>5</formula>
    </cfRule>
  </conditionalFormatting>
  <conditionalFormatting sqref="B226:M226">
    <cfRule type="cellIs" dxfId="2587" priority="2308" operator="equal">
      <formula>""</formula>
    </cfRule>
  </conditionalFormatting>
  <conditionalFormatting sqref="L226 B226 D226 F226 H226 J226">
    <cfRule type="cellIs" dxfId="2586" priority="2309" operator="notEqual">
      <formula>""</formula>
    </cfRule>
  </conditionalFormatting>
  <conditionalFormatting sqref="M229">
    <cfRule type="cellIs" dxfId="2585" priority="2305" operator="equal">
      <formula>""</formula>
    </cfRule>
  </conditionalFormatting>
  <conditionalFormatting sqref="M232">
    <cfRule type="cellIs" dxfId="2584" priority="2302" operator="equal">
      <formula>""</formula>
    </cfRule>
  </conditionalFormatting>
  <conditionalFormatting sqref="M235">
    <cfRule type="cellIs" dxfId="2583" priority="2299" operator="equal">
      <formula>""</formula>
    </cfRule>
  </conditionalFormatting>
  <conditionalFormatting sqref="H238">
    <cfRule type="cellIs" dxfId="2582" priority="2296" operator="equal">
      <formula>""</formula>
    </cfRule>
  </conditionalFormatting>
  <conditionalFormatting sqref="M255">
    <cfRule type="cellIs" dxfId="2581" priority="2295" operator="lessThan">
      <formula>5</formula>
    </cfRule>
  </conditionalFormatting>
  <conditionalFormatting sqref="B243:M243">
    <cfRule type="cellIs" dxfId="2580" priority="2281" operator="equal">
      <formula>""</formula>
    </cfRule>
  </conditionalFormatting>
  <conditionalFormatting sqref="L243 B243 D243 F243 H243 J243">
    <cfRule type="cellIs" dxfId="2579" priority="2282" operator="notEqual">
      <formula>""</formula>
    </cfRule>
  </conditionalFormatting>
  <conditionalFormatting sqref="M246">
    <cfRule type="cellIs" dxfId="2578" priority="2278" operator="equal">
      <formula>""</formula>
    </cfRule>
  </conditionalFormatting>
  <conditionalFormatting sqref="M249">
    <cfRule type="cellIs" dxfId="2577" priority="2275" operator="equal">
      <formula>""</formula>
    </cfRule>
  </conditionalFormatting>
  <conditionalFormatting sqref="M252">
    <cfRule type="cellIs" dxfId="2576" priority="2272" operator="equal">
      <formula>""</formula>
    </cfRule>
  </conditionalFormatting>
  <conditionalFormatting sqref="H255">
    <cfRule type="cellIs" dxfId="2575" priority="2269" operator="equal">
      <formula>""</formula>
    </cfRule>
  </conditionalFormatting>
  <conditionalFormatting sqref="M272">
    <cfRule type="cellIs" dxfId="2574" priority="2268" operator="lessThan">
      <formula>5</formula>
    </cfRule>
  </conditionalFormatting>
  <conditionalFormatting sqref="B260:M260">
    <cfRule type="cellIs" dxfId="2573" priority="2254" operator="equal">
      <formula>""</formula>
    </cfRule>
  </conditionalFormatting>
  <conditionalFormatting sqref="L260 B260 D260 F260 H260 J260">
    <cfRule type="cellIs" dxfId="2572" priority="2255" operator="notEqual">
      <formula>""</formula>
    </cfRule>
  </conditionalFormatting>
  <conditionalFormatting sqref="M263">
    <cfRule type="cellIs" dxfId="2571" priority="2251" operator="equal">
      <formula>""</formula>
    </cfRule>
  </conditionalFormatting>
  <conditionalFormatting sqref="M266">
    <cfRule type="cellIs" dxfId="2570" priority="2248" operator="equal">
      <formula>""</formula>
    </cfRule>
  </conditionalFormatting>
  <conditionalFormatting sqref="M269">
    <cfRule type="cellIs" dxfId="2569" priority="2245" operator="equal">
      <formula>""</formula>
    </cfRule>
  </conditionalFormatting>
  <conditionalFormatting sqref="H272">
    <cfRule type="cellIs" dxfId="2568" priority="2242" operator="equal">
      <formula>""</formula>
    </cfRule>
  </conditionalFormatting>
  <conditionalFormatting sqref="M289">
    <cfRule type="cellIs" dxfId="2567" priority="2241" operator="lessThan">
      <formula>5</formula>
    </cfRule>
  </conditionalFormatting>
  <conditionalFormatting sqref="B277:M277">
    <cfRule type="cellIs" dxfId="2566" priority="2227" operator="equal">
      <formula>""</formula>
    </cfRule>
  </conditionalFormatting>
  <conditionalFormatting sqref="L277 B277 D277 F277 H277 J277">
    <cfRule type="cellIs" dxfId="2565" priority="2228" operator="notEqual">
      <formula>""</formula>
    </cfRule>
  </conditionalFormatting>
  <conditionalFormatting sqref="M280">
    <cfRule type="cellIs" dxfId="2564" priority="2224" operator="equal">
      <formula>""</formula>
    </cfRule>
  </conditionalFormatting>
  <conditionalFormatting sqref="M283">
    <cfRule type="cellIs" dxfId="2563" priority="2221" operator="equal">
      <formula>""</formula>
    </cfRule>
  </conditionalFormatting>
  <conditionalFormatting sqref="M286">
    <cfRule type="cellIs" dxfId="2562" priority="2218" operator="equal">
      <formula>""</formula>
    </cfRule>
  </conditionalFormatting>
  <conditionalFormatting sqref="H289">
    <cfRule type="cellIs" dxfId="2561" priority="2215" operator="equal">
      <formula>""</formula>
    </cfRule>
  </conditionalFormatting>
  <conditionalFormatting sqref="M306">
    <cfRule type="cellIs" dxfId="2560" priority="2214" operator="lessThan">
      <formula>5</formula>
    </cfRule>
  </conditionalFormatting>
  <conditionalFormatting sqref="B294:M294">
    <cfRule type="cellIs" dxfId="2559" priority="2200" operator="equal">
      <formula>""</formula>
    </cfRule>
  </conditionalFormatting>
  <conditionalFormatting sqref="L294 B294 D294 F294 H294 J294">
    <cfRule type="cellIs" dxfId="2558" priority="2201" operator="notEqual">
      <formula>""</formula>
    </cfRule>
  </conditionalFormatting>
  <conditionalFormatting sqref="M297">
    <cfRule type="cellIs" dxfId="2557" priority="2197" operator="equal">
      <formula>""</formula>
    </cfRule>
  </conditionalFormatting>
  <conditionalFormatting sqref="M300">
    <cfRule type="cellIs" dxfId="2556" priority="2194" operator="equal">
      <formula>""</formula>
    </cfRule>
  </conditionalFormatting>
  <conditionalFormatting sqref="M303">
    <cfRule type="cellIs" dxfId="2555" priority="2191" operator="equal">
      <formula>""</formula>
    </cfRule>
  </conditionalFormatting>
  <conditionalFormatting sqref="H306">
    <cfRule type="cellIs" dxfId="2554" priority="2188" operator="equal">
      <formula>""</formula>
    </cfRule>
  </conditionalFormatting>
  <conditionalFormatting sqref="M323">
    <cfRule type="cellIs" dxfId="2553" priority="2187" operator="lessThan">
      <formula>5</formula>
    </cfRule>
  </conditionalFormatting>
  <conditionalFormatting sqref="B311:M311">
    <cfRule type="cellIs" dxfId="2552" priority="2173" operator="equal">
      <formula>""</formula>
    </cfRule>
  </conditionalFormatting>
  <conditionalFormatting sqref="L311 B311 D311 F311 H311 J311">
    <cfRule type="cellIs" dxfId="2551" priority="2174" operator="notEqual">
      <formula>""</formula>
    </cfRule>
  </conditionalFormatting>
  <conditionalFormatting sqref="M314">
    <cfRule type="cellIs" dxfId="2550" priority="2170" operator="equal">
      <formula>""</formula>
    </cfRule>
  </conditionalFormatting>
  <conditionalFormatting sqref="M317">
    <cfRule type="cellIs" dxfId="2549" priority="2167" operator="equal">
      <formula>""</formula>
    </cfRule>
  </conditionalFormatting>
  <conditionalFormatting sqref="M320">
    <cfRule type="cellIs" dxfId="2548" priority="2164" operator="equal">
      <formula>""</formula>
    </cfRule>
  </conditionalFormatting>
  <conditionalFormatting sqref="H323">
    <cfRule type="cellIs" dxfId="2547" priority="2161" operator="equal">
      <formula>""</formula>
    </cfRule>
  </conditionalFormatting>
  <conditionalFormatting sqref="M340">
    <cfRule type="cellIs" dxfId="2546" priority="2160" operator="lessThan">
      <formula>5</formula>
    </cfRule>
  </conditionalFormatting>
  <conditionalFormatting sqref="B328:M328">
    <cfRule type="cellIs" dxfId="2545" priority="2146" operator="equal">
      <formula>""</formula>
    </cfRule>
  </conditionalFormatting>
  <conditionalFormatting sqref="L328 B328 D328 F328 H328 J328">
    <cfRule type="cellIs" dxfId="2544" priority="2147" operator="notEqual">
      <formula>""</formula>
    </cfRule>
  </conditionalFormatting>
  <conditionalFormatting sqref="M331">
    <cfRule type="cellIs" dxfId="2543" priority="2143" operator="equal">
      <formula>""</formula>
    </cfRule>
  </conditionalFormatting>
  <conditionalFormatting sqref="M334">
    <cfRule type="cellIs" dxfId="2542" priority="2140" operator="equal">
      <formula>""</formula>
    </cfRule>
  </conditionalFormatting>
  <conditionalFormatting sqref="M337">
    <cfRule type="cellIs" dxfId="2541" priority="2137" operator="equal">
      <formula>""</formula>
    </cfRule>
  </conditionalFormatting>
  <conditionalFormatting sqref="H340">
    <cfRule type="cellIs" dxfId="2540" priority="2134" operator="equal">
      <formula>""</formula>
    </cfRule>
  </conditionalFormatting>
  <conditionalFormatting sqref="M357">
    <cfRule type="cellIs" dxfId="2539" priority="2133" operator="lessThan">
      <formula>5</formula>
    </cfRule>
  </conditionalFormatting>
  <conditionalFormatting sqref="B345:M345">
    <cfRule type="cellIs" dxfId="2538" priority="2119" operator="equal">
      <formula>""</formula>
    </cfRule>
  </conditionalFormatting>
  <conditionalFormatting sqref="L345 B345 D345 F345 H345 J345">
    <cfRule type="cellIs" dxfId="2537" priority="2120" operator="notEqual">
      <formula>""</formula>
    </cfRule>
  </conditionalFormatting>
  <conditionalFormatting sqref="M348">
    <cfRule type="cellIs" dxfId="2536" priority="2116" operator="equal">
      <formula>""</formula>
    </cfRule>
  </conditionalFormatting>
  <conditionalFormatting sqref="M351">
    <cfRule type="cellIs" dxfId="2535" priority="2113" operator="equal">
      <formula>""</formula>
    </cfRule>
  </conditionalFormatting>
  <conditionalFormatting sqref="M354">
    <cfRule type="cellIs" dxfId="2534" priority="2110" operator="equal">
      <formula>""</formula>
    </cfRule>
  </conditionalFormatting>
  <conditionalFormatting sqref="H357">
    <cfRule type="cellIs" dxfId="2533" priority="2107" operator="equal">
      <formula>""</formula>
    </cfRule>
  </conditionalFormatting>
  <conditionalFormatting sqref="M374">
    <cfRule type="cellIs" dxfId="2532" priority="2106" operator="lessThan">
      <formula>5</formula>
    </cfRule>
  </conditionalFormatting>
  <conditionalFormatting sqref="B362:M362">
    <cfRule type="cellIs" dxfId="2531" priority="2092" operator="equal">
      <formula>""</formula>
    </cfRule>
  </conditionalFormatting>
  <conditionalFormatting sqref="L362 B362 D362 F362 H362 J362">
    <cfRule type="cellIs" dxfId="2530" priority="2093" operator="notEqual">
      <formula>""</formula>
    </cfRule>
  </conditionalFormatting>
  <conditionalFormatting sqref="M365">
    <cfRule type="cellIs" dxfId="2529" priority="2089" operator="equal">
      <formula>""</formula>
    </cfRule>
  </conditionalFormatting>
  <conditionalFormatting sqref="M368">
    <cfRule type="cellIs" dxfId="2528" priority="2086" operator="equal">
      <formula>""</formula>
    </cfRule>
  </conditionalFormatting>
  <conditionalFormatting sqref="M371">
    <cfRule type="cellIs" dxfId="2527" priority="2083" operator="equal">
      <formula>""</formula>
    </cfRule>
  </conditionalFormatting>
  <conditionalFormatting sqref="H374">
    <cfRule type="cellIs" dxfId="2526" priority="2080" operator="equal">
      <formula>""</formula>
    </cfRule>
  </conditionalFormatting>
  <conditionalFormatting sqref="M391">
    <cfRule type="cellIs" dxfId="2525" priority="2079" operator="lessThan">
      <formula>5</formula>
    </cfRule>
  </conditionalFormatting>
  <conditionalFormatting sqref="B379:M379">
    <cfRule type="cellIs" dxfId="2524" priority="2065" operator="equal">
      <formula>""</formula>
    </cfRule>
  </conditionalFormatting>
  <conditionalFormatting sqref="L379 B379 D379 F379 H379 J379">
    <cfRule type="cellIs" dxfId="2523" priority="2066" operator="notEqual">
      <formula>""</formula>
    </cfRule>
  </conditionalFormatting>
  <conditionalFormatting sqref="M382">
    <cfRule type="cellIs" dxfId="2522" priority="2062" operator="equal">
      <formula>""</formula>
    </cfRule>
  </conditionalFormatting>
  <conditionalFormatting sqref="M385">
    <cfRule type="cellIs" dxfId="2521" priority="2059" operator="equal">
      <formula>""</formula>
    </cfRule>
  </conditionalFormatting>
  <conditionalFormatting sqref="M388">
    <cfRule type="cellIs" dxfId="2520" priority="2056" operator="equal">
      <formula>""</formula>
    </cfRule>
  </conditionalFormatting>
  <conditionalFormatting sqref="H391">
    <cfRule type="cellIs" dxfId="2519" priority="2053" operator="equal">
      <formula>""</formula>
    </cfRule>
  </conditionalFormatting>
  <conditionalFormatting sqref="M408">
    <cfRule type="cellIs" dxfId="2518" priority="2052" operator="lessThan">
      <formula>5</formula>
    </cfRule>
  </conditionalFormatting>
  <conditionalFormatting sqref="B396:M396">
    <cfRule type="cellIs" dxfId="2517" priority="2038" operator="equal">
      <formula>""</formula>
    </cfRule>
  </conditionalFormatting>
  <conditionalFormatting sqref="L396 B396 D396 F396 H396 J396">
    <cfRule type="cellIs" dxfId="2516" priority="2039" operator="notEqual">
      <formula>""</formula>
    </cfRule>
  </conditionalFormatting>
  <conditionalFormatting sqref="M399">
    <cfRule type="cellIs" dxfId="2515" priority="2035" operator="equal">
      <formula>""</formula>
    </cfRule>
  </conditionalFormatting>
  <conditionalFormatting sqref="M402">
    <cfRule type="cellIs" dxfId="2514" priority="2032" operator="equal">
      <formula>""</formula>
    </cfRule>
  </conditionalFormatting>
  <conditionalFormatting sqref="M405">
    <cfRule type="cellIs" dxfId="2513" priority="2029" operator="equal">
      <formula>""</formula>
    </cfRule>
  </conditionalFormatting>
  <conditionalFormatting sqref="H408">
    <cfRule type="cellIs" dxfId="2512" priority="2026" operator="equal">
      <formula>""</formula>
    </cfRule>
  </conditionalFormatting>
  <conditionalFormatting sqref="M425">
    <cfRule type="cellIs" dxfId="2511" priority="2025" operator="lessThan">
      <formula>5</formula>
    </cfRule>
  </conditionalFormatting>
  <conditionalFormatting sqref="B413:M413">
    <cfRule type="cellIs" dxfId="2510" priority="2011" operator="equal">
      <formula>""</formula>
    </cfRule>
  </conditionalFormatting>
  <conditionalFormatting sqref="L413 B413 D413 F413 H413 J413">
    <cfRule type="cellIs" dxfId="2509" priority="2012" operator="notEqual">
      <formula>""</formula>
    </cfRule>
  </conditionalFormatting>
  <conditionalFormatting sqref="M416">
    <cfRule type="cellIs" dxfId="2508" priority="2008" operator="equal">
      <formula>""</formula>
    </cfRule>
  </conditionalFormatting>
  <conditionalFormatting sqref="M419">
    <cfRule type="cellIs" dxfId="2507" priority="2005" operator="equal">
      <formula>""</formula>
    </cfRule>
  </conditionalFormatting>
  <conditionalFormatting sqref="M422">
    <cfRule type="cellIs" dxfId="2506" priority="2002" operator="equal">
      <formula>""</formula>
    </cfRule>
  </conditionalFormatting>
  <conditionalFormatting sqref="H425">
    <cfRule type="cellIs" dxfId="2505" priority="1999" operator="equal">
      <formula>""</formula>
    </cfRule>
  </conditionalFormatting>
  <conditionalFormatting sqref="M442">
    <cfRule type="cellIs" dxfId="2504" priority="1998" operator="lessThan">
      <formula>5</formula>
    </cfRule>
  </conditionalFormatting>
  <conditionalFormatting sqref="B430:M430">
    <cfRule type="cellIs" dxfId="2503" priority="1984" operator="equal">
      <formula>""</formula>
    </cfRule>
  </conditionalFormatting>
  <conditionalFormatting sqref="L430 B430 D430 F430 H430 J430">
    <cfRule type="cellIs" dxfId="2502" priority="1985" operator="notEqual">
      <formula>""</formula>
    </cfRule>
  </conditionalFormatting>
  <conditionalFormatting sqref="M433">
    <cfRule type="cellIs" dxfId="2501" priority="1981" operator="equal">
      <formula>""</formula>
    </cfRule>
  </conditionalFormatting>
  <conditionalFormatting sqref="M436">
    <cfRule type="cellIs" dxfId="2500" priority="1978" operator="equal">
      <formula>""</formula>
    </cfRule>
  </conditionalFormatting>
  <conditionalFormatting sqref="M439">
    <cfRule type="cellIs" dxfId="2499" priority="1975" operator="equal">
      <formula>""</formula>
    </cfRule>
  </conditionalFormatting>
  <conditionalFormatting sqref="H442">
    <cfRule type="cellIs" dxfId="2498" priority="1972" operator="equal">
      <formula>""</formula>
    </cfRule>
  </conditionalFormatting>
  <conditionalFormatting sqref="M459">
    <cfRule type="cellIs" dxfId="2497" priority="1971" operator="lessThan">
      <formula>5</formula>
    </cfRule>
  </conditionalFormatting>
  <conditionalFormatting sqref="B447:M447">
    <cfRule type="cellIs" dxfId="2496" priority="1957" operator="equal">
      <formula>""</formula>
    </cfRule>
  </conditionalFormatting>
  <conditionalFormatting sqref="L447 B447 D447 F447 H447 J447">
    <cfRule type="cellIs" dxfId="2495" priority="1958" operator="notEqual">
      <formula>""</formula>
    </cfRule>
  </conditionalFormatting>
  <conditionalFormatting sqref="M450">
    <cfRule type="cellIs" dxfId="2494" priority="1954" operator="equal">
      <formula>""</formula>
    </cfRule>
  </conditionalFormatting>
  <conditionalFormatting sqref="M453">
    <cfRule type="cellIs" dxfId="2493" priority="1951" operator="equal">
      <formula>""</formula>
    </cfRule>
  </conditionalFormatting>
  <conditionalFormatting sqref="M456">
    <cfRule type="cellIs" dxfId="2492" priority="1948" operator="equal">
      <formula>""</formula>
    </cfRule>
  </conditionalFormatting>
  <conditionalFormatting sqref="H459">
    <cfRule type="cellIs" dxfId="2491" priority="1945" operator="equal">
      <formula>""</formula>
    </cfRule>
  </conditionalFormatting>
  <conditionalFormatting sqref="M476">
    <cfRule type="cellIs" dxfId="2490" priority="1944" operator="lessThan">
      <formula>5</formula>
    </cfRule>
  </conditionalFormatting>
  <conditionalFormatting sqref="B464:M464">
    <cfRule type="cellIs" dxfId="2489" priority="1930" operator="equal">
      <formula>""</formula>
    </cfRule>
  </conditionalFormatting>
  <conditionalFormatting sqref="L464 B464 D464 F464 H464 J464">
    <cfRule type="cellIs" dxfId="2488" priority="1931" operator="notEqual">
      <formula>""</formula>
    </cfRule>
  </conditionalFormatting>
  <conditionalFormatting sqref="M467">
    <cfRule type="cellIs" dxfId="2487" priority="1927" operator="equal">
      <formula>""</formula>
    </cfRule>
  </conditionalFormatting>
  <conditionalFormatting sqref="M470">
    <cfRule type="cellIs" dxfId="2486" priority="1924" operator="equal">
      <formula>""</formula>
    </cfRule>
  </conditionalFormatting>
  <conditionalFormatting sqref="M473">
    <cfRule type="cellIs" dxfId="2485" priority="1921" operator="equal">
      <formula>""</formula>
    </cfRule>
  </conditionalFormatting>
  <conditionalFormatting sqref="H476">
    <cfRule type="cellIs" dxfId="2484" priority="1918" operator="equal">
      <formula>""</formula>
    </cfRule>
  </conditionalFormatting>
  <conditionalFormatting sqref="M493">
    <cfRule type="cellIs" dxfId="2483" priority="1917" operator="lessThan">
      <formula>5</formula>
    </cfRule>
  </conditionalFormatting>
  <conditionalFormatting sqref="B481:M481">
    <cfRule type="cellIs" dxfId="2482" priority="1903" operator="equal">
      <formula>""</formula>
    </cfRule>
  </conditionalFormatting>
  <conditionalFormatting sqref="L481 B481 D481 F481 H481 J481">
    <cfRule type="cellIs" dxfId="2481" priority="1904" operator="notEqual">
      <formula>""</formula>
    </cfRule>
  </conditionalFormatting>
  <conditionalFormatting sqref="M484">
    <cfRule type="cellIs" dxfId="2480" priority="1900" operator="equal">
      <formula>""</formula>
    </cfRule>
  </conditionalFormatting>
  <conditionalFormatting sqref="M487">
    <cfRule type="cellIs" dxfId="2479" priority="1897" operator="equal">
      <formula>""</formula>
    </cfRule>
  </conditionalFormatting>
  <conditionalFormatting sqref="M490">
    <cfRule type="cellIs" dxfId="2478" priority="1894" operator="equal">
      <formula>""</formula>
    </cfRule>
  </conditionalFormatting>
  <conditionalFormatting sqref="H493">
    <cfRule type="cellIs" dxfId="2477" priority="1891" operator="equal">
      <formula>""</formula>
    </cfRule>
  </conditionalFormatting>
  <conditionalFormatting sqref="M510">
    <cfRule type="cellIs" dxfId="2476" priority="1890" operator="lessThan">
      <formula>5</formula>
    </cfRule>
  </conditionalFormatting>
  <conditionalFormatting sqref="B498:M498">
    <cfRule type="cellIs" dxfId="2475" priority="1876" operator="equal">
      <formula>""</formula>
    </cfRule>
  </conditionalFormatting>
  <conditionalFormatting sqref="L498 B498 D498 F498 H498 J498">
    <cfRule type="cellIs" dxfId="2474" priority="1877" operator="notEqual">
      <formula>""</formula>
    </cfRule>
  </conditionalFormatting>
  <conditionalFormatting sqref="M501">
    <cfRule type="cellIs" dxfId="2473" priority="1873" operator="equal">
      <formula>""</formula>
    </cfRule>
  </conditionalFormatting>
  <conditionalFormatting sqref="M504">
    <cfRule type="cellIs" dxfId="2472" priority="1870" operator="equal">
      <formula>""</formula>
    </cfRule>
  </conditionalFormatting>
  <conditionalFormatting sqref="M507">
    <cfRule type="cellIs" dxfId="2471" priority="1867" operator="equal">
      <formula>""</formula>
    </cfRule>
  </conditionalFormatting>
  <conditionalFormatting sqref="H510">
    <cfRule type="cellIs" dxfId="2470" priority="1864" operator="equal">
      <formula>""</formula>
    </cfRule>
  </conditionalFormatting>
  <conditionalFormatting sqref="M527">
    <cfRule type="cellIs" dxfId="2469" priority="1863" operator="lessThan">
      <formula>5</formula>
    </cfRule>
  </conditionalFormatting>
  <conditionalFormatting sqref="B515:M515">
    <cfRule type="cellIs" dxfId="2468" priority="1849" operator="equal">
      <formula>""</formula>
    </cfRule>
  </conditionalFormatting>
  <conditionalFormatting sqref="L515 B515 D515 F515 H515 J515">
    <cfRule type="cellIs" dxfId="2467" priority="1850" operator="notEqual">
      <formula>""</formula>
    </cfRule>
  </conditionalFormatting>
  <conditionalFormatting sqref="M518">
    <cfRule type="cellIs" dxfId="2466" priority="1846" operator="equal">
      <formula>""</formula>
    </cfRule>
  </conditionalFormatting>
  <conditionalFormatting sqref="M521">
    <cfRule type="cellIs" dxfId="2465" priority="1843" operator="equal">
      <formula>""</formula>
    </cfRule>
  </conditionalFormatting>
  <conditionalFormatting sqref="M524">
    <cfRule type="cellIs" dxfId="2464" priority="1840" operator="equal">
      <formula>""</formula>
    </cfRule>
  </conditionalFormatting>
  <conditionalFormatting sqref="H527">
    <cfRule type="cellIs" dxfId="2463" priority="1837" operator="equal">
      <formula>""</formula>
    </cfRule>
  </conditionalFormatting>
  <conditionalFormatting sqref="M544">
    <cfRule type="cellIs" dxfId="2462" priority="1836" operator="lessThan">
      <formula>5</formula>
    </cfRule>
  </conditionalFormatting>
  <conditionalFormatting sqref="B532:M532">
    <cfRule type="cellIs" dxfId="2461" priority="1822" operator="equal">
      <formula>""</formula>
    </cfRule>
  </conditionalFormatting>
  <conditionalFormatting sqref="L532 B532 D532 F532 H532 J532">
    <cfRule type="cellIs" dxfId="2460" priority="1823" operator="notEqual">
      <formula>""</formula>
    </cfRule>
  </conditionalFormatting>
  <conditionalFormatting sqref="M535">
    <cfRule type="cellIs" dxfId="2459" priority="1819" operator="equal">
      <formula>""</formula>
    </cfRule>
  </conditionalFormatting>
  <conditionalFormatting sqref="M538">
    <cfRule type="cellIs" dxfId="2458" priority="1816" operator="equal">
      <formula>""</formula>
    </cfRule>
  </conditionalFormatting>
  <conditionalFormatting sqref="M541">
    <cfRule type="cellIs" dxfId="2457" priority="1813" operator="equal">
      <formula>""</formula>
    </cfRule>
  </conditionalFormatting>
  <conditionalFormatting sqref="H544">
    <cfRule type="cellIs" dxfId="2456" priority="1810" operator="equal">
      <formula>""</formula>
    </cfRule>
  </conditionalFormatting>
  <conditionalFormatting sqref="M561">
    <cfRule type="cellIs" dxfId="2455" priority="1809" operator="lessThan">
      <formula>5</formula>
    </cfRule>
  </conditionalFormatting>
  <conditionalFormatting sqref="B549:M549">
    <cfRule type="cellIs" dxfId="2454" priority="1795" operator="equal">
      <formula>""</formula>
    </cfRule>
  </conditionalFormatting>
  <conditionalFormatting sqref="L549 B549 D549 F549 H549 J549">
    <cfRule type="cellIs" dxfId="2453" priority="1796" operator="notEqual">
      <formula>""</formula>
    </cfRule>
  </conditionalFormatting>
  <conditionalFormatting sqref="M552">
    <cfRule type="cellIs" dxfId="2452" priority="1792" operator="equal">
      <formula>""</formula>
    </cfRule>
  </conditionalFormatting>
  <conditionalFormatting sqref="M555">
    <cfRule type="cellIs" dxfId="2451" priority="1789" operator="equal">
      <formula>""</formula>
    </cfRule>
  </conditionalFormatting>
  <conditionalFormatting sqref="M558">
    <cfRule type="cellIs" dxfId="2450" priority="1786" operator="equal">
      <formula>""</formula>
    </cfRule>
  </conditionalFormatting>
  <conditionalFormatting sqref="H561">
    <cfRule type="cellIs" dxfId="2449" priority="1783" operator="equal">
      <formula>""</formula>
    </cfRule>
  </conditionalFormatting>
  <conditionalFormatting sqref="M578">
    <cfRule type="cellIs" dxfId="2448" priority="1782" operator="lessThan">
      <formula>5</formula>
    </cfRule>
  </conditionalFormatting>
  <conditionalFormatting sqref="B566:M566">
    <cfRule type="cellIs" dxfId="2447" priority="1768" operator="equal">
      <formula>""</formula>
    </cfRule>
  </conditionalFormatting>
  <conditionalFormatting sqref="L566 B566 D566 F566 H566 J566">
    <cfRule type="cellIs" dxfId="2446" priority="1769" operator="notEqual">
      <formula>""</formula>
    </cfRule>
  </conditionalFormatting>
  <conditionalFormatting sqref="M569">
    <cfRule type="cellIs" dxfId="2445" priority="1765" operator="equal">
      <formula>""</formula>
    </cfRule>
  </conditionalFormatting>
  <conditionalFormatting sqref="M572">
    <cfRule type="cellIs" dxfId="2444" priority="1762" operator="equal">
      <formula>""</formula>
    </cfRule>
  </conditionalFormatting>
  <conditionalFormatting sqref="M575">
    <cfRule type="cellIs" dxfId="2443" priority="1759" operator="equal">
      <formula>""</formula>
    </cfRule>
  </conditionalFormatting>
  <conditionalFormatting sqref="H578">
    <cfRule type="cellIs" dxfId="2442" priority="1756" operator="equal">
      <formula>""</formula>
    </cfRule>
  </conditionalFormatting>
  <conditionalFormatting sqref="M595">
    <cfRule type="cellIs" dxfId="2441" priority="1755" operator="lessThan">
      <formula>5</formula>
    </cfRule>
  </conditionalFormatting>
  <conditionalFormatting sqref="B583:M583">
    <cfRule type="cellIs" dxfId="2440" priority="1741" operator="equal">
      <formula>""</formula>
    </cfRule>
  </conditionalFormatting>
  <conditionalFormatting sqref="L583 B583 D583 F583 H583 J583">
    <cfRule type="cellIs" dxfId="2439" priority="1742" operator="notEqual">
      <formula>""</formula>
    </cfRule>
  </conditionalFormatting>
  <conditionalFormatting sqref="M586">
    <cfRule type="cellIs" dxfId="2438" priority="1738" operator="equal">
      <formula>""</formula>
    </cfRule>
  </conditionalFormatting>
  <conditionalFormatting sqref="M589">
    <cfRule type="cellIs" dxfId="2437" priority="1735" operator="equal">
      <formula>""</formula>
    </cfRule>
  </conditionalFormatting>
  <conditionalFormatting sqref="M592">
    <cfRule type="cellIs" dxfId="2436" priority="1732" operator="equal">
      <formula>""</formula>
    </cfRule>
  </conditionalFormatting>
  <conditionalFormatting sqref="H595">
    <cfRule type="cellIs" dxfId="2435" priority="1729" operator="equal">
      <formula>""</formula>
    </cfRule>
  </conditionalFormatting>
  <conditionalFormatting sqref="M612">
    <cfRule type="cellIs" dxfId="2434" priority="1728" operator="lessThan">
      <formula>5</formula>
    </cfRule>
  </conditionalFormatting>
  <conditionalFormatting sqref="B600:M600">
    <cfRule type="cellIs" dxfId="2433" priority="1714" operator="equal">
      <formula>""</formula>
    </cfRule>
  </conditionalFormatting>
  <conditionalFormatting sqref="L600 B600 D600 F600 H600 J600">
    <cfRule type="cellIs" dxfId="2432" priority="1715" operator="notEqual">
      <formula>""</formula>
    </cfRule>
  </conditionalFormatting>
  <conditionalFormatting sqref="M603">
    <cfRule type="cellIs" dxfId="2431" priority="1711" operator="equal">
      <formula>""</formula>
    </cfRule>
  </conditionalFormatting>
  <conditionalFormatting sqref="M606">
    <cfRule type="cellIs" dxfId="2430" priority="1708" operator="equal">
      <formula>""</formula>
    </cfRule>
  </conditionalFormatting>
  <conditionalFormatting sqref="M609">
    <cfRule type="cellIs" dxfId="2429" priority="1705" operator="equal">
      <formula>""</formula>
    </cfRule>
  </conditionalFormatting>
  <conditionalFormatting sqref="H612">
    <cfRule type="cellIs" dxfId="2428" priority="1702" operator="equal">
      <formula>""</formula>
    </cfRule>
  </conditionalFormatting>
  <conditionalFormatting sqref="M629">
    <cfRule type="cellIs" dxfId="2427" priority="1701" operator="lessThan">
      <formula>5</formula>
    </cfRule>
  </conditionalFormatting>
  <conditionalFormatting sqref="B617:M617">
    <cfRule type="cellIs" dxfId="2426" priority="1687" operator="equal">
      <formula>""</formula>
    </cfRule>
  </conditionalFormatting>
  <conditionalFormatting sqref="L617 B617 D617 F617 H617 J617">
    <cfRule type="cellIs" dxfId="2425" priority="1688" operator="notEqual">
      <formula>""</formula>
    </cfRule>
  </conditionalFormatting>
  <conditionalFormatting sqref="M620">
    <cfRule type="cellIs" dxfId="2424" priority="1684" operator="equal">
      <formula>""</formula>
    </cfRule>
  </conditionalFormatting>
  <conditionalFormatting sqref="M623">
    <cfRule type="cellIs" dxfId="2423" priority="1681" operator="equal">
      <formula>""</formula>
    </cfRule>
  </conditionalFormatting>
  <conditionalFormatting sqref="M626">
    <cfRule type="cellIs" dxfId="2422" priority="1678" operator="equal">
      <formula>""</formula>
    </cfRule>
  </conditionalFormatting>
  <conditionalFormatting sqref="H629">
    <cfRule type="cellIs" dxfId="2421" priority="1675" operator="equal">
      <formula>""</formula>
    </cfRule>
  </conditionalFormatting>
  <conditionalFormatting sqref="M646">
    <cfRule type="cellIs" dxfId="2420" priority="1674" operator="lessThan">
      <formula>5</formula>
    </cfRule>
  </conditionalFormatting>
  <conditionalFormatting sqref="B634:M634">
    <cfRule type="cellIs" dxfId="2419" priority="1660" operator="equal">
      <formula>""</formula>
    </cfRule>
  </conditionalFormatting>
  <conditionalFormatting sqref="L634 B634 D634 F634 H634 J634">
    <cfRule type="cellIs" dxfId="2418" priority="1661" operator="notEqual">
      <formula>""</formula>
    </cfRule>
  </conditionalFormatting>
  <conditionalFormatting sqref="M637">
    <cfRule type="cellIs" dxfId="2417" priority="1657" operator="equal">
      <formula>""</formula>
    </cfRule>
  </conditionalFormatting>
  <conditionalFormatting sqref="M640">
    <cfRule type="cellIs" dxfId="2416" priority="1654" operator="equal">
      <formula>""</formula>
    </cfRule>
  </conditionalFormatting>
  <conditionalFormatting sqref="M643">
    <cfRule type="cellIs" dxfId="2415" priority="1651" operator="equal">
      <formula>""</formula>
    </cfRule>
  </conditionalFormatting>
  <conditionalFormatting sqref="H646">
    <cfRule type="cellIs" dxfId="2414" priority="1648" operator="equal">
      <formula>""</formula>
    </cfRule>
  </conditionalFormatting>
  <conditionalFormatting sqref="M663">
    <cfRule type="cellIs" dxfId="2413" priority="1647" operator="lessThan">
      <formula>5</formula>
    </cfRule>
  </conditionalFormatting>
  <conditionalFormatting sqref="B651:M651">
    <cfRule type="cellIs" dxfId="2412" priority="1633" operator="equal">
      <formula>""</formula>
    </cfRule>
  </conditionalFormatting>
  <conditionalFormatting sqref="L651 B651 D651 F651 H651 J651">
    <cfRule type="cellIs" dxfId="2411" priority="1634" operator="notEqual">
      <formula>""</formula>
    </cfRule>
  </conditionalFormatting>
  <conditionalFormatting sqref="M654">
    <cfRule type="cellIs" dxfId="2410" priority="1630" operator="equal">
      <formula>""</formula>
    </cfRule>
  </conditionalFormatting>
  <conditionalFormatting sqref="M657">
    <cfRule type="cellIs" dxfId="2409" priority="1627" operator="equal">
      <formula>""</formula>
    </cfRule>
  </conditionalFormatting>
  <conditionalFormatting sqref="M660">
    <cfRule type="cellIs" dxfId="2408" priority="1624" operator="equal">
      <formula>""</formula>
    </cfRule>
  </conditionalFormatting>
  <conditionalFormatting sqref="H663">
    <cfRule type="cellIs" dxfId="2407" priority="1621" operator="equal">
      <formula>""</formula>
    </cfRule>
  </conditionalFormatting>
  <conditionalFormatting sqref="M680">
    <cfRule type="cellIs" dxfId="2406" priority="1620" operator="lessThan">
      <formula>5</formula>
    </cfRule>
  </conditionalFormatting>
  <conditionalFormatting sqref="B668:M668">
    <cfRule type="cellIs" dxfId="2405" priority="1606" operator="equal">
      <formula>""</formula>
    </cfRule>
  </conditionalFormatting>
  <conditionalFormatting sqref="L668 B668 D668 F668 H668 J668">
    <cfRule type="cellIs" dxfId="2404" priority="1607" operator="notEqual">
      <formula>""</formula>
    </cfRule>
  </conditionalFormatting>
  <conditionalFormatting sqref="M671">
    <cfRule type="cellIs" dxfId="2403" priority="1603" operator="equal">
      <formula>""</formula>
    </cfRule>
  </conditionalFormatting>
  <conditionalFormatting sqref="M674">
    <cfRule type="cellIs" dxfId="2402" priority="1600" operator="equal">
      <formula>""</formula>
    </cfRule>
  </conditionalFormatting>
  <conditionalFormatting sqref="M677">
    <cfRule type="cellIs" dxfId="2401" priority="1597" operator="equal">
      <formula>""</formula>
    </cfRule>
  </conditionalFormatting>
  <conditionalFormatting sqref="H680">
    <cfRule type="cellIs" dxfId="2400" priority="1594" operator="equal">
      <formula>""</formula>
    </cfRule>
  </conditionalFormatting>
  <conditionalFormatting sqref="M697">
    <cfRule type="cellIs" dxfId="2399" priority="1593" operator="lessThan">
      <formula>5</formula>
    </cfRule>
  </conditionalFormatting>
  <conditionalFormatting sqref="B685:M685">
    <cfRule type="cellIs" dxfId="2398" priority="1579" operator="equal">
      <formula>""</formula>
    </cfRule>
  </conditionalFormatting>
  <conditionalFormatting sqref="L685 B685 D685 F685 H685 J685">
    <cfRule type="cellIs" dxfId="2397" priority="1580" operator="notEqual">
      <formula>""</formula>
    </cfRule>
  </conditionalFormatting>
  <conditionalFormatting sqref="M688">
    <cfRule type="cellIs" dxfId="2396" priority="1576" operator="equal">
      <formula>""</formula>
    </cfRule>
  </conditionalFormatting>
  <conditionalFormatting sqref="M691">
    <cfRule type="cellIs" dxfId="2395" priority="1573" operator="equal">
      <formula>""</formula>
    </cfRule>
  </conditionalFormatting>
  <conditionalFormatting sqref="M694">
    <cfRule type="cellIs" dxfId="2394" priority="1570" operator="equal">
      <formula>""</formula>
    </cfRule>
  </conditionalFormatting>
  <conditionalFormatting sqref="H697">
    <cfRule type="cellIs" dxfId="2393" priority="1567" operator="equal">
      <formula>""</formula>
    </cfRule>
  </conditionalFormatting>
  <conditionalFormatting sqref="M714">
    <cfRule type="cellIs" dxfId="2392" priority="1566" operator="lessThan">
      <formula>5</formula>
    </cfRule>
  </conditionalFormatting>
  <conditionalFormatting sqref="B702:M702">
    <cfRule type="cellIs" dxfId="2391" priority="1552" operator="equal">
      <formula>""</formula>
    </cfRule>
  </conditionalFormatting>
  <conditionalFormatting sqref="L702 B702 D702 F702 H702 J702">
    <cfRule type="cellIs" dxfId="2390" priority="1553" operator="notEqual">
      <formula>""</formula>
    </cfRule>
  </conditionalFormatting>
  <conditionalFormatting sqref="M705">
    <cfRule type="cellIs" dxfId="2389" priority="1549" operator="equal">
      <formula>""</formula>
    </cfRule>
  </conditionalFormatting>
  <conditionalFormatting sqref="M708">
    <cfRule type="cellIs" dxfId="2388" priority="1546" operator="equal">
      <formula>""</formula>
    </cfRule>
  </conditionalFormatting>
  <conditionalFormatting sqref="M711">
    <cfRule type="cellIs" dxfId="2387" priority="1543" operator="equal">
      <formula>""</formula>
    </cfRule>
  </conditionalFormatting>
  <conditionalFormatting sqref="H714">
    <cfRule type="cellIs" dxfId="2386" priority="1540" operator="equal">
      <formula>""</formula>
    </cfRule>
  </conditionalFormatting>
  <conditionalFormatting sqref="M731">
    <cfRule type="cellIs" dxfId="2385" priority="1539" operator="lessThan">
      <formula>5</formula>
    </cfRule>
  </conditionalFormatting>
  <conditionalFormatting sqref="B719:M719">
    <cfRule type="cellIs" dxfId="2384" priority="1525" operator="equal">
      <formula>""</formula>
    </cfRule>
  </conditionalFormatting>
  <conditionalFormatting sqref="L719 B719 D719 F719 H719 J719">
    <cfRule type="cellIs" dxfId="2383" priority="1526" operator="notEqual">
      <formula>""</formula>
    </cfRule>
  </conditionalFormatting>
  <conditionalFormatting sqref="M722">
    <cfRule type="cellIs" dxfId="2382" priority="1522" operator="equal">
      <formula>""</formula>
    </cfRule>
  </conditionalFormatting>
  <conditionalFormatting sqref="M725">
    <cfRule type="cellIs" dxfId="2381" priority="1519" operator="equal">
      <formula>""</formula>
    </cfRule>
  </conditionalFormatting>
  <conditionalFormatting sqref="M728">
    <cfRule type="cellIs" dxfId="2380" priority="1516" operator="equal">
      <formula>""</formula>
    </cfRule>
  </conditionalFormatting>
  <conditionalFormatting sqref="H731">
    <cfRule type="cellIs" dxfId="2379" priority="1513" operator="equal">
      <formula>""</formula>
    </cfRule>
  </conditionalFormatting>
  <conditionalFormatting sqref="M748">
    <cfRule type="cellIs" dxfId="2378" priority="1512" operator="lessThan">
      <formula>5</formula>
    </cfRule>
  </conditionalFormatting>
  <conditionalFormatting sqref="B736:M736">
    <cfRule type="cellIs" dxfId="2377" priority="1498" operator="equal">
      <formula>""</formula>
    </cfRule>
  </conditionalFormatting>
  <conditionalFormatting sqref="L736 B736 D736 F736 H736 J736">
    <cfRule type="cellIs" dxfId="2376" priority="1499" operator="notEqual">
      <formula>""</formula>
    </cfRule>
  </conditionalFormatting>
  <conditionalFormatting sqref="M739">
    <cfRule type="cellIs" dxfId="2375" priority="1495" operator="equal">
      <formula>""</formula>
    </cfRule>
  </conditionalFormatting>
  <conditionalFormatting sqref="M742">
    <cfRule type="cellIs" dxfId="2374" priority="1492" operator="equal">
      <formula>""</formula>
    </cfRule>
  </conditionalFormatting>
  <conditionalFormatting sqref="M745">
    <cfRule type="cellIs" dxfId="2373" priority="1489" operator="equal">
      <formula>""</formula>
    </cfRule>
  </conditionalFormatting>
  <conditionalFormatting sqref="H748">
    <cfRule type="cellIs" dxfId="2372" priority="1486" operator="equal">
      <formula>""</formula>
    </cfRule>
  </conditionalFormatting>
  <conditionalFormatting sqref="M765">
    <cfRule type="cellIs" dxfId="2371" priority="1485" operator="lessThan">
      <formula>5</formula>
    </cfRule>
  </conditionalFormatting>
  <conditionalFormatting sqref="B753:M753">
    <cfRule type="cellIs" dxfId="2370" priority="1471" operator="equal">
      <formula>""</formula>
    </cfRule>
  </conditionalFormatting>
  <conditionalFormatting sqref="L753 B753 D753 F753 H753 J753">
    <cfRule type="cellIs" dxfId="2369" priority="1472" operator="notEqual">
      <formula>""</formula>
    </cfRule>
  </conditionalFormatting>
  <conditionalFormatting sqref="M756">
    <cfRule type="cellIs" dxfId="2368" priority="1468" operator="equal">
      <formula>""</formula>
    </cfRule>
  </conditionalFormatting>
  <conditionalFormatting sqref="M759">
    <cfRule type="cellIs" dxfId="2367" priority="1465" operator="equal">
      <formula>""</formula>
    </cfRule>
  </conditionalFormatting>
  <conditionalFormatting sqref="M762">
    <cfRule type="cellIs" dxfId="2366" priority="1462" operator="equal">
      <formula>""</formula>
    </cfRule>
  </conditionalFormatting>
  <conditionalFormatting sqref="H765">
    <cfRule type="cellIs" dxfId="2365" priority="1459" operator="equal">
      <formula>""</formula>
    </cfRule>
  </conditionalFormatting>
  <conditionalFormatting sqref="M782">
    <cfRule type="cellIs" dxfId="2364" priority="1458" operator="lessThan">
      <formula>5</formula>
    </cfRule>
  </conditionalFormatting>
  <conditionalFormatting sqref="B770:M770">
    <cfRule type="cellIs" dxfId="2363" priority="1444" operator="equal">
      <formula>""</formula>
    </cfRule>
  </conditionalFormatting>
  <conditionalFormatting sqref="L770 B770 D770 F770 H770 J770">
    <cfRule type="cellIs" dxfId="2362" priority="1445" operator="notEqual">
      <formula>""</formula>
    </cfRule>
  </conditionalFormatting>
  <conditionalFormatting sqref="M773">
    <cfRule type="cellIs" dxfId="2361" priority="1441" operator="equal">
      <formula>""</formula>
    </cfRule>
  </conditionalFormatting>
  <conditionalFormatting sqref="M776">
    <cfRule type="cellIs" dxfId="2360" priority="1438" operator="equal">
      <formula>""</formula>
    </cfRule>
  </conditionalFormatting>
  <conditionalFormatting sqref="M779">
    <cfRule type="cellIs" dxfId="2359" priority="1435" operator="equal">
      <formula>""</formula>
    </cfRule>
  </conditionalFormatting>
  <conditionalFormatting sqref="H782">
    <cfRule type="cellIs" dxfId="2358" priority="1432" operator="equal">
      <formula>""</formula>
    </cfRule>
  </conditionalFormatting>
  <conditionalFormatting sqref="M799">
    <cfRule type="cellIs" dxfId="2357" priority="1431" operator="lessThan">
      <formula>5</formula>
    </cfRule>
  </conditionalFormatting>
  <conditionalFormatting sqref="B787:M787">
    <cfRule type="cellIs" dxfId="2356" priority="1417" operator="equal">
      <formula>""</formula>
    </cfRule>
  </conditionalFormatting>
  <conditionalFormatting sqref="L787 B787 D787 F787 H787 J787">
    <cfRule type="cellIs" dxfId="2355" priority="1418" operator="notEqual">
      <formula>""</formula>
    </cfRule>
  </conditionalFormatting>
  <conditionalFormatting sqref="M790">
    <cfRule type="cellIs" dxfId="2354" priority="1414" operator="equal">
      <formula>""</formula>
    </cfRule>
  </conditionalFormatting>
  <conditionalFormatting sqref="M793">
    <cfRule type="cellIs" dxfId="2353" priority="1411" operator="equal">
      <formula>""</formula>
    </cfRule>
  </conditionalFormatting>
  <conditionalFormatting sqref="M796">
    <cfRule type="cellIs" dxfId="2352" priority="1408" operator="equal">
      <formula>""</formula>
    </cfRule>
  </conditionalFormatting>
  <conditionalFormatting sqref="H799">
    <cfRule type="cellIs" dxfId="2351" priority="1405" operator="equal">
      <formula>""</formula>
    </cfRule>
  </conditionalFormatting>
  <conditionalFormatting sqref="M816">
    <cfRule type="cellIs" dxfId="2350" priority="1404" operator="lessThan">
      <formula>5</formula>
    </cfRule>
  </conditionalFormatting>
  <conditionalFormatting sqref="B804:M804">
    <cfRule type="cellIs" dxfId="2349" priority="1390" operator="equal">
      <formula>""</formula>
    </cfRule>
  </conditionalFormatting>
  <conditionalFormatting sqref="L804 B804 D804 F804 H804 J804">
    <cfRule type="cellIs" dxfId="2348" priority="1391" operator="notEqual">
      <formula>""</formula>
    </cfRule>
  </conditionalFormatting>
  <conditionalFormatting sqref="M807">
    <cfRule type="cellIs" dxfId="2347" priority="1387" operator="equal">
      <formula>""</formula>
    </cfRule>
  </conditionalFormatting>
  <conditionalFormatting sqref="M810">
    <cfRule type="cellIs" dxfId="2346" priority="1384" operator="equal">
      <formula>""</formula>
    </cfRule>
  </conditionalFormatting>
  <conditionalFormatting sqref="M813">
    <cfRule type="cellIs" dxfId="2345" priority="1381" operator="equal">
      <formula>""</formula>
    </cfRule>
  </conditionalFormatting>
  <conditionalFormatting sqref="H816">
    <cfRule type="cellIs" dxfId="2344" priority="1378" operator="equal">
      <formula>""</formula>
    </cfRule>
  </conditionalFormatting>
  <conditionalFormatting sqref="M833">
    <cfRule type="cellIs" dxfId="2343" priority="1377" operator="lessThan">
      <formula>5</formula>
    </cfRule>
  </conditionalFormatting>
  <conditionalFormatting sqref="B821:M821">
    <cfRule type="cellIs" dxfId="2342" priority="1363" operator="equal">
      <formula>""</formula>
    </cfRule>
  </conditionalFormatting>
  <conditionalFormatting sqref="L821 B821 D821 F821 H821 J821">
    <cfRule type="cellIs" dxfId="2341" priority="1364" operator="notEqual">
      <formula>""</formula>
    </cfRule>
  </conditionalFormatting>
  <conditionalFormatting sqref="M824">
    <cfRule type="cellIs" dxfId="2340" priority="1360" operator="equal">
      <formula>""</formula>
    </cfRule>
  </conditionalFormatting>
  <conditionalFormatting sqref="M827">
    <cfRule type="cellIs" dxfId="2339" priority="1357" operator="equal">
      <formula>""</formula>
    </cfRule>
  </conditionalFormatting>
  <conditionalFormatting sqref="M830">
    <cfRule type="cellIs" dxfId="2338" priority="1354" operator="equal">
      <formula>""</formula>
    </cfRule>
  </conditionalFormatting>
  <conditionalFormatting sqref="H833">
    <cfRule type="cellIs" dxfId="2337" priority="1351" operator="equal">
      <formula>""</formula>
    </cfRule>
  </conditionalFormatting>
  <conditionalFormatting sqref="M850">
    <cfRule type="cellIs" dxfId="2336" priority="1350" operator="lessThan">
      <formula>5</formula>
    </cfRule>
  </conditionalFormatting>
  <conditionalFormatting sqref="B838:M838">
    <cfRule type="cellIs" dxfId="2335" priority="1336" operator="equal">
      <formula>""</formula>
    </cfRule>
  </conditionalFormatting>
  <conditionalFormatting sqref="L838 B838 D838 F838 H838 J838">
    <cfRule type="cellIs" dxfId="2334" priority="1337" operator="notEqual">
      <formula>""</formula>
    </cfRule>
  </conditionalFormatting>
  <conditionalFormatting sqref="M841">
    <cfRule type="cellIs" dxfId="2333" priority="1333" operator="equal">
      <formula>""</formula>
    </cfRule>
  </conditionalFormatting>
  <conditionalFormatting sqref="M844">
    <cfRule type="cellIs" dxfId="2332" priority="1330" operator="equal">
      <formula>""</formula>
    </cfRule>
  </conditionalFormatting>
  <conditionalFormatting sqref="M847">
    <cfRule type="cellIs" dxfId="2331" priority="1327" operator="equal">
      <formula>""</formula>
    </cfRule>
  </conditionalFormatting>
  <conditionalFormatting sqref="H850">
    <cfRule type="cellIs" dxfId="2330" priority="1324" operator="equal">
      <formula>""</formula>
    </cfRule>
  </conditionalFormatting>
  <conditionalFormatting sqref="M867">
    <cfRule type="cellIs" dxfId="2329" priority="1323" operator="lessThan">
      <formula>5</formula>
    </cfRule>
  </conditionalFormatting>
  <conditionalFormatting sqref="B855:M855">
    <cfRule type="cellIs" dxfId="2328" priority="1309" operator="equal">
      <formula>""</formula>
    </cfRule>
  </conditionalFormatting>
  <conditionalFormatting sqref="L855 B855 D855 F855 H855 J855">
    <cfRule type="cellIs" dxfId="2327" priority="1310" operator="notEqual">
      <formula>""</formula>
    </cfRule>
  </conditionalFormatting>
  <conditionalFormatting sqref="M858">
    <cfRule type="cellIs" dxfId="2326" priority="1306" operator="equal">
      <formula>""</formula>
    </cfRule>
  </conditionalFormatting>
  <conditionalFormatting sqref="M861">
    <cfRule type="cellIs" dxfId="2325" priority="1303" operator="equal">
      <formula>""</formula>
    </cfRule>
  </conditionalFormatting>
  <conditionalFormatting sqref="M864">
    <cfRule type="cellIs" dxfId="2324" priority="1300" operator="equal">
      <formula>""</formula>
    </cfRule>
  </conditionalFormatting>
  <conditionalFormatting sqref="H867">
    <cfRule type="cellIs" dxfId="2323" priority="1297" operator="equal">
      <formula>""</formula>
    </cfRule>
  </conditionalFormatting>
  <conditionalFormatting sqref="M884">
    <cfRule type="cellIs" dxfId="2322" priority="1296" operator="lessThan">
      <formula>5</formula>
    </cfRule>
  </conditionalFormatting>
  <conditionalFormatting sqref="B872:M872">
    <cfRule type="cellIs" dxfId="2321" priority="1282" operator="equal">
      <formula>""</formula>
    </cfRule>
  </conditionalFormatting>
  <conditionalFormatting sqref="L872 B872 D872 F872 H872 J872">
    <cfRule type="cellIs" dxfId="2320" priority="1283" operator="notEqual">
      <formula>""</formula>
    </cfRule>
  </conditionalFormatting>
  <conditionalFormatting sqref="M875">
    <cfRule type="cellIs" dxfId="2319" priority="1279" operator="equal">
      <formula>""</formula>
    </cfRule>
  </conditionalFormatting>
  <conditionalFormatting sqref="M878">
    <cfRule type="cellIs" dxfId="2318" priority="1276" operator="equal">
      <formula>""</formula>
    </cfRule>
  </conditionalFormatting>
  <conditionalFormatting sqref="M881">
    <cfRule type="cellIs" dxfId="2317" priority="1273" operator="equal">
      <formula>""</formula>
    </cfRule>
  </conditionalFormatting>
  <conditionalFormatting sqref="H884">
    <cfRule type="cellIs" dxfId="2316" priority="1270" operator="equal">
      <formula>""</formula>
    </cfRule>
  </conditionalFormatting>
  <conditionalFormatting sqref="M901">
    <cfRule type="cellIs" dxfId="2315" priority="1269" operator="lessThan">
      <formula>5</formula>
    </cfRule>
  </conditionalFormatting>
  <conditionalFormatting sqref="B889:M889">
    <cfRule type="cellIs" dxfId="2314" priority="1255" operator="equal">
      <formula>""</formula>
    </cfRule>
  </conditionalFormatting>
  <conditionalFormatting sqref="L889 B889 D889 F889 H889 J889">
    <cfRule type="cellIs" dxfId="2313" priority="1256" operator="notEqual">
      <formula>""</formula>
    </cfRule>
  </conditionalFormatting>
  <conditionalFormatting sqref="M892">
    <cfRule type="cellIs" dxfId="2312" priority="1252" operator="equal">
      <formula>""</formula>
    </cfRule>
  </conditionalFormatting>
  <conditionalFormatting sqref="M895">
    <cfRule type="cellIs" dxfId="2311" priority="1249" operator="equal">
      <formula>""</formula>
    </cfRule>
  </conditionalFormatting>
  <conditionalFormatting sqref="M898">
    <cfRule type="cellIs" dxfId="2310" priority="1246" operator="equal">
      <formula>""</formula>
    </cfRule>
  </conditionalFormatting>
  <conditionalFormatting sqref="H901">
    <cfRule type="cellIs" dxfId="2309" priority="1243" operator="equal">
      <formula>""</formula>
    </cfRule>
  </conditionalFormatting>
  <conditionalFormatting sqref="M918">
    <cfRule type="cellIs" dxfId="2308" priority="1242" operator="lessThan">
      <formula>5</formula>
    </cfRule>
  </conditionalFormatting>
  <conditionalFormatting sqref="B906:M906">
    <cfRule type="cellIs" dxfId="2307" priority="1228" operator="equal">
      <formula>""</formula>
    </cfRule>
  </conditionalFormatting>
  <conditionalFormatting sqref="L906 B906 D906 F906 H906 J906">
    <cfRule type="cellIs" dxfId="2306" priority="1229" operator="notEqual">
      <formula>""</formula>
    </cfRule>
  </conditionalFormatting>
  <conditionalFormatting sqref="M909">
    <cfRule type="cellIs" dxfId="2305" priority="1225" operator="equal">
      <formula>""</formula>
    </cfRule>
  </conditionalFormatting>
  <conditionalFormatting sqref="M912">
    <cfRule type="cellIs" dxfId="2304" priority="1222" operator="equal">
      <formula>""</formula>
    </cfRule>
  </conditionalFormatting>
  <conditionalFormatting sqref="M915">
    <cfRule type="cellIs" dxfId="2303" priority="1219" operator="equal">
      <formula>""</formula>
    </cfRule>
  </conditionalFormatting>
  <conditionalFormatting sqref="H918">
    <cfRule type="cellIs" dxfId="2302" priority="1216" operator="equal">
      <formula>""</formula>
    </cfRule>
  </conditionalFormatting>
  <conditionalFormatting sqref="M935">
    <cfRule type="cellIs" dxfId="2301" priority="1215" operator="lessThan">
      <formula>5</formula>
    </cfRule>
  </conditionalFormatting>
  <conditionalFormatting sqref="B923:M923">
    <cfRule type="cellIs" dxfId="2300" priority="1201" operator="equal">
      <formula>""</formula>
    </cfRule>
  </conditionalFormatting>
  <conditionalFormatting sqref="L923 B923 D923 F923 H923 J923">
    <cfRule type="cellIs" dxfId="2299" priority="1202" operator="notEqual">
      <formula>""</formula>
    </cfRule>
  </conditionalFormatting>
  <conditionalFormatting sqref="M926">
    <cfRule type="cellIs" dxfId="2298" priority="1198" operator="equal">
      <formula>""</formula>
    </cfRule>
  </conditionalFormatting>
  <conditionalFormatting sqref="M929">
    <cfRule type="cellIs" dxfId="2297" priority="1195" operator="equal">
      <formula>""</formula>
    </cfRule>
  </conditionalFormatting>
  <conditionalFormatting sqref="M932">
    <cfRule type="cellIs" dxfId="2296" priority="1192" operator="equal">
      <formula>""</formula>
    </cfRule>
  </conditionalFormatting>
  <conditionalFormatting sqref="H935">
    <cfRule type="cellIs" dxfId="2295" priority="1189" operator="equal">
      <formula>""</formula>
    </cfRule>
  </conditionalFormatting>
  <conditionalFormatting sqref="M952">
    <cfRule type="cellIs" dxfId="2294" priority="1188" operator="lessThan">
      <formula>5</formula>
    </cfRule>
  </conditionalFormatting>
  <conditionalFormatting sqref="B940:M940">
    <cfRule type="cellIs" dxfId="2293" priority="1174" operator="equal">
      <formula>""</formula>
    </cfRule>
  </conditionalFormatting>
  <conditionalFormatting sqref="L940 B940 D940 F940 H940 J940">
    <cfRule type="cellIs" dxfId="2292" priority="1175" operator="notEqual">
      <formula>""</formula>
    </cfRule>
  </conditionalFormatting>
  <conditionalFormatting sqref="M943">
    <cfRule type="cellIs" dxfId="2291" priority="1171" operator="equal">
      <formula>""</formula>
    </cfRule>
  </conditionalFormatting>
  <conditionalFormatting sqref="M946">
    <cfRule type="cellIs" dxfId="2290" priority="1168" operator="equal">
      <formula>""</formula>
    </cfRule>
  </conditionalFormatting>
  <conditionalFormatting sqref="M949">
    <cfRule type="cellIs" dxfId="2289" priority="1165" operator="equal">
      <formula>""</formula>
    </cfRule>
  </conditionalFormatting>
  <conditionalFormatting sqref="H952">
    <cfRule type="cellIs" dxfId="2288" priority="1162" operator="equal">
      <formula>""</formula>
    </cfRule>
  </conditionalFormatting>
  <conditionalFormatting sqref="M969">
    <cfRule type="cellIs" dxfId="2287" priority="1161" operator="lessThan">
      <formula>5</formula>
    </cfRule>
  </conditionalFormatting>
  <conditionalFormatting sqref="B957:M957">
    <cfRule type="cellIs" dxfId="2286" priority="1147" operator="equal">
      <formula>""</formula>
    </cfRule>
  </conditionalFormatting>
  <conditionalFormatting sqref="L957 B957 D957 F957 H957 J957">
    <cfRule type="cellIs" dxfId="2285" priority="1148" operator="notEqual">
      <formula>""</formula>
    </cfRule>
  </conditionalFormatting>
  <conditionalFormatting sqref="M960">
    <cfRule type="cellIs" dxfId="2284" priority="1144" operator="equal">
      <formula>""</formula>
    </cfRule>
  </conditionalFormatting>
  <conditionalFormatting sqref="M963">
    <cfRule type="cellIs" dxfId="2283" priority="1141" operator="equal">
      <formula>""</formula>
    </cfRule>
  </conditionalFormatting>
  <conditionalFormatting sqref="M966">
    <cfRule type="cellIs" dxfId="2282" priority="1138" operator="equal">
      <formula>""</formula>
    </cfRule>
  </conditionalFormatting>
  <conditionalFormatting sqref="H969">
    <cfRule type="cellIs" dxfId="2281" priority="1135" operator="equal">
      <formula>""</formula>
    </cfRule>
  </conditionalFormatting>
  <conditionalFormatting sqref="M986">
    <cfRule type="cellIs" dxfId="2280" priority="1134" operator="lessThan">
      <formula>5</formula>
    </cfRule>
  </conditionalFormatting>
  <conditionalFormatting sqref="B974:M974">
    <cfRule type="cellIs" dxfId="2279" priority="1120" operator="equal">
      <formula>""</formula>
    </cfRule>
  </conditionalFormatting>
  <conditionalFormatting sqref="L974 B974 D974 F974 H974 J974">
    <cfRule type="cellIs" dxfId="2278" priority="1121" operator="notEqual">
      <formula>""</formula>
    </cfRule>
  </conditionalFormatting>
  <conditionalFormatting sqref="M977">
    <cfRule type="cellIs" dxfId="2277" priority="1117" operator="equal">
      <formula>""</formula>
    </cfRule>
  </conditionalFormatting>
  <conditionalFormatting sqref="M980">
    <cfRule type="cellIs" dxfId="2276" priority="1114" operator="equal">
      <formula>""</formula>
    </cfRule>
  </conditionalFormatting>
  <conditionalFormatting sqref="M983">
    <cfRule type="cellIs" dxfId="2275" priority="1111" operator="equal">
      <formula>""</formula>
    </cfRule>
  </conditionalFormatting>
  <conditionalFormatting sqref="H986">
    <cfRule type="cellIs" dxfId="2274" priority="1108" operator="equal">
      <formula>""</formula>
    </cfRule>
  </conditionalFormatting>
  <conditionalFormatting sqref="M1003">
    <cfRule type="cellIs" dxfId="2273" priority="1107" operator="lessThan">
      <formula>5</formula>
    </cfRule>
  </conditionalFormatting>
  <conditionalFormatting sqref="B991:M991">
    <cfRule type="cellIs" dxfId="2272" priority="1093" operator="equal">
      <formula>""</formula>
    </cfRule>
  </conditionalFormatting>
  <conditionalFormatting sqref="L991 B991 D991 F991 H991 J991">
    <cfRule type="cellIs" dxfId="2271" priority="1094" operator="notEqual">
      <formula>""</formula>
    </cfRule>
  </conditionalFormatting>
  <conditionalFormatting sqref="M994">
    <cfRule type="cellIs" dxfId="2270" priority="1090" operator="equal">
      <formula>""</formula>
    </cfRule>
  </conditionalFormatting>
  <conditionalFormatting sqref="M997">
    <cfRule type="cellIs" dxfId="2269" priority="1087" operator="equal">
      <formula>""</formula>
    </cfRule>
  </conditionalFormatting>
  <conditionalFormatting sqref="M1000">
    <cfRule type="cellIs" dxfId="2268" priority="1084" operator="equal">
      <formula>""</formula>
    </cfRule>
  </conditionalFormatting>
  <conditionalFormatting sqref="H1003">
    <cfRule type="cellIs" dxfId="2267" priority="1081" operator="equal">
      <formula>""</formula>
    </cfRule>
  </conditionalFormatting>
  <conditionalFormatting sqref="M1020">
    <cfRule type="cellIs" dxfId="2266" priority="1080" operator="lessThan">
      <formula>5</formula>
    </cfRule>
  </conditionalFormatting>
  <conditionalFormatting sqref="B1008:M1008">
    <cfRule type="cellIs" dxfId="2265" priority="1066" operator="equal">
      <formula>""</formula>
    </cfRule>
  </conditionalFormatting>
  <conditionalFormatting sqref="L1008 B1008 D1008 F1008 H1008 J1008">
    <cfRule type="cellIs" dxfId="2264" priority="1067" operator="notEqual">
      <formula>""</formula>
    </cfRule>
  </conditionalFormatting>
  <conditionalFormatting sqref="M1011">
    <cfRule type="cellIs" dxfId="2263" priority="1063" operator="equal">
      <formula>""</formula>
    </cfRule>
  </conditionalFormatting>
  <conditionalFormatting sqref="M1014">
    <cfRule type="cellIs" dxfId="2262" priority="1060" operator="equal">
      <formula>""</formula>
    </cfRule>
  </conditionalFormatting>
  <conditionalFormatting sqref="M1017">
    <cfRule type="cellIs" dxfId="2261" priority="1057" operator="equal">
      <formula>""</formula>
    </cfRule>
  </conditionalFormatting>
  <conditionalFormatting sqref="H1020">
    <cfRule type="cellIs" dxfId="2260" priority="1054" operator="equal">
      <formula>""</formula>
    </cfRule>
  </conditionalFormatting>
  <conditionalFormatting sqref="M1037">
    <cfRule type="cellIs" dxfId="2259" priority="1053" operator="lessThan">
      <formula>5</formula>
    </cfRule>
  </conditionalFormatting>
  <conditionalFormatting sqref="B1025:M1025">
    <cfRule type="cellIs" dxfId="2258" priority="1039" operator="equal">
      <formula>""</formula>
    </cfRule>
  </conditionalFormatting>
  <conditionalFormatting sqref="L1025 B1025 D1025 F1025 H1025 J1025">
    <cfRule type="cellIs" dxfId="2257" priority="1040" operator="notEqual">
      <formula>""</formula>
    </cfRule>
  </conditionalFormatting>
  <conditionalFormatting sqref="M1028">
    <cfRule type="cellIs" dxfId="2256" priority="1036" operator="equal">
      <formula>""</formula>
    </cfRule>
  </conditionalFormatting>
  <conditionalFormatting sqref="M1031">
    <cfRule type="cellIs" dxfId="2255" priority="1033" operator="equal">
      <formula>""</formula>
    </cfRule>
  </conditionalFormatting>
  <conditionalFormatting sqref="M1034">
    <cfRule type="cellIs" dxfId="2254" priority="1030" operator="equal">
      <formula>""</formula>
    </cfRule>
  </conditionalFormatting>
  <conditionalFormatting sqref="H1037">
    <cfRule type="cellIs" dxfId="2253" priority="1027" operator="equal">
      <formula>""</formula>
    </cfRule>
  </conditionalFormatting>
  <conditionalFormatting sqref="M1054">
    <cfRule type="cellIs" dxfId="2252" priority="1026" operator="lessThan">
      <formula>5</formula>
    </cfRule>
  </conditionalFormatting>
  <conditionalFormatting sqref="B1042:M1042">
    <cfRule type="cellIs" dxfId="2251" priority="1012" operator="equal">
      <formula>""</formula>
    </cfRule>
  </conditionalFormatting>
  <conditionalFormatting sqref="L1042 B1042 D1042 F1042 H1042 J1042">
    <cfRule type="cellIs" dxfId="2250" priority="1013" operator="notEqual">
      <formula>""</formula>
    </cfRule>
  </conditionalFormatting>
  <conditionalFormatting sqref="M1045">
    <cfRule type="cellIs" dxfId="2249" priority="1009" operator="equal">
      <formula>""</formula>
    </cfRule>
  </conditionalFormatting>
  <conditionalFormatting sqref="M1048">
    <cfRule type="cellIs" dxfId="2248" priority="1006" operator="equal">
      <formula>""</formula>
    </cfRule>
  </conditionalFormatting>
  <conditionalFormatting sqref="M1051">
    <cfRule type="cellIs" dxfId="2247" priority="1003" operator="equal">
      <formula>""</formula>
    </cfRule>
  </conditionalFormatting>
  <conditionalFormatting sqref="H1054">
    <cfRule type="cellIs" dxfId="2246" priority="1000" operator="equal">
      <formula>""</formula>
    </cfRule>
  </conditionalFormatting>
  <conditionalFormatting sqref="M1071">
    <cfRule type="cellIs" dxfId="2245" priority="999" operator="lessThan">
      <formula>5</formula>
    </cfRule>
  </conditionalFormatting>
  <conditionalFormatting sqref="B1059:M1059">
    <cfRule type="cellIs" dxfId="2244" priority="985" operator="equal">
      <formula>""</formula>
    </cfRule>
  </conditionalFormatting>
  <conditionalFormatting sqref="L1059 B1059 D1059 F1059 H1059 J1059">
    <cfRule type="cellIs" dxfId="2243" priority="986" operator="notEqual">
      <formula>""</formula>
    </cfRule>
  </conditionalFormatting>
  <conditionalFormatting sqref="M1062">
    <cfRule type="cellIs" dxfId="2242" priority="982" operator="equal">
      <formula>""</formula>
    </cfRule>
  </conditionalFormatting>
  <conditionalFormatting sqref="M1065">
    <cfRule type="cellIs" dxfId="2241" priority="979" operator="equal">
      <formula>""</formula>
    </cfRule>
  </conditionalFormatting>
  <conditionalFormatting sqref="M1068">
    <cfRule type="cellIs" dxfId="2240" priority="976" operator="equal">
      <formula>""</formula>
    </cfRule>
  </conditionalFormatting>
  <conditionalFormatting sqref="H1071">
    <cfRule type="cellIs" dxfId="2239" priority="973" operator="equal">
      <formula>""</formula>
    </cfRule>
  </conditionalFormatting>
  <conditionalFormatting sqref="M1088">
    <cfRule type="cellIs" dxfId="2238" priority="972" operator="lessThan">
      <formula>5</formula>
    </cfRule>
  </conditionalFormatting>
  <conditionalFormatting sqref="B1076:M1076">
    <cfRule type="cellIs" dxfId="2237" priority="958" operator="equal">
      <formula>""</formula>
    </cfRule>
  </conditionalFormatting>
  <conditionalFormatting sqref="L1076 B1076 D1076 F1076 H1076 J1076">
    <cfRule type="cellIs" dxfId="2236" priority="959" operator="notEqual">
      <formula>""</formula>
    </cfRule>
  </conditionalFormatting>
  <conditionalFormatting sqref="M1079">
    <cfRule type="cellIs" dxfId="2235" priority="955" operator="equal">
      <formula>""</formula>
    </cfRule>
  </conditionalFormatting>
  <conditionalFormatting sqref="M1082">
    <cfRule type="cellIs" dxfId="2234" priority="952" operator="equal">
      <formula>""</formula>
    </cfRule>
  </conditionalFormatting>
  <conditionalFormatting sqref="M1085">
    <cfRule type="cellIs" dxfId="2233" priority="949" operator="equal">
      <formula>""</formula>
    </cfRule>
  </conditionalFormatting>
  <conditionalFormatting sqref="H1088">
    <cfRule type="cellIs" dxfId="2232" priority="946" operator="equal">
      <formula>""</formula>
    </cfRule>
  </conditionalFormatting>
  <conditionalFormatting sqref="M1105">
    <cfRule type="cellIs" dxfId="2231" priority="945" operator="lessThan">
      <formula>5</formula>
    </cfRule>
  </conditionalFormatting>
  <conditionalFormatting sqref="B1093:M1093">
    <cfRule type="cellIs" dxfId="2230" priority="931" operator="equal">
      <formula>""</formula>
    </cfRule>
  </conditionalFormatting>
  <conditionalFormatting sqref="L1093 B1093 D1093 F1093 H1093 J1093">
    <cfRule type="cellIs" dxfId="2229" priority="932" operator="notEqual">
      <formula>""</formula>
    </cfRule>
  </conditionalFormatting>
  <conditionalFormatting sqref="M1096">
    <cfRule type="cellIs" dxfId="2228" priority="928" operator="equal">
      <formula>""</formula>
    </cfRule>
  </conditionalFormatting>
  <conditionalFormatting sqref="M1099">
    <cfRule type="cellIs" dxfId="2227" priority="925" operator="equal">
      <formula>""</formula>
    </cfRule>
  </conditionalFormatting>
  <conditionalFormatting sqref="M1102">
    <cfRule type="cellIs" dxfId="2226" priority="922" operator="equal">
      <formula>""</formula>
    </cfRule>
  </conditionalFormatting>
  <conditionalFormatting sqref="H1105">
    <cfRule type="cellIs" dxfId="2225" priority="919" operator="equal">
      <formula>""</formula>
    </cfRule>
  </conditionalFormatting>
  <conditionalFormatting sqref="M1122">
    <cfRule type="cellIs" dxfId="2224" priority="918" operator="lessThan">
      <formula>5</formula>
    </cfRule>
  </conditionalFormatting>
  <conditionalFormatting sqref="B1110:M1110">
    <cfRule type="cellIs" dxfId="2223" priority="904" operator="equal">
      <formula>""</formula>
    </cfRule>
  </conditionalFormatting>
  <conditionalFormatting sqref="L1110 B1110 D1110 F1110 H1110 J1110">
    <cfRule type="cellIs" dxfId="2222" priority="905" operator="notEqual">
      <formula>""</formula>
    </cfRule>
  </conditionalFormatting>
  <conditionalFormatting sqref="M1113">
    <cfRule type="cellIs" dxfId="2221" priority="901" operator="equal">
      <formula>""</formula>
    </cfRule>
  </conditionalFormatting>
  <conditionalFormatting sqref="M1116">
    <cfRule type="cellIs" dxfId="2220" priority="898" operator="equal">
      <formula>""</formula>
    </cfRule>
  </conditionalFormatting>
  <conditionalFormatting sqref="M1119">
    <cfRule type="cellIs" dxfId="2219" priority="895" operator="equal">
      <formula>""</formula>
    </cfRule>
  </conditionalFormatting>
  <conditionalFormatting sqref="H1122">
    <cfRule type="cellIs" dxfId="2218" priority="892" operator="equal">
      <formula>""</formula>
    </cfRule>
  </conditionalFormatting>
  <conditionalFormatting sqref="M1139">
    <cfRule type="cellIs" dxfId="2217" priority="891" operator="lessThan">
      <formula>5</formula>
    </cfRule>
  </conditionalFormatting>
  <conditionalFormatting sqref="B1127:M1127">
    <cfRule type="cellIs" dxfId="2216" priority="877" operator="equal">
      <formula>""</formula>
    </cfRule>
  </conditionalFormatting>
  <conditionalFormatting sqref="L1127 B1127 D1127 F1127 H1127 J1127">
    <cfRule type="cellIs" dxfId="2215" priority="878" operator="notEqual">
      <formula>""</formula>
    </cfRule>
  </conditionalFormatting>
  <conditionalFormatting sqref="M1130">
    <cfRule type="cellIs" dxfId="2214" priority="874" operator="equal">
      <formula>""</formula>
    </cfRule>
  </conditionalFormatting>
  <conditionalFormatting sqref="M1133">
    <cfRule type="cellIs" dxfId="2213" priority="871" operator="equal">
      <formula>""</formula>
    </cfRule>
  </conditionalFormatting>
  <conditionalFormatting sqref="M1136">
    <cfRule type="cellIs" dxfId="2212" priority="868" operator="equal">
      <formula>""</formula>
    </cfRule>
  </conditionalFormatting>
  <conditionalFormatting sqref="H1139">
    <cfRule type="cellIs" dxfId="2211" priority="865" operator="equal">
      <formula>""</formula>
    </cfRule>
  </conditionalFormatting>
  <conditionalFormatting sqref="M1156">
    <cfRule type="cellIs" dxfId="2210" priority="864" operator="lessThan">
      <formula>5</formula>
    </cfRule>
  </conditionalFormatting>
  <conditionalFormatting sqref="B1144:M1144">
    <cfRule type="cellIs" dxfId="2209" priority="850" operator="equal">
      <formula>""</formula>
    </cfRule>
  </conditionalFormatting>
  <conditionalFormatting sqref="L1144 B1144 D1144 F1144 H1144 J1144">
    <cfRule type="cellIs" dxfId="2208" priority="851" operator="notEqual">
      <formula>""</formula>
    </cfRule>
  </conditionalFormatting>
  <conditionalFormatting sqref="M1147">
    <cfRule type="cellIs" dxfId="2207" priority="847" operator="equal">
      <formula>""</formula>
    </cfRule>
  </conditionalFormatting>
  <conditionalFormatting sqref="M1150">
    <cfRule type="cellIs" dxfId="2206" priority="844" operator="equal">
      <formula>""</formula>
    </cfRule>
  </conditionalFormatting>
  <conditionalFormatting sqref="M1153">
    <cfRule type="cellIs" dxfId="2205" priority="841" operator="equal">
      <formula>""</formula>
    </cfRule>
  </conditionalFormatting>
  <conditionalFormatting sqref="H1156">
    <cfRule type="cellIs" dxfId="2204" priority="838" operator="equal">
      <formula>""</formula>
    </cfRule>
  </conditionalFormatting>
  <conditionalFormatting sqref="M1173">
    <cfRule type="cellIs" dxfId="2203" priority="837" operator="lessThan">
      <formula>5</formula>
    </cfRule>
  </conditionalFormatting>
  <conditionalFormatting sqref="B1161:M1161">
    <cfRule type="cellIs" dxfId="2202" priority="823" operator="equal">
      <formula>""</formula>
    </cfRule>
  </conditionalFormatting>
  <conditionalFormatting sqref="L1161 B1161 D1161 F1161 H1161 J1161">
    <cfRule type="cellIs" dxfId="2201" priority="824" operator="notEqual">
      <formula>""</formula>
    </cfRule>
  </conditionalFormatting>
  <conditionalFormatting sqref="M1164">
    <cfRule type="cellIs" dxfId="2200" priority="820" operator="equal">
      <formula>""</formula>
    </cfRule>
  </conditionalFormatting>
  <conditionalFormatting sqref="M1167">
    <cfRule type="cellIs" dxfId="2199" priority="817" operator="equal">
      <formula>""</formula>
    </cfRule>
  </conditionalFormatting>
  <conditionalFormatting sqref="M1170">
    <cfRule type="cellIs" dxfId="2198" priority="814" operator="equal">
      <formula>""</formula>
    </cfRule>
  </conditionalFormatting>
  <conditionalFormatting sqref="H1173">
    <cfRule type="cellIs" dxfId="2197" priority="811" operator="equal">
      <formula>""</formula>
    </cfRule>
  </conditionalFormatting>
  <conditionalFormatting sqref="M1190">
    <cfRule type="cellIs" dxfId="2196" priority="810" operator="lessThan">
      <formula>5</formula>
    </cfRule>
  </conditionalFormatting>
  <conditionalFormatting sqref="B1178:M1178">
    <cfRule type="cellIs" dxfId="2195" priority="796" operator="equal">
      <formula>""</formula>
    </cfRule>
  </conditionalFormatting>
  <conditionalFormatting sqref="L1178 B1178 D1178 F1178 H1178 J1178">
    <cfRule type="cellIs" dxfId="2194" priority="797" operator="notEqual">
      <formula>""</formula>
    </cfRule>
  </conditionalFormatting>
  <conditionalFormatting sqref="M1181">
    <cfRule type="cellIs" dxfId="2193" priority="793" operator="equal">
      <formula>""</formula>
    </cfRule>
  </conditionalFormatting>
  <conditionalFormatting sqref="M1184">
    <cfRule type="cellIs" dxfId="2192" priority="790" operator="equal">
      <formula>""</formula>
    </cfRule>
  </conditionalFormatting>
  <conditionalFormatting sqref="M1187">
    <cfRule type="cellIs" dxfId="2191" priority="787" operator="equal">
      <formula>""</formula>
    </cfRule>
  </conditionalFormatting>
  <conditionalFormatting sqref="H1190">
    <cfRule type="cellIs" dxfId="2190" priority="784" operator="equal">
      <formula>""</formula>
    </cfRule>
  </conditionalFormatting>
  <conditionalFormatting sqref="M1207">
    <cfRule type="cellIs" dxfId="2189" priority="783" operator="lessThan">
      <formula>5</formula>
    </cfRule>
  </conditionalFormatting>
  <conditionalFormatting sqref="B1195:M1195">
    <cfRule type="cellIs" dxfId="2188" priority="769" operator="equal">
      <formula>""</formula>
    </cfRule>
  </conditionalFormatting>
  <conditionalFormatting sqref="L1195 B1195 D1195 F1195 H1195 J1195">
    <cfRule type="cellIs" dxfId="2187" priority="770" operator="notEqual">
      <formula>""</formula>
    </cfRule>
  </conditionalFormatting>
  <conditionalFormatting sqref="M1198">
    <cfRule type="cellIs" dxfId="2186" priority="766" operator="equal">
      <formula>""</formula>
    </cfRule>
  </conditionalFormatting>
  <conditionalFormatting sqref="M1201">
    <cfRule type="cellIs" dxfId="2185" priority="763" operator="equal">
      <formula>""</formula>
    </cfRule>
  </conditionalFormatting>
  <conditionalFormatting sqref="M1204">
    <cfRule type="cellIs" dxfId="2184" priority="760" operator="equal">
      <formula>""</formula>
    </cfRule>
  </conditionalFormatting>
  <conditionalFormatting sqref="H1207">
    <cfRule type="cellIs" dxfId="2183" priority="757" operator="equal">
      <formula>""</formula>
    </cfRule>
  </conditionalFormatting>
  <conditionalFormatting sqref="M1224">
    <cfRule type="cellIs" dxfId="2182" priority="756" operator="lessThan">
      <formula>5</formula>
    </cfRule>
  </conditionalFormatting>
  <conditionalFormatting sqref="B1212:M1212">
    <cfRule type="cellIs" dxfId="2181" priority="742" operator="equal">
      <formula>""</formula>
    </cfRule>
  </conditionalFormatting>
  <conditionalFormatting sqref="L1212 B1212 D1212 F1212 H1212 J1212">
    <cfRule type="cellIs" dxfId="2180" priority="743" operator="notEqual">
      <formula>""</formula>
    </cfRule>
  </conditionalFormatting>
  <conditionalFormatting sqref="M1215">
    <cfRule type="cellIs" dxfId="2179" priority="739" operator="equal">
      <formula>""</formula>
    </cfRule>
  </conditionalFormatting>
  <conditionalFormatting sqref="M1218">
    <cfRule type="cellIs" dxfId="2178" priority="736" operator="equal">
      <formula>""</formula>
    </cfRule>
  </conditionalFormatting>
  <conditionalFormatting sqref="M1221">
    <cfRule type="cellIs" dxfId="2177" priority="733" operator="equal">
      <formula>""</formula>
    </cfRule>
  </conditionalFormatting>
  <conditionalFormatting sqref="H1224">
    <cfRule type="cellIs" dxfId="2176" priority="730" operator="equal">
      <formula>""</formula>
    </cfRule>
  </conditionalFormatting>
  <conditionalFormatting sqref="M1241">
    <cfRule type="cellIs" dxfId="2175" priority="729" operator="lessThan">
      <formula>5</formula>
    </cfRule>
  </conditionalFormatting>
  <conditionalFormatting sqref="B1229:M1229">
    <cfRule type="cellIs" dxfId="2174" priority="715" operator="equal">
      <formula>""</formula>
    </cfRule>
  </conditionalFormatting>
  <conditionalFormatting sqref="L1229 B1229 D1229 F1229 H1229 J1229">
    <cfRule type="cellIs" dxfId="2173" priority="716" operator="notEqual">
      <formula>""</formula>
    </cfRule>
  </conditionalFormatting>
  <conditionalFormatting sqref="M1232">
    <cfRule type="cellIs" dxfId="2172" priority="712" operator="equal">
      <formula>""</formula>
    </cfRule>
  </conditionalFormatting>
  <conditionalFormatting sqref="M1235">
    <cfRule type="cellIs" dxfId="2171" priority="709" operator="equal">
      <formula>""</formula>
    </cfRule>
  </conditionalFormatting>
  <conditionalFormatting sqref="M1238">
    <cfRule type="cellIs" dxfId="2170" priority="706" operator="equal">
      <formula>""</formula>
    </cfRule>
  </conditionalFormatting>
  <conditionalFormatting sqref="H1241">
    <cfRule type="cellIs" dxfId="2169" priority="703" operator="equal">
      <formula>""</formula>
    </cfRule>
  </conditionalFormatting>
  <conditionalFormatting sqref="M1258">
    <cfRule type="cellIs" dxfId="2168" priority="702" operator="lessThan">
      <formula>5</formula>
    </cfRule>
  </conditionalFormatting>
  <conditionalFormatting sqref="B1246:M1246">
    <cfRule type="cellIs" dxfId="2167" priority="688" operator="equal">
      <formula>""</formula>
    </cfRule>
  </conditionalFormatting>
  <conditionalFormatting sqref="L1246 B1246 D1246 F1246 H1246 J1246">
    <cfRule type="cellIs" dxfId="2166" priority="689" operator="notEqual">
      <formula>""</formula>
    </cfRule>
  </conditionalFormatting>
  <conditionalFormatting sqref="M1249">
    <cfRule type="cellIs" dxfId="2165" priority="685" operator="equal">
      <formula>""</formula>
    </cfRule>
  </conditionalFormatting>
  <conditionalFormatting sqref="M1252">
    <cfRule type="cellIs" dxfId="2164" priority="682" operator="equal">
      <formula>""</formula>
    </cfRule>
  </conditionalFormatting>
  <conditionalFormatting sqref="M1255">
    <cfRule type="cellIs" dxfId="2163" priority="679" operator="equal">
      <formula>""</formula>
    </cfRule>
  </conditionalFormatting>
  <conditionalFormatting sqref="H1258">
    <cfRule type="cellIs" dxfId="2162" priority="676" operator="equal">
      <formula>""</formula>
    </cfRule>
  </conditionalFormatting>
  <conditionalFormatting sqref="M1275">
    <cfRule type="cellIs" dxfId="2161" priority="675" operator="lessThan">
      <formula>5</formula>
    </cfRule>
  </conditionalFormatting>
  <conditionalFormatting sqref="B1263:M1263">
    <cfRule type="cellIs" dxfId="2160" priority="661" operator="equal">
      <formula>""</formula>
    </cfRule>
  </conditionalFormatting>
  <conditionalFormatting sqref="L1263 B1263 D1263 F1263 H1263 J1263">
    <cfRule type="cellIs" dxfId="2159" priority="662" operator="notEqual">
      <formula>""</formula>
    </cfRule>
  </conditionalFormatting>
  <conditionalFormatting sqref="M1266">
    <cfRule type="cellIs" dxfId="2158" priority="658" operator="equal">
      <formula>""</formula>
    </cfRule>
  </conditionalFormatting>
  <conditionalFormatting sqref="M1269">
    <cfRule type="cellIs" dxfId="2157" priority="655" operator="equal">
      <formula>""</formula>
    </cfRule>
  </conditionalFormatting>
  <conditionalFormatting sqref="M1272">
    <cfRule type="cellIs" dxfId="2156" priority="652" operator="equal">
      <formula>""</formula>
    </cfRule>
  </conditionalFormatting>
  <conditionalFormatting sqref="H1275">
    <cfRule type="cellIs" dxfId="2155" priority="649" operator="equal">
      <formula>""</formula>
    </cfRule>
  </conditionalFormatting>
  <conditionalFormatting sqref="M1292">
    <cfRule type="cellIs" dxfId="2154" priority="648" operator="lessThan">
      <formula>5</formula>
    </cfRule>
  </conditionalFormatting>
  <conditionalFormatting sqref="B1280:M1280">
    <cfRule type="cellIs" dxfId="2153" priority="634" operator="equal">
      <formula>""</formula>
    </cfRule>
  </conditionalFormatting>
  <conditionalFormatting sqref="L1280 B1280 D1280 F1280 H1280 J1280">
    <cfRule type="cellIs" dxfId="2152" priority="635" operator="notEqual">
      <formula>""</formula>
    </cfRule>
  </conditionalFormatting>
  <conditionalFormatting sqref="M1283">
    <cfRule type="cellIs" dxfId="2151" priority="631" operator="equal">
      <formula>""</formula>
    </cfRule>
  </conditionalFormatting>
  <conditionalFormatting sqref="M1286">
    <cfRule type="cellIs" dxfId="2150" priority="628" operator="equal">
      <formula>""</formula>
    </cfRule>
  </conditionalFormatting>
  <conditionalFormatting sqref="M1289">
    <cfRule type="cellIs" dxfId="2149" priority="625" operator="equal">
      <formula>""</formula>
    </cfRule>
  </conditionalFormatting>
  <conditionalFormatting sqref="H1292">
    <cfRule type="cellIs" dxfId="2148" priority="622" operator="equal">
      <formula>""</formula>
    </cfRule>
  </conditionalFormatting>
  <conditionalFormatting sqref="M1309">
    <cfRule type="cellIs" dxfId="2147" priority="621" operator="lessThan">
      <formula>5</formula>
    </cfRule>
  </conditionalFormatting>
  <conditionalFormatting sqref="B1297:M1297">
    <cfRule type="cellIs" dxfId="2146" priority="607" operator="equal">
      <formula>""</formula>
    </cfRule>
  </conditionalFormatting>
  <conditionalFormatting sqref="L1297 B1297 D1297 F1297 H1297 J1297">
    <cfRule type="cellIs" dxfId="2145" priority="608" operator="notEqual">
      <formula>""</formula>
    </cfRule>
  </conditionalFormatting>
  <conditionalFormatting sqref="M1300">
    <cfRule type="cellIs" dxfId="2144" priority="604" operator="equal">
      <formula>""</formula>
    </cfRule>
  </conditionalFormatting>
  <conditionalFormatting sqref="M1303">
    <cfRule type="cellIs" dxfId="2143" priority="601" operator="equal">
      <formula>""</formula>
    </cfRule>
  </conditionalFormatting>
  <conditionalFormatting sqref="M1306">
    <cfRule type="cellIs" dxfId="2142" priority="598" operator="equal">
      <formula>""</formula>
    </cfRule>
  </conditionalFormatting>
  <conditionalFormatting sqref="H1309">
    <cfRule type="cellIs" dxfId="2141" priority="595" operator="equal">
      <formula>""</formula>
    </cfRule>
  </conditionalFormatting>
  <conditionalFormatting sqref="M1326">
    <cfRule type="cellIs" dxfId="2140" priority="594" operator="lessThan">
      <formula>5</formula>
    </cfRule>
  </conditionalFormatting>
  <conditionalFormatting sqref="B1314:M1314">
    <cfRule type="cellIs" dxfId="2139" priority="580" operator="equal">
      <formula>""</formula>
    </cfRule>
  </conditionalFormatting>
  <conditionalFormatting sqref="L1314 B1314 D1314 F1314 H1314 J1314">
    <cfRule type="cellIs" dxfId="2138" priority="581" operator="notEqual">
      <formula>""</formula>
    </cfRule>
  </conditionalFormatting>
  <conditionalFormatting sqref="M1317">
    <cfRule type="cellIs" dxfId="2137" priority="577" operator="equal">
      <formula>""</formula>
    </cfRule>
  </conditionalFormatting>
  <conditionalFormatting sqref="M1320">
    <cfRule type="cellIs" dxfId="2136" priority="574" operator="equal">
      <formula>""</formula>
    </cfRule>
  </conditionalFormatting>
  <conditionalFormatting sqref="M1323">
    <cfRule type="cellIs" dxfId="2135" priority="571" operator="equal">
      <formula>""</formula>
    </cfRule>
  </conditionalFormatting>
  <conditionalFormatting sqref="H1326">
    <cfRule type="cellIs" dxfId="2134" priority="568" operator="equal">
      <formula>""</formula>
    </cfRule>
  </conditionalFormatting>
  <conditionalFormatting sqref="M1343">
    <cfRule type="cellIs" dxfId="2133" priority="567" operator="lessThan">
      <formula>5</formula>
    </cfRule>
  </conditionalFormatting>
  <conditionalFormatting sqref="B1331:M1331">
    <cfRule type="cellIs" dxfId="2132" priority="553" operator="equal">
      <formula>""</formula>
    </cfRule>
  </conditionalFormatting>
  <conditionalFormatting sqref="L1331 B1331 D1331 F1331 H1331 J1331">
    <cfRule type="cellIs" dxfId="2131" priority="554" operator="notEqual">
      <formula>""</formula>
    </cfRule>
  </conditionalFormatting>
  <conditionalFormatting sqref="M1334">
    <cfRule type="cellIs" dxfId="2130" priority="550" operator="equal">
      <formula>""</formula>
    </cfRule>
  </conditionalFormatting>
  <conditionalFormatting sqref="M1337">
    <cfRule type="cellIs" dxfId="2129" priority="547" operator="equal">
      <formula>""</formula>
    </cfRule>
  </conditionalFormatting>
  <conditionalFormatting sqref="M1340">
    <cfRule type="cellIs" dxfId="2128" priority="544" operator="equal">
      <formula>""</formula>
    </cfRule>
  </conditionalFormatting>
  <conditionalFormatting sqref="H1343">
    <cfRule type="cellIs" dxfId="2127" priority="541" operator="equal">
      <formula>""</formula>
    </cfRule>
  </conditionalFormatting>
  <conditionalFormatting sqref="M1360">
    <cfRule type="cellIs" dxfId="2126" priority="540" operator="lessThan">
      <formula>5</formula>
    </cfRule>
  </conditionalFormatting>
  <conditionalFormatting sqref="B1348:M1348">
    <cfRule type="cellIs" dxfId="2125" priority="526" operator="equal">
      <formula>""</formula>
    </cfRule>
  </conditionalFormatting>
  <conditionalFormatting sqref="L1348 B1348 D1348 F1348 H1348 J1348">
    <cfRule type="cellIs" dxfId="2124" priority="527" operator="notEqual">
      <formula>""</formula>
    </cfRule>
  </conditionalFormatting>
  <conditionalFormatting sqref="M1351">
    <cfRule type="cellIs" dxfId="2123" priority="523" operator="equal">
      <formula>""</formula>
    </cfRule>
  </conditionalFormatting>
  <conditionalFormatting sqref="M1354">
    <cfRule type="cellIs" dxfId="2122" priority="520" operator="equal">
      <formula>""</formula>
    </cfRule>
  </conditionalFormatting>
  <conditionalFormatting sqref="M1357">
    <cfRule type="cellIs" dxfId="2121" priority="517" operator="equal">
      <formula>""</formula>
    </cfRule>
  </conditionalFormatting>
  <conditionalFormatting sqref="H1360">
    <cfRule type="cellIs" dxfId="2120" priority="514" operator="equal">
      <formula>""</formula>
    </cfRule>
  </conditionalFormatting>
  <conditionalFormatting sqref="M1377">
    <cfRule type="cellIs" dxfId="2119" priority="513" operator="lessThan">
      <formula>5</formula>
    </cfRule>
  </conditionalFormatting>
  <conditionalFormatting sqref="B1365:M1365">
    <cfRule type="cellIs" dxfId="2118" priority="499" operator="equal">
      <formula>""</formula>
    </cfRule>
  </conditionalFormatting>
  <conditionalFormatting sqref="L1365 B1365 D1365 F1365 H1365 J1365">
    <cfRule type="cellIs" dxfId="2117" priority="500" operator="notEqual">
      <formula>""</formula>
    </cfRule>
  </conditionalFormatting>
  <conditionalFormatting sqref="M1368">
    <cfRule type="cellIs" dxfId="2116" priority="496" operator="equal">
      <formula>""</formula>
    </cfRule>
  </conditionalFormatting>
  <conditionalFormatting sqref="M1371">
    <cfRule type="cellIs" dxfId="2115" priority="493" operator="equal">
      <formula>""</formula>
    </cfRule>
  </conditionalFormatting>
  <conditionalFormatting sqref="M1374">
    <cfRule type="cellIs" dxfId="2114" priority="490" operator="equal">
      <formula>""</formula>
    </cfRule>
  </conditionalFormatting>
  <conditionalFormatting sqref="H1377">
    <cfRule type="cellIs" dxfId="2113" priority="487" operator="equal">
      <formula>""</formula>
    </cfRule>
  </conditionalFormatting>
  <conditionalFormatting sqref="M1394">
    <cfRule type="cellIs" dxfId="2112" priority="486" operator="lessThan">
      <formula>5</formula>
    </cfRule>
  </conditionalFormatting>
  <conditionalFormatting sqref="B1382:M1382">
    <cfRule type="cellIs" dxfId="2111" priority="472" operator="equal">
      <formula>""</formula>
    </cfRule>
  </conditionalFormatting>
  <conditionalFormatting sqref="L1382 B1382 D1382 F1382 H1382 J1382">
    <cfRule type="cellIs" dxfId="2110" priority="473" operator="notEqual">
      <formula>""</formula>
    </cfRule>
  </conditionalFormatting>
  <conditionalFormatting sqref="M1385">
    <cfRule type="cellIs" dxfId="2109" priority="469" operator="equal">
      <formula>""</formula>
    </cfRule>
  </conditionalFormatting>
  <conditionalFormatting sqref="M1388">
    <cfRule type="cellIs" dxfId="2108" priority="466" operator="equal">
      <formula>""</formula>
    </cfRule>
  </conditionalFormatting>
  <conditionalFormatting sqref="M1391">
    <cfRule type="cellIs" dxfId="2107" priority="463" operator="equal">
      <formula>""</formula>
    </cfRule>
  </conditionalFormatting>
  <conditionalFormatting sqref="H1394">
    <cfRule type="cellIs" dxfId="2106" priority="460" operator="equal">
      <formula>""</formula>
    </cfRule>
  </conditionalFormatting>
  <conditionalFormatting sqref="M1411">
    <cfRule type="cellIs" dxfId="2105" priority="459" operator="lessThan">
      <formula>5</formula>
    </cfRule>
  </conditionalFormatting>
  <conditionalFormatting sqref="B1399:M1399">
    <cfRule type="cellIs" dxfId="2104" priority="445" operator="equal">
      <formula>""</formula>
    </cfRule>
  </conditionalFormatting>
  <conditionalFormatting sqref="L1399 B1399 D1399 F1399 H1399 J1399">
    <cfRule type="cellIs" dxfId="2103" priority="446" operator="notEqual">
      <formula>""</formula>
    </cfRule>
  </conditionalFormatting>
  <conditionalFormatting sqref="M1402">
    <cfRule type="cellIs" dxfId="2102" priority="442" operator="equal">
      <formula>""</formula>
    </cfRule>
  </conditionalFormatting>
  <conditionalFormatting sqref="M1405">
    <cfRule type="cellIs" dxfId="2101" priority="439" operator="equal">
      <formula>""</formula>
    </cfRule>
  </conditionalFormatting>
  <conditionalFormatting sqref="M1408">
    <cfRule type="cellIs" dxfId="2100" priority="436" operator="equal">
      <formula>""</formula>
    </cfRule>
  </conditionalFormatting>
  <conditionalFormatting sqref="H1411">
    <cfRule type="cellIs" dxfId="2099" priority="433" operator="equal">
      <formula>""</formula>
    </cfRule>
  </conditionalFormatting>
  <conditionalFormatting sqref="M1428">
    <cfRule type="cellIs" dxfId="2098" priority="432" operator="lessThan">
      <formula>5</formula>
    </cfRule>
  </conditionalFormatting>
  <conditionalFormatting sqref="B1416:M1416">
    <cfRule type="cellIs" dxfId="2097" priority="418" operator="equal">
      <formula>""</formula>
    </cfRule>
  </conditionalFormatting>
  <conditionalFormatting sqref="L1416 B1416 D1416 F1416 H1416 J1416">
    <cfRule type="cellIs" dxfId="2096" priority="419" operator="notEqual">
      <formula>""</formula>
    </cfRule>
  </conditionalFormatting>
  <conditionalFormatting sqref="M1419">
    <cfRule type="cellIs" dxfId="2095" priority="415" operator="equal">
      <formula>""</formula>
    </cfRule>
  </conditionalFormatting>
  <conditionalFormatting sqref="M1422">
    <cfRule type="cellIs" dxfId="2094" priority="412" operator="equal">
      <formula>""</formula>
    </cfRule>
  </conditionalFormatting>
  <conditionalFormatting sqref="M1425">
    <cfRule type="cellIs" dxfId="2093" priority="409" operator="equal">
      <formula>""</formula>
    </cfRule>
  </conditionalFormatting>
  <conditionalFormatting sqref="H1428">
    <cfRule type="cellIs" dxfId="2092" priority="406" operator="equal">
      <formula>""</formula>
    </cfRule>
  </conditionalFormatting>
  <conditionalFormatting sqref="M1445">
    <cfRule type="cellIs" dxfId="2091" priority="405" operator="lessThan">
      <formula>5</formula>
    </cfRule>
  </conditionalFormatting>
  <conditionalFormatting sqref="B1433:M1433">
    <cfRule type="cellIs" dxfId="2090" priority="391" operator="equal">
      <formula>""</formula>
    </cfRule>
  </conditionalFormatting>
  <conditionalFormatting sqref="L1433 B1433 D1433 F1433 H1433 J1433">
    <cfRule type="cellIs" dxfId="2089" priority="392" operator="notEqual">
      <formula>""</formula>
    </cfRule>
  </conditionalFormatting>
  <conditionalFormatting sqref="M1436">
    <cfRule type="cellIs" dxfId="2088" priority="388" operator="equal">
      <formula>""</formula>
    </cfRule>
  </conditionalFormatting>
  <conditionalFormatting sqref="M1439">
    <cfRule type="cellIs" dxfId="2087" priority="385" operator="equal">
      <formula>""</formula>
    </cfRule>
  </conditionalFormatting>
  <conditionalFormatting sqref="M1442">
    <cfRule type="cellIs" dxfId="2086" priority="382" operator="equal">
      <formula>""</formula>
    </cfRule>
  </conditionalFormatting>
  <conditionalFormatting sqref="H1445">
    <cfRule type="cellIs" dxfId="2085" priority="379" operator="equal">
      <formula>""</formula>
    </cfRule>
  </conditionalFormatting>
  <conditionalFormatting sqref="M1462">
    <cfRule type="cellIs" dxfId="2084" priority="378" operator="lessThan">
      <formula>5</formula>
    </cfRule>
  </conditionalFormatting>
  <conditionalFormatting sqref="B1450:M1450">
    <cfRule type="cellIs" dxfId="2083" priority="364" operator="equal">
      <formula>""</formula>
    </cfRule>
  </conditionalFormatting>
  <conditionalFormatting sqref="L1450 B1450 D1450 F1450 H1450 J1450">
    <cfRule type="cellIs" dxfId="2082" priority="365" operator="notEqual">
      <formula>""</formula>
    </cfRule>
  </conditionalFormatting>
  <conditionalFormatting sqref="M1453">
    <cfRule type="cellIs" dxfId="2081" priority="361" operator="equal">
      <formula>""</formula>
    </cfRule>
  </conditionalFormatting>
  <conditionalFormatting sqref="M1456">
    <cfRule type="cellIs" dxfId="2080" priority="358" operator="equal">
      <formula>""</formula>
    </cfRule>
  </conditionalFormatting>
  <conditionalFormatting sqref="M1459">
    <cfRule type="cellIs" dxfId="2079" priority="355" operator="equal">
      <formula>""</formula>
    </cfRule>
  </conditionalFormatting>
  <conditionalFormatting sqref="H1462">
    <cfRule type="cellIs" dxfId="2078" priority="352" operator="equal">
      <formula>""</formula>
    </cfRule>
  </conditionalFormatting>
  <conditionalFormatting sqref="M1479">
    <cfRule type="cellIs" dxfId="2077" priority="351" operator="lessThan">
      <formula>5</formula>
    </cfRule>
  </conditionalFormatting>
  <conditionalFormatting sqref="B1467:M1467">
    <cfRule type="cellIs" dxfId="2076" priority="337" operator="equal">
      <formula>""</formula>
    </cfRule>
  </conditionalFormatting>
  <conditionalFormatting sqref="L1467 B1467 D1467 F1467 H1467 J1467">
    <cfRule type="cellIs" dxfId="2075" priority="338" operator="notEqual">
      <formula>""</formula>
    </cfRule>
  </conditionalFormatting>
  <conditionalFormatting sqref="M1470">
    <cfRule type="cellIs" dxfId="2074" priority="334" operator="equal">
      <formula>""</formula>
    </cfRule>
  </conditionalFormatting>
  <conditionalFormatting sqref="M1473">
    <cfRule type="cellIs" dxfId="2073" priority="331" operator="equal">
      <formula>""</formula>
    </cfRule>
  </conditionalFormatting>
  <conditionalFormatting sqref="M1476">
    <cfRule type="cellIs" dxfId="2072" priority="328" operator="equal">
      <formula>""</formula>
    </cfRule>
  </conditionalFormatting>
  <conditionalFormatting sqref="H1479">
    <cfRule type="cellIs" dxfId="2071" priority="325" operator="equal">
      <formula>""</formula>
    </cfRule>
  </conditionalFormatting>
  <conditionalFormatting sqref="M1496">
    <cfRule type="cellIs" dxfId="2070" priority="324" operator="lessThan">
      <formula>5</formula>
    </cfRule>
  </conditionalFormatting>
  <conditionalFormatting sqref="B1484:M1484">
    <cfRule type="cellIs" dxfId="2069" priority="310" operator="equal">
      <formula>""</formula>
    </cfRule>
  </conditionalFormatting>
  <conditionalFormatting sqref="L1484 B1484 D1484 F1484 H1484 J1484">
    <cfRule type="cellIs" dxfId="2068" priority="311" operator="notEqual">
      <formula>""</formula>
    </cfRule>
  </conditionalFormatting>
  <conditionalFormatting sqref="M1487">
    <cfRule type="cellIs" dxfId="2067" priority="307" operator="equal">
      <formula>""</formula>
    </cfRule>
  </conditionalFormatting>
  <conditionalFormatting sqref="M1490">
    <cfRule type="cellIs" dxfId="2066" priority="304" operator="equal">
      <formula>""</formula>
    </cfRule>
  </conditionalFormatting>
  <conditionalFormatting sqref="M1493">
    <cfRule type="cellIs" dxfId="2065" priority="301" operator="equal">
      <formula>""</formula>
    </cfRule>
  </conditionalFormatting>
  <conditionalFormatting sqref="H1496">
    <cfRule type="cellIs" dxfId="2064" priority="298" operator="equal">
      <formula>""</formula>
    </cfRule>
  </conditionalFormatting>
  <conditionalFormatting sqref="M1513">
    <cfRule type="cellIs" dxfId="2063" priority="297" operator="lessThan">
      <formula>5</formula>
    </cfRule>
  </conditionalFormatting>
  <conditionalFormatting sqref="B1501:M1501">
    <cfRule type="cellIs" dxfId="2062" priority="283" operator="equal">
      <formula>""</formula>
    </cfRule>
  </conditionalFormatting>
  <conditionalFormatting sqref="L1501 B1501 D1501 F1501 H1501 J1501">
    <cfRule type="cellIs" dxfId="2061" priority="284" operator="notEqual">
      <formula>""</formula>
    </cfRule>
  </conditionalFormatting>
  <conditionalFormatting sqref="M1504">
    <cfRule type="cellIs" dxfId="2060" priority="280" operator="equal">
      <formula>""</formula>
    </cfRule>
  </conditionalFormatting>
  <conditionalFormatting sqref="M1507">
    <cfRule type="cellIs" dxfId="2059" priority="277" operator="equal">
      <formula>""</formula>
    </cfRule>
  </conditionalFormatting>
  <conditionalFormatting sqref="M1510">
    <cfRule type="cellIs" dxfId="2058" priority="274" operator="equal">
      <formula>""</formula>
    </cfRule>
  </conditionalFormatting>
  <conditionalFormatting sqref="H1513">
    <cfRule type="cellIs" dxfId="2057" priority="271" operator="equal">
      <formula>""</formula>
    </cfRule>
  </conditionalFormatting>
  <conditionalFormatting sqref="M1530">
    <cfRule type="cellIs" dxfId="2056" priority="270" operator="lessThan">
      <formula>5</formula>
    </cfRule>
  </conditionalFormatting>
  <conditionalFormatting sqref="B1518:M1518">
    <cfRule type="cellIs" dxfId="2055" priority="256" operator="equal">
      <formula>""</formula>
    </cfRule>
  </conditionalFormatting>
  <conditionalFormatting sqref="L1518 B1518 D1518 F1518 H1518 J1518">
    <cfRule type="cellIs" dxfId="2054" priority="257" operator="notEqual">
      <formula>""</formula>
    </cfRule>
  </conditionalFormatting>
  <conditionalFormatting sqref="M1521">
    <cfRule type="cellIs" dxfId="2053" priority="253" operator="equal">
      <formula>""</formula>
    </cfRule>
  </conditionalFormatting>
  <conditionalFormatting sqref="M1524">
    <cfRule type="cellIs" dxfId="2052" priority="250" operator="equal">
      <formula>""</formula>
    </cfRule>
  </conditionalFormatting>
  <conditionalFormatting sqref="M1527">
    <cfRule type="cellIs" dxfId="2051" priority="247" operator="equal">
      <formula>""</formula>
    </cfRule>
  </conditionalFormatting>
  <conditionalFormatting sqref="H1530">
    <cfRule type="cellIs" dxfId="2050" priority="244" operator="equal">
      <formula>""</formula>
    </cfRule>
  </conditionalFormatting>
  <conditionalFormatting sqref="M1547">
    <cfRule type="cellIs" dxfId="2049" priority="243" operator="lessThan">
      <formula>5</formula>
    </cfRule>
  </conditionalFormatting>
  <conditionalFormatting sqref="B1535:M1535">
    <cfRule type="cellIs" dxfId="2048" priority="229" operator="equal">
      <formula>""</formula>
    </cfRule>
  </conditionalFormatting>
  <conditionalFormatting sqref="L1535 B1535 D1535 F1535 H1535 J1535">
    <cfRule type="cellIs" dxfId="2047" priority="230" operator="notEqual">
      <formula>""</formula>
    </cfRule>
  </conditionalFormatting>
  <conditionalFormatting sqref="M1538">
    <cfRule type="cellIs" dxfId="2046" priority="226" operator="equal">
      <formula>""</formula>
    </cfRule>
  </conditionalFormatting>
  <conditionalFormatting sqref="M1541">
    <cfRule type="cellIs" dxfId="2045" priority="223" operator="equal">
      <formula>""</formula>
    </cfRule>
  </conditionalFormatting>
  <conditionalFormatting sqref="M1544">
    <cfRule type="cellIs" dxfId="2044" priority="220" operator="equal">
      <formula>""</formula>
    </cfRule>
  </conditionalFormatting>
  <conditionalFormatting sqref="H1547">
    <cfRule type="cellIs" dxfId="2043" priority="217" operator="equal">
      <formula>""</formula>
    </cfRule>
  </conditionalFormatting>
  <conditionalFormatting sqref="M1564">
    <cfRule type="cellIs" dxfId="2042" priority="216" operator="lessThan">
      <formula>5</formula>
    </cfRule>
  </conditionalFormatting>
  <conditionalFormatting sqref="B1552:M1552">
    <cfRule type="cellIs" dxfId="2041" priority="202" operator="equal">
      <formula>""</formula>
    </cfRule>
  </conditionalFormatting>
  <conditionalFormatting sqref="L1552 B1552 D1552 F1552 H1552 J1552">
    <cfRule type="cellIs" dxfId="2040" priority="203" operator="notEqual">
      <formula>""</formula>
    </cfRule>
  </conditionalFormatting>
  <conditionalFormatting sqref="M1555">
    <cfRule type="cellIs" dxfId="2039" priority="199" operator="equal">
      <formula>""</formula>
    </cfRule>
  </conditionalFormatting>
  <conditionalFormatting sqref="M1558">
    <cfRule type="cellIs" dxfId="2038" priority="196" operator="equal">
      <formula>""</formula>
    </cfRule>
  </conditionalFormatting>
  <conditionalFormatting sqref="M1561">
    <cfRule type="cellIs" dxfId="2037" priority="193" operator="equal">
      <formula>""</formula>
    </cfRule>
  </conditionalFormatting>
  <conditionalFormatting sqref="H1564">
    <cfRule type="cellIs" dxfId="2036" priority="190" operator="equal">
      <formula>""</formula>
    </cfRule>
  </conditionalFormatting>
  <conditionalFormatting sqref="M1581">
    <cfRule type="cellIs" dxfId="2035" priority="189" operator="lessThan">
      <formula>5</formula>
    </cfRule>
  </conditionalFormatting>
  <conditionalFormatting sqref="B1569:M1569">
    <cfRule type="cellIs" dxfId="2034" priority="175" operator="equal">
      <formula>""</formula>
    </cfRule>
  </conditionalFormatting>
  <conditionalFormatting sqref="L1569 B1569 D1569 F1569 H1569 J1569">
    <cfRule type="cellIs" dxfId="2033" priority="176" operator="notEqual">
      <formula>""</formula>
    </cfRule>
  </conditionalFormatting>
  <conditionalFormatting sqref="M1572">
    <cfRule type="cellIs" dxfId="2032" priority="172" operator="equal">
      <formula>""</formula>
    </cfRule>
  </conditionalFormatting>
  <conditionalFormatting sqref="M1575">
    <cfRule type="cellIs" dxfId="2031" priority="169" operator="equal">
      <formula>""</formula>
    </cfRule>
  </conditionalFormatting>
  <conditionalFormatting sqref="M1578">
    <cfRule type="cellIs" dxfId="2030" priority="166" operator="equal">
      <formula>""</formula>
    </cfRule>
  </conditionalFormatting>
  <conditionalFormatting sqref="H1581">
    <cfRule type="cellIs" dxfId="2029" priority="163" operator="equal">
      <formula>""</formula>
    </cfRule>
  </conditionalFormatting>
  <conditionalFormatting sqref="M1598">
    <cfRule type="cellIs" dxfId="2028" priority="162" operator="lessThan">
      <formula>5</formula>
    </cfRule>
  </conditionalFormatting>
  <conditionalFormatting sqref="B1586:M1586">
    <cfRule type="cellIs" dxfId="2027" priority="148" operator="equal">
      <formula>""</formula>
    </cfRule>
  </conditionalFormatting>
  <conditionalFormatting sqref="L1586 B1586 D1586 F1586 H1586 J1586">
    <cfRule type="cellIs" dxfId="2026" priority="149" operator="notEqual">
      <formula>""</formula>
    </cfRule>
  </conditionalFormatting>
  <conditionalFormatting sqref="M1589">
    <cfRule type="cellIs" dxfId="2025" priority="145" operator="equal">
      <formula>""</formula>
    </cfRule>
  </conditionalFormatting>
  <conditionalFormatting sqref="M1592">
    <cfRule type="cellIs" dxfId="2024" priority="142" operator="equal">
      <formula>""</formula>
    </cfRule>
  </conditionalFormatting>
  <conditionalFormatting sqref="M1595">
    <cfRule type="cellIs" dxfId="2023" priority="139" operator="equal">
      <formula>""</formula>
    </cfRule>
  </conditionalFormatting>
  <conditionalFormatting sqref="H1598">
    <cfRule type="cellIs" dxfId="2022" priority="136" operator="equal">
      <formula>""</formula>
    </cfRule>
  </conditionalFormatting>
  <conditionalFormatting sqref="M1615">
    <cfRule type="cellIs" dxfId="2021" priority="135" operator="lessThan">
      <formula>5</formula>
    </cfRule>
  </conditionalFormatting>
  <conditionalFormatting sqref="B1603:M1603">
    <cfRule type="cellIs" dxfId="2020" priority="121" operator="equal">
      <formula>""</formula>
    </cfRule>
  </conditionalFormatting>
  <conditionalFormatting sqref="L1603 B1603 D1603 F1603 H1603 J1603">
    <cfRule type="cellIs" dxfId="2019" priority="122" operator="notEqual">
      <formula>""</formula>
    </cfRule>
  </conditionalFormatting>
  <conditionalFormatting sqref="M1606">
    <cfRule type="cellIs" dxfId="2018" priority="118" operator="equal">
      <formula>""</formula>
    </cfRule>
  </conditionalFormatting>
  <conditionalFormatting sqref="M1609">
    <cfRule type="cellIs" dxfId="2017" priority="115" operator="equal">
      <formula>""</formula>
    </cfRule>
  </conditionalFormatting>
  <conditionalFormatting sqref="M1612">
    <cfRule type="cellIs" dxfId="2016" priority="112" operator="equal">
      <formula>""</formula>
    </cfRule>
  </conditionalFormatting>
  <conditionalFormatting sqref="H1615">
    <cfRule type="cellIs" dxfId="2015" priority="109" operator="equal">
      <formula>""</formula>
    </cfRule>
  </conditionalFormatting>
  <conditionalFormatting sqref="M1632">
    <cfRule type="cellIs" dxfId="2014" priority="108" operator="lessThan">
      <formula>5</formula>
    </cfRule>
  </conditionalFormatting>
  <conditionalFormatting sqref="B1620:M1620">
    <cfRule type="cellIs" dxfId="2013" priority="94" operator="equal">
      <formula>""</formula>
    </cfRule>
  </conditionalFormatting>
  <conditionalFormatting sqref="L1620 B1620 D1620 F1620 H1620 J1620">
    <cfRule type="cellIs" dxfId="2012" priority="95" operator="notEqual">
      <formula>""</formula>
    </cfRule>
  </conditionalFormatting>
  <conditionalFormatting sqref="M1623">
    <cfRule type="cellIs" dxfId="2011" priority="91" operator="equal">
      <formula>""</formula>
    </cfRule>
  </conditionalFormatting>
  <conditionalFormatting sqref="M1626">
    <cfRule type="cellIs" dxfId="2010" priority="88" operator="equal">
      <formula>""</formula>
    </cfRule>
  </conditionalFormatting>
  <conditionalFormatting sqref="M1629">
    <cfRule type="cellIs" dxfId="2009" priority="85" operator="equal">
      <formula>""</formula>
    </cfRule>
  </conditionalFormatting>
  <conditionalFormatting sqref="H1632">
    <cfRule type="cellIs" dxfId="2008" priority="82" operator="equal">
      <formula>""</formula>
    </cfRule>
  </conditionalFormatting>
  <conditionalFormatting sqref="M1649">
    <cfRule type="cellIs" dxfId="2007" priority="81" operator="lessThan">
      <formula>5</formula>
    </cfRule>
  </conditionalFormatting>
  <conditionalFormatting sqref="B1637:M1637">
    <cfRule type="cellIs" dxfId="2006" priority="67" operator="equal">
      <formula>""</formula>
    </cfRule>
  </conditionalFormatting>
  <conditionalFormatting sqref="L1637 B1637 D1637 F1637 H1637 J1637">
    <cfRule type="cellIs" dxfId="2005" priority="68" operator="notEqual">
      <formula>""</formula>
    </cfRule>
  </conditionalFormatting>
  <conditionalFormatting sqref="M1640">
    <cfRule type="cellIs" dxfId="2004" priority="64" operator="equal">
      <formula>""</formula>
    </cfRule>
  </conditionalFormatting>
  <conditionalFormatting sqref="M1643">
    <cfRule type="cellIs" dxfId="2003" priority="61" operator="equal">
      <formula>""</formula>
    </cfRule>
  </conditionalFormatting>
  <conditionalFormatting sqref="M1646">
    <cfRule type="cellIs" dxfId="2002" priority="58" operator="equal">
      <formula>""</formula>
    </cfRule>
  </conditionalFormatting>
  <conditionalFormatting sqref="H1649">
    <cfRule type="cellIs" dxfId="2001" priority="55" operator="equal">
      <formula>""</formula>
    </cfRule>
  </conditionalFormatting>
  <conditionalFormatting sqref="M1666">
    <cfRule type="cellIs" dxfId="2000" priority="54" operator="lessThan">
      <formula>5</formula>
    </cfRule>
  </conditionalFormatting>
  <conditionalFormatting sqref="B1654:M1654">
    <cfRule type="cellIs" dxfId="1999" priority="40" operator="equal">
      <formula>""</formula>
    </cfRule>
  </conditionalFormatting>
  <conditionalFormatting sqref="L1654 B1654 D1654 F1654 H1654 J1654">
    <cfRule type="cellIs" dxfId="1998" priority="41" operator="notEqual">
      <formula>""</formula>
    </cfRule>
  </conditionalFormatting>
  <conditionalFormatting sqref="M1657">
    <cfRule type="cellIs" dxfId="1997" priority="37" operator="equal">
      <formula>""</formula>
    </cfRule>
  </conditionalFormatting>
  <conditionalFormatting sqref="M1660">
    <cfRule type="cellIs" dxfId="1996" priority="34" operator="equal">
      <formula>""</formula>
    </cfRule>
  </conditionalFormatting>
  <conditionalFormatting sqref="M1663">
    <cfRule type="cellIs" dxfId="1995" priority="31" operator="equal">
      <formula>""</formula>
    </cfRule>
  </conditionalFormatting>
  <conditionalFormatting sqref="H1666">
    <cfRule type="cellIs" dxfId="1994" priority="28" operator="equal">
      <formula>""</formula>
    </cfRule>
  </conditionalFormatting>
  <conditionalFormatting sqref="M1683">
    <cfRule type="cellIs" dxfId="1993" priority="27" operator="lessThan">
      <formula>5</formula>
    </cfRule>
  </conditionalFormatting>
  <conditionalFormatting sqref="B1671:M1671">
    <cfRule type="cellIs" dxfId="1992" priority="13" operator="equal">
      <formula>""</formula>
    </cfRule>
  </conditionalFormatting>
  <conditionalFormatting sqref="L1671 B1671 D1671 F1671 H1671 J1671">
    <cfRule type="cellIs" dxfId="1991" priority="14" operator="notEqual">
      <formula>""</formula>
    </cfRule>
  </conditionalFormatting>
  <conditionalFormatting sqref="M1674">
    <cfRule type="cellIs" dxfId="1990" priority="10" operator="equal">
      <formula>""</formula>
    </cfRule>
  </conditionalFormatting>
  <conditionalFormatting sqref="M1677">
    <cfRule type="cellIs" dxfId="1989" priority="7" operator="equal">
      <formula>""</formula>
    </cfRule>
  </conditionalFormatting>
  <conditionalFormatting sqref="M1680">
    <cfRule type="cellIs" dxfId="1988" priority="4" operator="equal">
      <formula>""</formula>
    </cfRule>
  </conditionalFormatting>
  <conditionalFormatting sqref="H1683">
    <cfRule type="cellIs" dxfId="1987" priority="1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88" operator="greaterThanOrEqual" id="{F8F4BFB1-4B7E-444D-8D69-45D1BC67FBC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89" operator="lessThan" id="{A42EB639-7B92-4B21-ADEE-88D15646950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</xm:sqref>
        </x14:conditionalFormatting>
        <x14:conditionalFormatting xmlns:xm="http://schemas.microsoft.com/office/excel/2006/main">
          <x14:cfRule type="cellIs" priority="2690" operator="greaterThanOrEqual" id="{D6168B86-1C48-4AF7-9BE3-3F021C5600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1" operator="lessThan" id="{7120BA93-647F-4C57-A007-16F94A07571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</xm:sqref>
        </x14:conditionalFormatting>
        <x14:conditionalFormatting xmlns:xm="http://schemas.microsoft.com/office/excel/2006/main">
          <x14:cfRule type="cellIs" priority="2692" operator="greaterThanOrEqual" id="{429ADA35-45D9-4CA9-81B5-B2410373401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3" operator="lessThan" id="{CBEA6310-3836-4149-96FA-20F38C46B39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</xm:sqref>
        </x14:conditionalFormatting>
        <x14:conditionalFormatting xmlns:xm="http://schemas.microsoft.com/office/excel/2006/main">
          <x14:cfRule type="cellIs" priority="2694" operator="greaterThanOrEqual" id="{36D2F987-C2B5-4C40-B619-BF282F2F65D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5" operator="lessThan" id="{D71EB046-67AB-48AA-B40E-33C0FBD0FB8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</xm:sqref>
        </x14:conditionalFormatting>
        <x14:conditionalFormatting xmlns:xm="http://schemas.microsoft.com/office/excel/2006/main">
          <x14:cfRule type="cellIs" priority="2696" operator="greaterThanOrEqual" id="{BA465CF5-E8F7-4BCB-A807-8C5409C2CFD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7" operator="lessThan" id="{1F558F10-EBA2-46B8-B1DF-0F394B2984D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</xm:sqref>
        </x14:conditionalFormatting>
        <x14:conditionalFormatting xmlns:xm="http://schemas.microsoft.com/office/excel/2006/main">
          <x14:cfRule type="cellIs" priority="2698" operator="greaterThanOrEqual" id="{618925B7-58EB-4F45-8E12-2D332C0C130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9" operator="lessThan" id="{4B4B2D72-DDB9-4F82-BB9C-FDCB73C4E9E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</xm:sqref>
        </x14:conditionalFormatting>
        <x14:conditionalFormatting xmlns:xm="http://schemas.microsoft.com/office/excel/2006/main">
          <x14:cfRule type="cellIs" priority="2684" operator="lessThan" id="{914620F7-73C1-4E42-B73E-5ADE37F867D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85" operator="greaterThanOrEqual" id="{AFED2CCC-A5CF-4EE9-8D48-6F7F956ED38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</xm:sqref>
        </x14:conditionalFormatting>
        <x14:conditionalFormatting xmlns:xm="http://schemas.microsoft.com/office/excel/2006/main">
          <x14:cfRule type="cellIs" priority="2681" operator="lessThan" id="{8B2C1AC0-98D3-42E1-AD3B-28C8D10FD2D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82" operator="greaterThanOrEqual" id="{6CB16B0D-6965-4133-ADC9-B28C76D1C0D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</xm:sqref>
        </x14:conditionalFormatting>
        <x14:conditionalFormatting xmlns:xm="http://schemas.microsoft.com/office/excel/2006/main">
          <x14:cfRule type="cellIs" priority="2678" operator="lessThan" id="{7A39E404-5F03-4CB1-AF59-C53C225A99F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79" operator="greaterThanOrEqual" id="{45A5A11E-FD58-4583-85B2-D6F366ED676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</xm:sqref>
        </x14:conditionalFormatting>
        <x14:conditionalFormatting xmlns:xm="http://schemas.microsoft.com/office/excel/2006/main">
          <x14:cfRule type="cellIs" priority="2675" operator="lessThan" id="{7637611D-39A5-4CF3-9F40-3A0F5644987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76" operator="greaterThanOrEqual" id="{3B91D4D0-8717-4B41-B3AC-014364B4274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H17</xm:sqref>
        </x14:conditionalFormatting>
        <x14:conditionalFormatting xmlns:xm="http://schemas.microsoft.com/office/excel/2006/main">
          <x14:cfRule type="cellIs" priority="2634" operator="greaterThanOrEqual" id="{114BEBCA-6D36-494D-8028-4AB56E80174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5" operator="lessThan" id="{B085C31B-4417-4380-990B-23DDAF1E1FE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</xm:sqref>
        </x14:conditionalFormatting>
        <x14:conditionalFormatting xmlns:xm="http://schemas.microsoft.com/office/excel/2006/main">
          <x14:cfRule type="cellIs" priority="2636" operator="greaterThanOrEqual" id="{13A6C2F3-14C6-4F40-AC48-3D02D317653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7" operator="lessThan" id="{47573362-2D33-4A8E-9CE3-969B8B7D212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cellIs" priority="2638" operator="greaterThanOrEqual" id="{4126F611-12AB-4CD3-9116-600B443A545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9" operator="lessThan" id="{982C543A-01C1-4943-B7E0-0567AA78B26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G22</xm:sqref>
        </x14:conditionalFormatting>
        <x14:conditionalFormatting xmlns:xm="http://schemas.microsoft.com/office/excel/2006/main">
          <x14:cfRule type="cellIs" priority="2640" operator="greaterThanOrEqual" id="{C5616958-30EA-4597-90A7-B600EBDAC2F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1" operator="lessThan" id="{3CD782CC-56B6-4BC9-8365-0CCB1C43AB7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</xm:sqref>
        </x14:conditionalFormatting>
        <x14:conditionalFormatting xmlns:xm="http://schemas.microsoft.com/office/excel/2006/main">
          <x14:cfRule type="cellIs" priority="2642" operator="greaterThanOrEqual" id="{0D81A7E5-7962-4998-B8D3-813841E8956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3" operator="lessThan" id="{9D2FEE53-D31D-4C39-B8F4-DA5BB6FC0F6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K22</xm:sqref>
        </x14:conditionalFormatting>
        <x14:conditionalFormatting xmlns:xm="http://schemas.microsoft.com/office/excel/2006/main">
          <x14:cfRule type="cellIs" priority="2644" operator="greaterThanOrEqual" id="{4E2F729D-C008-4B79-9103-7F5C57C6ADA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5" operator="lessThan" id="{B33A2FB5-0A64-40E3-BD32-A48BD80B729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</xm:sqref>
        </x14:conditionalFormatting>
        <x14:conditionalFormatting xmlns:xm="http://schemas.microsoft.com/office/excel/2006/main">
          <x14:cfRule type="cellIs" priority="2630" operator="lessThan" id="{C3E897B3-3507-4BA8-879F-D6726893C8D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31" operator="greaterThanOrEqual" id="{F95E8C8C-CB18-4059-8258-699D93A9E72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M25</xm:sqref>
        </x14:conditionalFormatting>
        <x14:conditionalFormatting xmlns:xm="http://schemas.microsoft.com/office/excel/2006/main">
          <x14:cfRule type="cellIs" priority="2627" operator="lessThan" id="{240F80F7-4A1A-4289-95B2-4F13213388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8" operator="greaterThanOrEqual" id="{3B7F23DF-E35C-4631-88FF-08478AA896C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</xm:sqref>
        </x14:conditionalFormatting>
        <x14:conditionalFormatting xmlns:xm="http://schemas.microsoft.com/office/excel/2006/main">
          <x14:cfRule type="cellIs" priority="2624" operator="lessThan" id="{8B9ADF59-E10E-4DAA-AE18-CBA17BDDAB0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5" operator="greaterThanOrEqual" id="{C90ABA87-B9A7-4D0A-BB4E-24767C4565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</xm:sqref>
        </x14:conditionalFormatting>
        <x14:conditionalFormatting xmlns:xm="http://schemas.microsoft.com/office/excel/2006/main">
          <x14:cfRule type="cellIs" priority="2621" operator="lessThan" id="{67CB618B-0652-4925-8317-BF2BEE73800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2" operator="greaterThanOrEqual" id="{A49C164C-3F59-4820-ACC2-FF55EACA7B1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</xm:sqref>
        </x14:conditionalFormatting>
        <x14:conditionalFormatting xmlns:xm="http://schemas.microsoft.com/office/excel/2006/main">
          <x14:cfRule type="cellIs" priority="2607" operator="greaterThanOrEqual" id="{6B8B4F20-DFB6-4FE6-ACEE-D36ED2C4A39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08" operator="lessThan" id="{520E90F0-4E49-4AB8-9C00-12615986A54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cellIs" priority="2609" operator="greaterThanOrEqual" id="{98E507FC-6080-4E9D-A013-F295D6304EC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0" operator="lessThan" id="{B4905536-9DB7-415E-A1B9-84BE05040D7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E39</xm:sqref>
        </x14:conditionalFormatting>
        <x14:conditionalFormatting xmlns:xm="http://schemas.microsoft.com/office/excel/2006/main">
          <x14:cfRule type="cellIs" priority="2611" operator="greaterThanOrEqual" id="{139D80B5-FA90-4202-A85B-44454E32524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2" operator="lessThan" id="{1850F6B4-BA70-464B-9604-19885C66ACA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G39</xm:sqref>
        </x14:conditionalFormatting>
        <x14:conditionalFormatting xmlns:xm="http://schemas.microsoft.com/office/excel/2006/main">
          <x14:cfRule type="cellIs" priority="2613" operator="greaterThanOrEqual" id="{2774668C-3A68-48BF-A23B-6D993AD8BB8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4" operator="lessThan" id="{EBF58A79-2DF7-4E70-AF6F-D059A11DBB6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I39</xm:sqref>
        </x14:conditionalFormatting>
        <x14:conditionalFormatting xmlns:xm="http://schemas.microsoft.com/office/excel/2006/main">
          <x14:cfRule type="cellIs" priority="2615" operator="greaterThanOrEqual" id="{0DFCB9E0-38F3-4AFD-A5BA-F81CF1EE0A6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6" operator="lessThan" id="{C860DFD7-716F-4986-99AD-37E641A2FDA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K39</xm:sqref>
        </x14:conditionalFormatting>
        <x14:conditionalFormatting xmlns:xm="http://schemas.microsoft.com/office/excel/2006/main">
          <x14:cfRule type="cellIs" priority="2617" operator="greaterThanOrEqual" id="{BF340E59-41C9-455A-95F4-D84DF921680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8" operator="lessThan" id="{C6067787-BBC9-4E19-83C2-3D96191D3E0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</xm:sqref>
        </x14:conditionalFormatting>
        <x14:conditionalFormatting xmlns:xm="http://schemas.microsoft.com/office/excel/2006/main">
          <x14:cfRule type="cellIs" priority="2603" operator="lessThan" id="{A2FECC2B-EF74-4DFF-93B9-5E55041E83E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04" operator="greaterThanOrEqual" id="{AA7154B3-F40F-44DD-95A2-72A7F19346C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M42</xm:sqref>
        </x14:conditionalFormatting>
        <x14:conditionalFormatting xmlns:xm="http://schemas.microsoft.com/office/excel/2006/main">
          <x14:cfRule type="cellIs" priority="2600" operator="lessThan" id="{A396708B-A80A-4915-9A7B-AB60E0BAEE3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01" operator="greaterThanOrEqual" id="{D647A805-4D56-4A1A-A419-3DDAFAC722F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</xm:sqref>
        </x14:conditionalFormatting>
        <x14:conditionalFormatting xmlns:xm="http://schemas.microsoft.com/office/excel/2006/main">
          <x14:cfRule type="cellIs" priority="2597" operator="lessThan" id="{0E21FBAC-C217-4BF6-8E2A-02F7659CD8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98" operator="greaterThanOrEqual" id="{4E74A4B1-EBEA-4717-92CF-01DD2B8A510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</xm:sqref>
        </x14:conditionalFormatting>
        <x14:conditionalFormatting xmlns:xm="http://schemas.microsoft.com/office/excel/2006/main">
          <x14:cfRule type="cellIs" priority="2594" operator="lessThan" id="{DA02B883-0A22-4791-B8C4-CB9774E1FC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95" operator="greaterThanOrEqual" id="{84DA40D9-4680-47EC-BB32-2A1999286F7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H51</xm:sqref>
        </x14:conditionalFormatting>
        <x14:conditionalFormatting xmlns:xm="http://schemas.microsoft.com/office/excel/2006/main">
          <x14:cfRule type="cellIs" priority="2580" operator="greaterThanOrEqual" id="{69261637-445E-4315-BBB9-7C101A2C105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1" operator="lessThan" id="{53AA57C5-1C43-40EA-AB36-AA5ECA4EB66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C56</xm:sqref>
        </x14:conditionalFormatting>
        <x14:conditionalFormatting xmlns:xm="http://schemas.microsoft.com/office/excel/2006/main">
          <x14:cfRule type="cellIs" priority="2582" operator="greaterThanOrEqual" id="{71194010-3C19-4BBE-8AB6-245BE1D4DA5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3" operator="lessThan" id="{671345FE-27B6-42FF-AB62-25FCF46851D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E56</xm:sqref>
        </x14:conditionalFormatting>
        <x14:conditionalFormatting xmlns:xm="http://schemas.microsoft.com/office/excel/2006/main">
          <x14:cfRule type="cellIs" priority="2584" operator="greaterThanOrEqual" id="{DAADF6BC-4E48-4167-B58F-6B7AA4A23F8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5" operator="lessThan" id="{E788BD17-0CD7-49DA-AA7A-59FBD30C35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G56</xm:sqref>
        </x14:conditionalFormatting>
        <x14:conditionalFormatting xmlns:xm="http://schemas.microsoft.com/office/excel/2006/main">
          <x14:cfRule type="cellIs" priority="2586" operator="greaterThanOrEqual" id="{3CDC1F44-446B-48BF-8B10-B2B1AF6421A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7" operator="lessThan" id="{FE574AB6-2B84-438A-8A7C-9B14D3146CE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I56</xm:sqref>
        </x14:conditionalFormatting>
        <x14:conditionalFormatting xmlns:xm="http://schemas.microsoft.com/office/excel/2006/main">
          <x14:cfRule type="cellIs" priority="2588" operator="greaterThanOrEqual" id="{A69A84F5-232E-4DC0-9570-38858D16ACB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9" operator="lessThan" id="{E609E43D-0333-449A-8A3F-8546A4DF38D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K56</xm:sqref>
        </x14:conditionalFormatting>
        <x14:conditionalFormatting xmlns:xm="http://schemas.microsoft.com/office/excel/2006/main">
          <x14:cfRule type="cellIs" priority="2590" operator="greaterThanOrEqual" id="{B630A0E1-C58E-40FF-826D-6E403A07440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91" operator="lessThan" id="{3323D050-F307-4904-98F0-E7758AE0B7E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</xm:sqref>
        </x14:conditionalFormatting>
        <x14:conditionalFormatting xmlns:xm="http://schemas.microsoft.com/office/excel/2006/main">
          <x14:cfRule type="cellIs" priority="2576" operator="lessThan" id="{BBD15777-32B1-42CC-9BAD-5008B38F0FE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7" operator="greaterThanOrEqual" id="{1EFDD380-994F-44D0-AF4D-B19962531CE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M59</xm:sqref>
        </x14:conditionalFormatting>
        <x14:conditionalFormatting xmlns:xm="http://schemas.microsoft.com/office/excel/2006/main">
          <x14:cfRule type="cellIs" priority="2573" operator="lessThan" id="{10F8FC47-B86E-4175-835D-1991CFDF608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4" operator="greaterThanOrEqual" id="{D7225A93-586E-4271-9F03-A52BBBCB9A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</xm:sqref>
        </x14:conditionalFormatting>
        <x14:conditionalFormatting xmlns:xm="http://schemas.microsoft.com/office/excel/2006/main">
          <x14:cfRule type="cellIs" priority="2570" operator="lessThan" id="{7DACE9AE-F999-40B3-A76C-822F8F5AA7A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1" operator="greaterThanOrEqual" id="{4178EBDD-2C82-4558-BB16-039BA2BB179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</xm:sqref>
        </x14:conditionalFormatting>
        <x14:conditionalFormatting xmlns:xm="http://schemas.microsoft.com/office/excel/2006/main">
          <x14:cfRule type="cellIs" priority="2567" operator="lessThan" id="{28595AB1-190C-4EA9-9935-468C61FED8F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68" operator="greaterThanOrEqual" id="{C9296A54-B613-4D76-8115-B861D1A621E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H68</xm:sqref>
        </x14:conditionalFormatting>
        <x14:conditionalFormatting xmlns:xm="http://schemas.microsoft.com/office/excel/2006/main">
          <x14:cfRule type="cellIs" priority="2553" operator="greaterThanOrEqual" id="{E51EA85B-179F-4B84-8C4B-64F7091F079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4" operator="lessThan" id="{712C8C1A-482F-4EE0-A8E0-E03028ED880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C73</xm:sqref>
        </x14:conditionalFormatting>
        <x14:conditionalFormatting xmlns:xm="http://schemas.microsoft.com/office/excel/2006/main">
          <x14:cfRule type="cellIs" priority="2555" operator="greaterThanOrEqual" id="{2360694E-FC17-4A50-A5DC-02E8F0E0CCC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6" operator="lessThan" id="{A4A758F7-FBEA-4DA8-B774-23249E9E574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E73</xm:sqref>
        </x14:conditionalFormatting>
        <x14:conditionalFormatting xmlns:xm="http://schemas.microsoft.com/office/excel/2006/main">
          <x14:cfRule type="cellIs" priority="2557" operator="greaterThanOrEqual" id="{7AF8AFBE-82C4-4F55-9138-6BD74A97D11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8" operator="lessThan" id="{41328A29-BD17-4C3F-9153-8F794D00DC4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G73</xm:sqref>
        </x14:conditionalFormatting>
        <x14:conditionalFormatting xmlns:xm="http://schemas.microsoft.com/office/excel/2006/main">
          <x14:cfRule type="cellIs" priority="2559" operator="greaterThanOrEqual" id="{C9206FD0-4CA2-4B1B-AFEA-536D59E745D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0" operator="lessThan" id="{845B1955-3564-4182-8863-C663FC53856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I73</xm:sqref>
        </x14:conditionalFormatting>
        <x14:conditionalFormatting xmlns:xm="http://schemas.microsoft.com/office/excel/2006/main">
          <x14:cfRule type="cellIs" priority="2561" operator="greaterThanOrEqual" id="{08353BFB-78F6-4F73-99EE-80B28918BD2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2" operator="lessThan" id="{FBAA3287-E970-4047-9DF9-E9682C68800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K73</xm:sqref>
        </x14:conditionalFormatting>
        <x14:conditionalFormatting xmlns:xm="http://schemas.microsoft.com/office/excel/2006/main">
          <x14:cfRule type="cellIs" priority="2563" operator="greaterThanOrEqual" id="{FA3C4BE2-89FB-4112-A08D-34C768BCE13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4" operator="lessThan" id="{F1291A64-08AD-4EDD-9EB0-1C5AF38D240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</xm:sqref>
        </x14:conditionalFormatting>
        <x14:conditionalFormatting xmlns:xm="http://schemas.microsoft.com/office/excel/2006/main">
          <x14:cfRule type="cellIs" priority="2549" operator="lessThan" id="{F2B95CB5-3A22-4726-A664-4330987C004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50" operator="greaterThanOrEqual" id="{4CBEF9F5-FFC5-4C0F-BFFD-3170EEE7A6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M76</xm:sqref>
        </x14:conditionalFormatting>
        <x14:conditionalFormatting xmlns:xm="http://schemas.microsoft.com/office/excel/2006/main">
          <x14:cfRule type="cellIs" priority="2546" operator="lessThan" id="{D36CA728-3E77-4AC2-BBFB-ED1B9269CF8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7" operator="greaterThanOrEqual" id="{AD511340-3E58-4CB8-9AA1-73DC1A0F1B5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</xm:sqref>
        </x14:conditionalFormatting>
        <x14:conditionalFormatting xmlns:xm="http://schemas.microsoft.com/office/excel/2006/main">
          <x14:cfRule type="cellIs" priority="2543" operator="lessThan" id="{C7C22860-9C1E-40A1-B0FE-4069AE58835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4" operator="greaterThanOrEqual" id="{E6857CFA-3B78-4182-A97B-D5203362AAD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</xm:sqref>
        </x14:conditionalFormatting>
        <x14:conditionalFormatting xmlns:xm="http://schemas.microsoft.com/office/excel/2006/main">
          <x14:cfRule type="cellIs" priority="2540" operator="lessThan" id="{719CC1B9-F684-4802-9B71-58615A669F2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1" operator="greaterThanOrEqual" id="{F0830EEC-286F-43F7-A3BD-39B1F424560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H85</xm:sqref>
        </x14:conditionalFormatting>
        <x14:conditionalFormatting xmlns:xm="http://schemas.microsoft.com/office/excel/2006/main">
          <x14:cfRule type="cellIs" priority="2526" operator="greaterThanOrEqual" id="{3983F0AE-357E-46E3-B0F5-F08B35239C9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27" operator="lessThan" id="{2AD9BD4C-55D0-4EC3-8950-62382631A24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C90</xm:sqref>
        </x14:conditionalFormatting>
        <x14:conditionalFormatting xmlns:xm="http://schemas.microsoft.com/office/excel/2006/main">
          <x14:cfRule type="cellIs" priority="2528" operator="greaterThanOrEqual" id="{F1B362F7-BD0A-4773-B571-41596C643B6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29" operator="lessThan" id="{3DD482E4-CB7B-44B6-987A-0F0B7F357C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E90</xm:sqref>
        </x14:conditionalFormatting>
        <x14:conditionalFormatting xmlns:xm="http://schemas.microsoft.com/office/excel/2006/main">
          <x14:cfRule type="cellIs" priority="2530" operator="greaterThanOrEqual" id="{5BFF61B5-A14A-4AF9-9859-4BDE1CBFD59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1" operator="lessThan" id="{72EF1517-33C2-46BD-BF78-82A9B9D8BA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G90</xm:sqref>
        </x14:conditionalFormatting>
        <x14:conditionalFormatting xmlns:xm="http://schemas.microsoft.com/office/excel/2006/main">
          <x14:cfRule type="cellIs" priority="2532" operator="greaterThanOrEqual" id="{F85A8DA1-C1BE-4DCB-AFEC-C3160E2E2DC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3" operator="lessThan" id="{34FA38CC-6C16-49C3-9540-2657E79217F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I90</xm:sqref>
        </x14:conditionalFormatting>
        <x14:conditionalFormatting xmlns:xm="http://schemas.microsoft.com/office/excel/2006/main">
          <x14:cfRule type="cellIs" priority="2534" operator="greaterThanOrEqual" id="{1E4B0FFA-94F0-4C20-B8D6-229DAC6430D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5" operator="lessThan" id="{37CD85C3-FD35-4F74-A53A-7FFD5FF141EA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K90</xm:sqref>
        </x14:conditionalFormatting>
        <x14:conditionalFormatting xmlns:xm="http://schemas.microsoft.com/office/excel/2006/main">
          <x14:cfRule type="cellIs" priority="2536" operator="greaterThanOrEqual" id="{2F6DE0D1-C8A8-47B8-98F6-CCF64EF7088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7" operator="lessThan" id="{5FDB19A2-F463-46A9-A95F-E60998EB468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</xm:sqref>
        </x14:conditionalFormatting>
        <x14:conditionalFormatting xmlns:xm="http://schemas.microsoft.com/office/excel/2006/main">
          <x14:cfRule type="cellIs" priority="2522" operator="lessThan" id="{EB1B72BF-DA1D-41FC-B413-136D16EBA6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3" operator="greaterThanOrEqual" id="{73DBA607-FAA3-413E-85A8-8F44B49F30A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M93</xm:sqref>
        </x14:conditionalFormatting>
        <x14:conditionalFormatting xmlns:xm="http://schemas.microsoft.com/office/excel/2006/main">
          <x14:cfRule type="cellIs" priority="2519" operator="lessThan" id="{C5657611-AEA7-4BEE-9209-65A1B730BAD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0" operator="greaterThanOrEqual" id="{4B178EB1-0ED5-4B7E-83BE-29DAC827549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</xm:sqref>
        </x14:conditionalFormatting>
        <x14:conditionalFormatting xmlns:xm="http://schemas.microsoft.com/office/excel/2006/main">
          <x14:cfRule type="cellIs" priority="2516" operator="lessThan" id="{693B19C6-A0DC-4026-9676-F63D2E0E6D2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17" operator="greaterThanOrEqual" id="{A5AA3BE2-2A8D-4EEA-8E41-7A570509C64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</xm:sqref>
        </x14:conditionalFormatting>
        <x14:conditionalFormatting xmlns:xm="http://schemas.microsoft.com/office/excel/2006/main">
          <x14:cfRule type="cellIs" priority="2513" operator="lessThan" id="{8C477B1A-3104-4A8C-B63F-6AA6B236F06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14" operator="greaterThanOrEqual" id="{0B5A4352-89C2-4425-9078-8D1BCF9252A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H102</xm:sqref>
        </x14:conditionalFormatting>
        <x14:conditionalFormatting xmlns:xm="http://schemas.microsoft.com/office/excel/2006/main">
          <x14:cfRule type="cellIs" priority="2499" operator="greaterThanOrEqual" id="{B7BFC586-3F23-4A9B-B8BA-1B46CC233DC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0" operator="lessThan" id="{FF1D3042-2AF7-47A2-BA78-13C95C42524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C107</xm:sqref>
        </x14:conditionalFormatting>
        <x14:conditionalFormatting xmlns:xm="http://schemas.microsoft.com/office/excel/2006/main">
          <x14:cfRule type="cellIs" priority="2501" operator="greaterThanOrEqual" id="{CE85BB68-CF0C-4862-A3E0-310AB5E0F45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2" operator="lessThan" id="{804578D3-F0E6-411B-AA6A-B27E9D0D187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E107</xm:sqref>
        </x14:conditionalFormatting>
        <x14:conditionalFormatting xmlns:xm="http://schemas.microsoft.com/office/excel/2006/main">
          <x14:cfRule type="cellIs" priority="2503" operator="greaterThanOrEqual" id="{F2052D96-AE13-455E-A7B7-7A166755B08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4" operator="lessThan" id="{3E8D5767-4EA2-407F-A28A-BE72D191076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G107</xm:sqref>
        </x14:conditionalFormatting>
        <x14:conditionalFormatting xmlns:xm="http://schemas.microsoft.com/office/excel/2006/main">
          <x14:cfRule type="cellIs" priority="2505" operator="greaterThanOrEqual" id="{4209C43B-9BA1-4DD3-BEA1-9C5ED02A016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6" operator="lessThan" id="{99B38A49-BA48-417F-ACB1-FB3C7FCF1C2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I107</xm:sqref>
        </x14:conditionalFormatting>
        <x14:conditionalFormatting xmlns:xm="http://schemas.microsoft.com/office/excel/2006/main">
          <x14:cfRule type="cellIs" priority="2507" operator="greaterThanOrEqual" id="{E5F19937-22C8-477A-ADB6-7319D318FAB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8" operator="lessThan" id="{F30C65FE-ABFF-4F37-80D4-E3298E310EF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K107</xm:sqref>
        </x14:conditionalFormatting>
        <x14:conditionalFormatting xmlns:xm="http://schemas.microsoft.com/office/excel/2006/main">
          <x14:cfRule type="cellIs" priority="2509" operator="greaterThanOrEqual" id="{5C58050C-2A61-4BE8-B357-666E4808A79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10" operator="lessThan" id="{03CCEC48-578E-4444-B4D8-9532BCFE854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</xm:sqref>
        </x14:conditionalFormatting>
        <x14:conditionalFormatting xmlns:xm="http://schemas.microsoft.com/office/excel/2006/main">
          <x14:cfRule type="cellIs" priority="2495" operator="lessThan" id="{9F9E29E4-ABC5-45B8-B35E-E7953C83E83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6" operator="greaterThanOrEqual" id="{923DBB07-2B61-4BF4-93BC-D29E6C356CD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M110</xm:sqref>
        </x14:conditionalFormatting>
        <x14:conditionalFormatting xmlns:xm="http://schemas.microsoft.com/office/excel/2006/main">
          <x14:cfRule type="cellIs" priority="2492" operator="lessThan" id="{E8BCEA1B-C7F6-410E-9E53-4D5AF4D5235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3" operator="greaterThanOrEqual" id="{9916F618-55F4-48FF-A256-D38E8B8AB50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</xm:sqref>
        </x14:conditionalFormatting>
        <x14:conditionalFormatting xmlns:xm="http://schemas.microsoft.com/office/excel/2006/main">
          <x14:cfRule type="cellIs" priority="2489" operator="lessThan" id="{00B70EFE-0961-4864-AA78-6258E765300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0" operator="greaterThanOrEqual" id="{3B289A02-16B7-458F-A512-420911B0A4B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</xm:sqref>
        </x14:conditionalFormatting>
        <x14:conditionalFormatting xmlns:xm="http://schemas.microsoft.com/office/excel/2006/main">
          <x14:cfRule type="cellIs" priority="2486" operator="lessThan" id="{F0052666-2E57-4456-B147-9375482A6D9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87" operator="greaterThanOrEqual" id="{9419C5D6-B8A1-48EA-9A32-DA9AC650C74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H119</xm:sqref>
        </x14:conditionalFormatting>
        <x14:conditionalFormatting xmlns:xm="http://schemas.microsoft.com/office/excel/2006/main">
          <x14:cfRule type="cellIs" priority="2472" operator="greaterThanOrEqual" id="{9D89D039-A0C8-4D63-BF44-3CB30259AE9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3" operator="lessThan" id="{D9F6747A-4CF0-4ADC-8123-99FF957B42B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C124</xm:sqref>
        </x14:conditionalFormatting>
        <x14:conditionalFormatting xmlns:xm="http://schemas.microsoft.com/office/excel/2006/main">
          <x14:cfRule type="cellIs" priority="2474" operator="greaterThanOrEqual" id="{E2CE6A43-FC2B-413C-A1FB-83066110D27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5" operator="lessThan" id="{4D2763F8-9301-42F8-8D54-49FACD6F061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E124</xm:sqref>
        </x14:conditionalFormatting>
        <x14:conditionalFormatting xmlns:xm="http://schemas.microsoft.com/office/excel/2006/main">
          <x14:cfRule type="cellIs" priority="2476" operator="greaterThanOrEqual" id="{D4D47A55-9B12-45F6-A1D2-7574520963D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7" operator="lessThan" id="{F5A0AD30-80C5-4CD6-87CB-995E3D7DD88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G124</xm:sqref>
        </x14:conditionalFormatting>
        <x14:conditionalFormatting xmlns:xm="http://schemas.microsoft.com/office/excel/2006/main">
          <x14:cfRule type="cellIs" priority="2478" operator="greaterThanOrEqual" id="{B1DEFCCA-27DA-4497-9DE2-92FE597C47F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9" operator="lessThan" id="{203AF378-8B74-4EA6-B111-40A84E693D4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I124</xm:sqref>
        </x14:conditionalFormatting>
        <x14:conditionalFormatting xmlns:xm="http://schemas.microsoft.com/office/excel/2006/main">
          <x14:cfRule type="cellIs" priority="2480" operator="greaterThanOrEqual" id="{3F47F24E-9FD6-4D0F-877E-6B822E6CFC5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81" operator="lessThan" id="{B263D90A-6A1E-4A44-ACDF-9E48D4A5CAA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K124</xm:sqref>
        </x14:conditionalFormatting>
        <x14:conditionalFormatting xmlns:xm="http://schemas.microsoft.com/office/excel/2006/main">
          <x14:cfRule type="cellIs" priority="2482" operator="greaterThanOrEqual" id="{6FCFF0FB-80B2-488C-83C9-F28B30ABBB1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83" operator="lessThan" id="{7A3E725A-8206-49F5-ADA2-810699AAE8A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</xm:sqref>
        </x14:conditionalFormatting>
        <x14:conditionalFormatting xmlns:xm="http://schemas.microsoft.com/office/excel/2006/main">
          <x14:cfRule type="cellIs" priority="2468" operator="lessThan" id="{FA760E60-B6AB-40A9-9226-C2F64B8143D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9" operator="greaterThanOrEqual" id="{D0A9ED93-2764-4431-9E98-6A18FD91176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M127</xm:sqref>
        </x14:conditionalFormatting>
        <x14:conditionalFormatting xmlns:xm="http://schemas.microsoft.com/office/excel/2006/main">
          <x14:cfRule type="cellIs" priority="2465" operator="lessThan" id="{903EA7B1-144E-46E7-AA7C-8EDAB0B11B0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6" operator="greaterThanOrEqual" id="{5EE94F64-429F-4444-AD77-0F39DFA56C0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</xm:sqref>
        </x14:conditionalFormatting>
        <x14:conditionalFormatting xmlns:xm="http://schemas.microsoft.com/office/excel/2006/main">
          <x14:cfRule type="cellIs" priority="2462" operator="lessThan" id="{4CFC4D27-CFB6-4A30-8F9F-A55D79DEB5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3" operator="greaterThanOrEqual" id="{7948EC11-3143-469A-8FAF-78384457C58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</xm:sqref>
        </x14:conditionalFormatting>
        <x14:conditionalFormatting xmlns:xm="http://schemas.microsoft.com/office/excel/2006/main">
          <x14:cfRule type="cellIs" priority="2459" operator="lessThan" id="{50B10298-7FBE-402F-B830-7E68B0D9D12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0" operator="greaterThanOrEqual" id="{8ECAE55A-C061-474B-82D0-34BC692F869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H136</xm:sqref>
        </x14:conditionalFormatting>
        <x14:conditionalFormatting xmlns:xm="http://schemas.microsoft.com/office/excel/2006/main">
          <x14:cfRule type="cellIs" priority="2445" operator="greaterThanOrEqual" id="{0E016235-CB70-40B5-9999-779860D1114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46" operator="lessThan" id="{59C108E2-8753-4A4C-BECD-E62F6465122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C141</xm:sqref>
        </x14:conditionalFormatting>
        <x14:conditionalFormatting xmlns:xm="http://schemas.microsoft.com/office/excel/2006/main">
          <x14:cfRule type="cellIs" priority="2447" operator="greaterThanOrEqual" id="{C79583E6-B04E-4CF2-9D9B-53B79C0875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48" operator="lessThan" id="{C72884C4-C68E-49BE-84AD-EA81079013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E141</xm:sqref>
        </x14:conditionalFormatting>
        <x14:conditionalFormatting xmlns:xm="http://schemas.microsoft.com/office/excel/2006/main">
          <x14:cfRule type="cellIs" priority="2449" operator="greaterThanOrEqual" id="{31EB0ACE-D1C4-4541-966C-31085D1EBAF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0" operator="lessThan" id="{1853786C-24FD-43F9-B3B1-1E4EE5F8C20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G141</xm:sqref>
        </x14:conditionalFormatting>
        <x14:conditionalFormatting xmlns:xm="http://schemas.microsoft.com/office/excel/2006/main">
          <x14:cfRule type="cellIs" priority="2451" operator="greaterThanOrEqual" id="{B92691CE-752F-4286-A2A3-6CFAF103C8D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2" operator="lessThan" id="{9ABB1D41-B522-4A83-921C-3D3E107440E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I141</xm:sqref>
        </x14:conditionalFormatting>
        <x14:conditionalFormatting xmlns:xm="http://schemas.microsoft.com/office/excel/2006/main">
          <x14:cfRule type="cellIs" priority="2453" operator="greaterThanOrEqual" id="{C16EF317-8C0C-4452-81EC-90CBF1730EA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4" operator="lessThan" id="{B34CD9B9-5A71-4291-9D1E-425A7071E75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K141</xm:sqref>
        </x14:conditionalFormatting>
        <x14:conditionalFormatting xmlns:xm="http://schemas.microsoft.com/office/excel/2006/main">
          <x14:cfRule type="cellIs" priority="2455" operator="greaterThanOrEqual" id="{ED108AEE-CBD4-4DBA-8EDF-FE4CC7D3C6F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6" operator="lessThan" id="{2AD789FC-77ED-44EA-ABAD-3E32E122E70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</xm:sqref>
        </x14:conditionalFormatting>
        <x14:conditionalFormatting xmlns:xm="http://schemas.microsoft.com/office/excel/2006/main">
          <x14:cfRule type="cellIs" priority="2441" operator="lessThan" id="{3954E3CD-B7B7-4D5C-96D2-9E63D0877BC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42" operator="greaterThanOrEqual" id="{94127001-CA6D-4A85-A765-1C060A8D96E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M144</xm:sqref>
        </x14:conditionalFormatting>
        <x14:conditionalFormatting xmlns:xm="http://schemas.microsoft.com/office/excel/2006/main">
          <x14:cfRule type="cellIs" priority="2438" operator="lessThan" id="{EB0EFC9C-CCCB-433D-8997-ED23AE41827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9" operator="greaterThanOrEqual" id="{86BC0BC2-73EB-4179-8AAD-ADECC041133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</xm:sqref>
        </x14:conditionalFormatting>
        <x14:conditionalFormatting xmlns:xm="http://schemas.microsoft.com/office/excel/2006/main">
          <x14:cfRule type="cellIs" priority="2435" operator="lessThan" id="{C29F42CA-F0B0-4426-8F7A-4CC9CDC57E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6" operator="greaterThanOrEqual" id="{02199E6C-EA1A-48DD-9450-16E0A5C55CB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</xm:sqref>
        </x14:conditionalFormatting>
        <x14:conditionalFormatting xmlns:xm="http://schemas.microsoft.com/office/excel/2006/main">
          <x14:cfRule type="cellIs" priority="2432" operator="lessThan" id="{0778B158-C098-4A37-9EC1-D023D1BCC60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3" operator="greaterThanOrEqual" id="{4140A9F5-9AE9-4FEC-9437-E76E0D89DEF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H153</xm:sqref>
        </x14:conditionalFormatting>
        <x14:conditionalFormatting xmlns:xm="http://schemas.microsoft.com/office/excel/2006/main">
          <x14:cfRule type="cellIs" priority="2418" operator="greaterThanOrEqual" id="{1572C0EE-C441-4C10-A3D0-E7CF50D3776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19" operator="lessThan" id="{ED6D4854-F139-4346-8846-9145B79EE8F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C158</xm:sqref>
        </x14:conditionalFormatting>
        <x14:conditionalFormatting xmlns:xm="http://schemas.microsoft.com/office/excel/2006/main">
          <x14:cfRule type="cellIs" priority="2420" operator="greaterThanOrEqual" id="{627236EB-4222-4DC4-9256-EFEF42AF21F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1" operator="lessThan" id="{90A63A8D-2EA7-4CF1-AD6B-24E253F128B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E158</xm:sqref>
        </x14:conditionalFormatting>
        <x14:conditionalFormatting xmlns:xm="http://schemas.microsoft.com/office/excel/2006/main">
          <x14:cfRule type="cellIs" priority="2422" operator="greaterThanOrEqual" id="{BD09EACA-9B21-48D8-98DD-E6ED160D263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3" operator="lessThan" id="{87F9FEEA-3951-4F9A-9846-E8A39070A4D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G158</xm:sqref>
        </x14:conditionalFormatting>
        <x14:conditionalFormatting xmlns:xm="http://schemas.microsoft.com/office/excel/2006/main">
          <x14:cfRule type="cellIs" priority="2424" operator="greaterThanOrEqual" id="{B0B1E899-C608-4FD5-844C-CF354ED526B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5" operator="lessThan" id="{72BBFB27-BF7C-4B92-B4DB-71975DB35C1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I158</xm:sqref>
        </x14:conditionalFormatting>
        <x14:conditionalFormatting xmlns:xm="http://schemas.microsoft.com/office/excel/2006/main">
          <x14:cfRule type="cellIs" priority="2426" operator="greaterThanOrEqual" id="{E6F0C5D3-BFEA-4F13-B85E-91A97E6FDBE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7" operator="lessThan" id="{3347D9C2-84E6-4798-8384-D59DB8FAE8B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K158</xm:sqref>
        </x14:conditionalFormatting>
        <x14:conditionalFormatting xmlns:xm="http://schemas.microsoft.com/office/excel/2006/main">
          <x14:cfRule type="cellIs" priority="2428" operator="greaterThanOrEqual" id="{064EFE7C-5F74-4BDC-9A68-171ABDDB432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9" operator="lessThan" id="{45FB3870-DC62-44F3-A5EC-D43F59AA8D9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</xm:sqref>
        </x14:conditionalFormatting>
        <x14:conditionalFormatting xmlns:xm="http://schemas.microsoft.com/office/excel/2006/main">
          <x14:cfRule type="cellIs" priority="2414" operator="lessThan" id="{6D462A37-A200-43B6-AECF-C8D18948A04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15" operator="greaterThanOrEqual" id="{E709C49B-3FE3-4388-9CE7-82DBA6A5254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M161</xm:sqref>
        </x14:conditionalFormatting>
        <x14:conditionalFormatting xmlns:xm="http://schemas.microsoft.com/office/excel/2006/main">
          <x14:cfRule type="cellIs" priority="2411" operator="lessThan" id="{1262F5AC-A750-436B-A9CF-125EDD77CF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12" operator="greaterThanOrEqual" id="{BC7CF426-E9B3-4412-838D-ECB562393AA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</xm:sqref>
        </x14:conditionalFormatting>
        <x14:conditionalFormatting xmlns:xm="http://schemas.microsoft.com/office/excel/2006/main">
          <x14:cfRule type="cellIs" priority="2408" operator="lessThan" id="{9B727A91-ADA4-41B2-BC01-F00B06AD39A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09" operator="greaterThanOrEqual" id="{2627F182-F3FD-4B5A-BB4E-695E42C484F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</xm:sqref>
        </x14:conditionalFormatting>
        <x14:conditionalFormatting xmlns:xm="http://schemas.microsoft.com/office/excel/2006/main">
          <x14:cfRule type="cellIs" priority="2405" operator="lessThan" id="{AB57BB32-1ABE-41AF-B252-F2933B7CAFA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06" operator="greaterThanOrEqual" id="{B03EB7F4-47EB-40DA-8EAA-D1141B1D954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H170</xm:sqref>
        </x14:conditionalFormatting>
        <x14:conditionalFormatting xmlns:xm="http://schemas.microsoft.com/office/excel/2006/main">
          <x14:cfRule type="cellIs" priority="2391" operator="greaterThanOrEqual" id="{C788ED14-C871-4D97-8946-10504081456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2" operator="lessThan" id="{AA4033DC-C4C2-483E-B5C9-146089DA8A9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C175</xm:sqref>
        </x14:conditionalFormatting>
        <x14:conditionalFormatting xmlns:xm="http://schemas.microsoft.com/office/excel/2006/main">
          <x14:cfRule type="cellIs" priority="2393" operator="greaterThanOrEqual" id="{2D2B493C-DE6D-4DAE-8546-3E3A63A26BD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4" operator="lessThan" id="{3C8300A2-E89A-432D-97DB-6D98F60CE4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E175</xm:sqref>
        </x14:conditionalFormatting>
        <x14:conditionalFormatting xmlns:xm="http://schemas.microsoft.com/office/excel/2006/main">
          <x14:cfRule type="cellIs" priority="2395" operator="greaterThanOrEqual" id="{8D4E86AA-9F5C-40B9-BC67-124FE186F29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6" operator="lessThan" id="{AFAB8C8E-BAFB-4E3F-9677-38DAC251375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G175</xm:sqref>
        </x14:conditionalFormatting>
        <x14:conditionalFormatting xmlns:xm="http://schemas.microsoft.com/office/excel/2006/main">
          <x14:cfRule type="cellIs" priority="2397" operator="greaterThanOrEqual" id="{A690BC8A-B5DF-4EFA-97DA-DAE5582A3B5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8" operator="lessThan" id="{600DDE95-E144-4051-B2AD-1891C7D001E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I175</xm:sqref>
        </x14:conditionalFormatting>
        <x14:conditionalFormatting xmlns:xm="http://schemas.microsoft.com/office/excel/2006/main">
          <x14:cfRule type="cellIs" priority="2399" operator="greaterThanOrEqual" id="{4C88AABB-31F5-4F0F-8FDD-332904B5EEF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0" operator="lessThan" id="{7CBDE309-DA06-445A-91C2-4C879A363F0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K175</xm:sqref>
        </x14:conditionalFormatting>
        <x14:conditionalFormatting xmlns:xm="http://schemas.microsoft.com/office/excel/2006/main">
          <x14:cfRule type="cellIs" priority="2401" operator="greaterThanOrEqual" id="{C4AFB328-BBF4-4828-A5D9-993C7885250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2" operator="lessThan" id="{FE27FCF1-9BCA-4E62-A402-6B906CFA3AC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M175</xm:sqref>
        </x14:conditionalFormatting>
        <x14:conditionalFormatting xmlns:xm="http://schemas.microsoft.com/office/excel/2006/main">
          <x14:cfRule type="cellIs" priority="2387" operator="lessThan" id="{C702A7C7-CE04-4004-B927-0AC35A64B26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8" operator="greaterThanOrEqual" id="{8D00A24D-2009-4B76-A50B-542135F658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M178</xm:sqref>
        </x14:conditionalFormatting>
        <x14:conditionalFormatting xmlns:xm="http://schemas.microsoft.com/office/excel/2006/main">
          <x14:cfRule type="cellIs" priority="2384" operator="lessThan" id="{222F2ABC-03EE-45DF-9547-F6D191C0E89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5" operator="greaterThanOrEqual" id="{B4DD4A30-3F0B-4E02-9058-DC4A763A776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M181</xm:sqref>
        </x14:conditionalFormatting>
        <x14:conditionalFormatting xmlns:xm="http://schemas.microsoft.com/office/excel/2006/main">
          <x14:cfRule type="cellIs" priority="2381" operator="lessThan" id="{74C78A94-1EBC-425B-BD6E-0263A6AC08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2" operator="greaterThanOrEqual" id="{4335982E-C55D-44C6-9580-ED14314A356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M184</xm:sqref>
        </x14:conditionalFormatting>
        <x14:conditionalFormatting xmlns:xm="http://schemas.microsoft.com/office/excel/2006/main">
          <x14:cfRule type="cellIs" priority="2378" operator="lessThan" id="{0B79502F-F55F-4E97-9C2F-E32C0944129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79" operator="greaterThanOrEqual" id="{3EC73F22-22E6-45E9-AE87-50D3FA09E46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H187</xm:sqref>
        </x14:conditionalFormatting>
        <x14:conditionalFormatting xmlns:xm="http://schemas.microsoft.com/office/excel/2006/main">
          <x14:cfRule type="cellIs" priority="2364" operator="greaterThanOrEqual" id="{4CC73B1F-2EB9-4B5B-8D8D-0C46DB3C9F7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5" operator="lessThan" id="{A8FAA6F7-5AD4-4952-8192-7E43F276936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C192</xm:sqref>
        </x14:conditionalFormatting>
        <x14:conditionalFormatting xmlns:xm="http://schemas.microsoft.com/office/excel/2006/main">
          <x14:cfRule type="cellIs" priority="2366" operator="greaterThanOrEqual" id="{E0CF32C8-7837-4B42-A417-FCA6DC74072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7" operator="lessThan" id="{A606D125-624F-486C-8D28-16E080B04C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E192</xm:sqref>
        </x14:conditionalFormatting>
        <x14:conditionalFormatting xmlns:xm="http://schemas.microsoft.com/office/excel/2006/main">
          <x14:cfRule type="cellIs" priority="2368" operator="greaterThanOrEqual" id="{B5C7BAC7-0965-42D1-860B-5E5EC279D8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9" operator="lessThan" id="{DE795389-BC1F-4FC0-B1D1-3B241BF6E5B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G192</xm:sqref>
        </x14:conditionalFormatting>
        <x14:conditionalFormatting xmlns:xm="http://schemas.microsoft.com/office/excel/2006/main">
          <x14:cfRule type="cellIs" priority="2370" operator="greaterThanOrEqual" id="{1E37E912-9827-4EA0-A6A2-C4D4B8156F7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1" operator="lessThan" id="{39A7EB38-E20A-4B85-9B90-92881640203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I192</xm:sqref>
        </x14:conditionalFormatting>
        <x14:conditionalFormatting xmlns:xm="http://schemas.microsoft.com/office/excel/2006/main">
          <x14:cfRule type="cellIs" priority="2372" operator="greaterThanOrEqual" id="{CC259CFE-A844-4528-A2F4-6E3FE2CE3D9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3" operator="lessThan" id="{70ECBD28-9926-42C7-8C1A-21B2F3C6C3B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K192</xm:sqref>
        </x14:conditionalFormatting>
        <x14:conditionalFormatting xmlns:xm="http://schemas.microsoft.com/office/excel/2006/main">
          <x14:cfRule type="cellIs" priority="2374" operator="greaterThanOrEqual" id="{212AB0A1-8C05-4F7D-BC36-EFDADEA39F8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5" operator="lessThan" id="{21FF9460-4256-4044-884E-8C766BECF73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M192</xm:sqref>
        </x14:conditionalFormatting>
        <x14:conditionalFormatting xmlns:xm="http://schemas.microsoft.com/office/excel/2006/main">
          <x14:cfRule type="cellIs" priority="2360" operator="lessThan" id="{6511D2AC-56CA-4F28-ADFF-1F23E1E601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61" operator="greaterThanOrEqual" id="{8E42D941-4353-4029-9637-9154E9E168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M195</xm:sqref>
        </x14:conditionalFormatting>
        <x14:conditionalFormatting xmlns:xm="http://schemas.microsoft.com/office/excel/2006/main">
          <x14:cfRule type="cellIs" priority="2357" operator="lessThan" id="{EDBC796E-DE2B-4CE1-BF7B-B0ABBB0BC0B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8" operator="greaterThanOrEqual" id="{B534977C-D4AB-4291-8ED7-5A2845E34E1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M198</xm:sqref>
        </x14:conditionalFormatting>
        <x14:conditionalFormatting xmlns:xm="http://schemas.microsoft.com/office/excel/2006/main">
          <x14:cfRule type="cellIs" priority="2354" operator="lessThan" id="{7A5694B2-D59E-4C0A-96FF-26303DE2B4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5" operator="greaterThanOrEqual" id="{BCA53794-9E11-426B-928E-551440BAE7B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M201</xm:sqref>
        </x14:conditionalFormatting>
        <x14:conditionalFormatting xmlns:xm="http://schemas.microsoft.com/office/excel/2006/main">
          <x14:cfRule type="cellIs" priority="2351" operator="lessThan" id="{9B84F080-1F9C-4AB5-BDA0-D73505DF424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2" operator="greaterThanOrEqual" id="{399FC3C3-02EB-4D3B-9371-FA3EC012EEB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H204</xm:sqref>
        </x14:conditionalFormatting>
        <x14:conditionalFormatting xmlns:xm="http://schemas.microsoft.com/office/excel/2006/main">
          <x14:cfRule type="cellIs" priority="2337" operator="greaterThanOrEqual" id="{669EB80F-D7D6-4FA1-91D6-9AA6F792451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38" operator="lessThan" id="{EF1428D2-7673-451B-8794-738B17270FD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C209</xm:sqref>
        </x14:conditionalFormatting>
        <x14:conditionalFormatting xmlns:xm="http://schemas.microsoft.com/office/excel/2006/main">
          <x14:cfRule type="cellIs" priority="2339" operator="greaterThanOrEqual" id="{522CA59F-6DE2-4527-893E-73056E7B9E1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0" operator="lessThan" id="{9A6C5872-72C5-4B0E-A746-1F846F38453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E209</xm:sqref>
        </x14:conditionalFormatting>
        <x14:conditionalFormatting xmlns:xm="http://schemas.microsoft.com/office/excel/2006/main">
          <x14:cfRule type="cellIs" priority="2341" operator="greaterThanOrEqual" id="{F0A56C77-ECE9-48EE-81D3-77910D7E30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2" operator="lessThan" id="{256DCA89-C211-4BD7-895A-41706CC41BB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G209</xm:sqref>
        </x14:conditionalFormatting>
        <x14:conditionalFormatting xmlns:xm="http://schemas.microsoft.com/office/excel/2006/main">
          <x14:cfRule type="cellIs" priority="2343" operator="greaterThanOrEqual" id="{9EBDBA79-6F01-4D38-940C-4C1B31FD524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4" operator="lessThan" id="{DCE39D97-84C9-4B7C-97D0-C6B28D4D823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I209</xm:sqref>
        </x14:conditionalFormatting>
        <x14:conditionalFormatting xmlns:xm="http://schemas.microsoft.com/office/excel/2006/main">
          <x14:cfRule type="cellIs" priority="2345" operator="greaterThanOrEqual" id="{EE142880-EBA8-49BC-A862-A807F573E36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6" operator="lessThan" id="{B107AB9B-3F0D-4F0B-B0BD-CB49C314CDA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K209</xm:sqref>
        </x14:conditionalFormatting>
        <x14:conditionalFormatting xmlns:xm="http://schemas.microsoft.com/office/excel/2006/main">
          <x14:cfRule type="cellIs" priority="2347" operator="greaterThanOrEqual" id="{BF245081-FE23-4D22-ADE7-E8EFD3D43C0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8" operator="lessThan" id="{DBBB6C1D-6AEC-41A7-B107-B0484752F05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M209</xm:sqref>
        </x14:conditionalFormatting>
        <x14:conditionalFormatting xmlns:xm="http://schemas.microsoft.com/office/excel/2006/main">
          <x14:cfRule type="cellIs" priority="2333" operator="lessThan" id="{FB59A159-70DE-434D-A18D-DB15217081C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34" operator="greaterThanOrEqual" id="{46F347A8-F604-4A75-91CE-7378DD9062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M212</xm:sqref>
        </x14:conditionalFormatting>
        <x14:conditionalFormatting xmlns:xm="http://schemas.microsoft.com/office/excel/2006/main">
          <x14:cfRule type="cellIs" priority="2330" operator="lessThan" id="{9ACD226B-BF44-466A-B31D-8C2C840051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31" operator="greaterThanOrEqual" id="{9885BDB4-448B-419F-B2A0-EA7EEA7655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M215</xm:sqref>
        </x14:conditionalFormatting>
        <x14:conditionalFormatting xmlns:xm="http://schemas.microsoft.com/office/excel/2006/main">
          <x14:cfRule type="cellIs" priority="2327" operator="lessThan" id="{6AF20C52-9CBD-477A-A839-D430EAAC77B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28" operator="greaterThanOrEqual" id="{3634BC1F-1522-4775-9E2B-A8C8FEB808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M218</xm:sqref>
        </x14:conditionalFormatting>
        <x14:conditionalFormatting xmlns:xm="http://schemas.microsoft.com/office/excel/2006/main">
          <x14:cfRule type="cellIs" priority="2324" operator="lessThan" id="{586BAF49-25F9-4DF8-8092-3D47873B8AB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25" operator="greaterThanOrEqual" id="{C75B4665-C5D1-447B-8CD7-7D6BB428597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H221</xm:sqref>
        </x14:conditionalFormatting>
        <x14:conditionalFormatting xmlns:xm="http://schemas.microsoft.com/office/excel/2006/main">
          <x14:cfRule type="cellIs" priority="2310" operator="greaterThanOrEqual" id="{13BDED11-01E0-4BF1-AB63-07D200C4DA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1" operator="lessThan" id="{166DD08C-92FB-4A47-BF49-91BF1B2DDE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C226</xm:sqref>
        </x14:conditionalFormatting>
        <x14:conditionalFormatting xmlns:xm="http://schemas.microsoft.com/office/excel/2006/main">
          <x14:cfRule type="cellIs" priority="2312" operator="greaterThanOrEqual" id="{603E7948-83BB-45AA-A53F-1D01B09FB97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3" operator="lessThan" id="{77DCB06C-5471-46BE-82F3-DEC40AEB80C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E226</xm:sqref>
        </x14:conditionalFormatting>
        <x14:conditionalFormatting xmlns:xm="http://schemas.microsoft.com/office/excel/2006/main">
          <x14:cfRule type="cellIs" priority="2314" operator="greaterThanOrEqual" id="{D97E149A-2C97-46FF-8FC8-BFB33E3F1BC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5" operator="lessThan" id="{4FFF43F0-F856-4AEA-91A1-1A9A557CDF2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G226</xm:sqref>
        </x14:conditionalFormatting>
        <x14:conditionalFormatting xmlns:xm="http://schemas.microsoft.com/office/excel/2006/main">
          <x14:cfRule type="cellIs" priority="2316" operator="greaterThanOrEqual" id="{6A382494-690F-4C6C-AD98-1EE62CF5EB2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7" operator="lessThan" id="{7E680BC9-2BCE-4DF0-A7E6-F4A6BF59F38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I226</xm:sqref>
        </x14:conditionalFormatting>
        <x14:conditionalFormatting xmlns:xm="http://schemas.microsoft.com/office/excel/2006/main">
          <x14:cfRule type="cellIs" priority="2318" operator="greaterThanOrEqual" id="{B69EB9E2-CE1E-4DD9-974E-CA8E7ABCC11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9" operator="lessThan" id="{ADA739DD-488C-448D-BA7D-1391B4F082C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K226</xm:sqref>
        </x14:conditionalFormatting>
        <x14:conditionalFormatting xmlns:xm="http://schemas.microsoft.com/office/excel/2006/main">
          <x14:cfRule type="cellIs" priority="2320" operator="greaterThanOrEqual" id="{77D444E7-3588-4172-988A-DE97FF89965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21" operator="lessThan" id="{2965E7A0-5C40-4246-9EA9-3467F1D6FC9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M226</xm:sqref>
        </x14:conditionalFormatting>
        <x14:conditionalFormatting xmlns:xm="http://schemas.microsoft.com/office/excel/2006/main">
          <x14:cfRule type="cellIs" priority="2306" operator="lessThan" id="{11D4E3E8-DD2E-4182-B2C1-57198E439A3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7" operator="greaterThanOrEqual" id="{AA6B1656-6C1E-4AE1-BF50-E1A114F67E9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M229</xm:sqref>
        </x14:conditionalFormatting>
        <x14:conditionalFormatting xmlns:xm="http://schemas.microsoft.com/office/excel/2006/main">
          <x14:cfRule type="cellIs" priority="2303" operator="lessThan" id="{6C9EA7B7-F522-4F0D-8C71-8D15FC872DF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4" operator="greaterThanOrEqual" id="{5D401CA4-0F68-4FE6-BEF6-49C8A40A41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M232</xm:sqref>
        </x14:conditionalFormatting>
        <x14:conditionalFormatting xmlns:xm="http://schemas.microsoft.com/office/excel/2006/main">
          <x14:cfRule type="cellIs" priority="2300" operator="lessThan" id="{8B0581DC-A104-49E9-B12F-F0C8D5F9775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1" operator="greaterThanOrEqual" id="{5CD1FFC4-DD1C-4602-A755-B01B7018F86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M235</xm:sqref>
        </x14:conditionalFormatting>
        <x14:conditionalFormatting xmlns:xm="http://schemas.microsoft.com/office/excel/2006/main">
          <x14:cfRule type="cellIs" priority="2297" operator="lessThan" id="{338583EC-4A03-4250-845C-28B324AB0C8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98" operator="greaterThanOrEqual" id="{B70B6696-B44B-4C30-A2C5-1A3CA38D680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H238</xm:sqref>
        </x14:conditionalFormatting>
        <x14:conditionalFormatting xmlns:xm="http://schemas.microsoft.com/office/excel/2006/main">
          <x14:cfRule type="cellIs" priority="2283" operator="greaterThanOrEqual" id="{65E69EDA-6916-4066-9C68-BE1B6834D6B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4" operator="lessThan" id="{EB98907E-A146-49F4-A82E-242C9B75C03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C243</xm:sqref>
        </x14:conditionalFormatting>
        <x14:conditionalFormatting xmlns:xm="http://schemas.microsoft.com/office/excel/2006/main">
          <x14:cfRule type="cellIs" priority="2285" operator="greaterThanOrEqual" id="{50613B01-D45A-4849-9FD7-FC35F816F41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6" operator="lessThan" id="{2F7CDE95-5F1B-4737-AB54-7C70E62721A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E243</xm:sqref>
        </x14:conditionalFormatting>
        <x14:conditionalFormatting xmlns:xm="http://schemas.microsoft.com/office/excel/2006/main">
          <x14:cfRule type="cellIs" priority="2287" operator="greaterThanOrEqual" id="{0687DC62-740E-457C-811F-835807C0D03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8" operator="lessThan" id="{56641517-A4F2-4523-924C-69691F34CD0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G243</xm:sqref>
        </x14:conditionalFormatting>
        <x14:conditionalFormatting xmlns:xm="http://schemas.microsoft.com/office/excel/2006/main">
          <x14:cfRule type="cellIs" priority="2289" operator="greaterThanOrEqual" id="{332AFC6C-145B-404B-8360-97EF04684A0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0" operator="lessThan" id="{9D74B574-952B-4D93-A7D9-5F8A7503682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I243</xm:sqref>
        </x14:conditionalFormatting>
        <x14:conditionalFormatting xmlns:xm="http://schemas.microsoft.com/office/excel/2006/main">
          <x14:cfRule type="cellIs" priority="2291" operator="greaterThanOrEqual" id="{51151593-FC78-4A97-A894-8E03D655130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2" operator="lessThan" id="{A429F6C5-B662-42B4-973C-603A313D48F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K243</xm:sqref>
        </x14:conditionalFormatting>
        <x14:conditionalFormatting xmlns:xm="http://schemas.microsoft.com/office/excel/2006/main">
          <x14:cfRule type="cellIs" priority="2293" operator="greaterThanOrEqual" id="{5FF67EA6-089B-4A56-B58E-329D9C3659C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4" operator="lessThan" id="{89ADA176-3706-4A86-901E-1D056014A56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M243</xm:sqref>
        </x14:conditionalFormatting>
        <x14:conditionalFormatting xmlns:xm="http://schemas.microsoft.com/office/excel/2006/main">
          <x14:cfRule type="cellIs" priority="2279" operator="lessThan" id="{F2DED121-12FC-4A59-BDA3-E02850DAF7F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80" operator="greaterThanOrEqual" id="{FB334415-2F11-498F-BE72-6B28D834601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M246</xm:sqref>
        </x14:conditionalFormatting>
        <x14:conditionalFormatting xmlns:xm="http://schemas.microsoft.com/office/excel/2006/main">
          <x14:cfRule type="cellIs" priority="2276" operator="lessThan" id="{9311EC2A-AC9D-49BF-A109-0391BA3DFB9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7" operator="greaterThanOrEqual" id="{94659BB9-FA80-491F-A090-E47727A12B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M249</xm:sqref>
        </x14:conditionalFormatting>
        <x14:conditionalFormatting xmlns:xm="http://schemas.microsoft.com/office/excel/2006/main">
          <x14:cfRule type="cellIs" priority="2273" operator="lessThan" id="{639B4BB4-21B6-4572-85D6-A108A97D6EA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4" operator="greaterThanOrEqual" id="{9FCE9353-E661-45F0-8CB4-5AEFDFB5F2D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M252</xm:sqref>
        </x14:conditionalFormatting>
        <x14:conditionalFormatting xmlns:xm="http://schemas.microsoft.com/office/excel/2006/main">
          <x14:cfRule type="cellIs" priority="2270" operator="lessThan" id="{D5C37AA8-C80D-4E3A-A4A8-6A4D8406C7F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1" operator="greaterThanOrEqual" id="{A250CEEA-E6E4-4CD8-9D82-131BF86BEB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H255</xm:sqref>
        </x14:conditionalFormatting>
        <x14:conditionalFormatting xmlns:xm="http://schemas.microsoft.com/office/excel/2006/main">
          <x14:cfRule type="cellIs" priority="2256" operator="greaterThanOrEqual" id="{26B055BE-535B-4351-B644-AB19419A01E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57" operator="lessThan" id="{F5D9483A-29E6-4044-A62A-B59A44A97C5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C260</xm:sqref>
        </x14:conditionalFormatting>
        <x14:conditionalFormatting xmlns:xm="http://schemas.microsoft.com/office/excel/2006/main">
          <x14:cfRule type="cellIs" priority="2258" operator="greaterThanOrEqual" id="{A9DA1214-AB19-4EB7-B235-2A10C7972B2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59" operator="lessThan" id="{EE952A00-BA1E-4911-858C-28914F253B9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E260</xm:sqref>
        </x14:conditionalFormatting>
        <x14:conditionalFormatting xmlns:xm="http://schemas.microsoft.com/office/excel/2006/main">
          <x14:cfRule type="cellIs" priority="2260" operator="greaterThanOrEqual" id="{E9776236-E5BC-41BE-9DFD-60F47B440E6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1" operator="lessThan" id="{6437060E-47AF-4BD3-931A-F76BD4A1591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G260</xm:sqref>
        </x14:conditionalFormatting>
        <x14:conditionalFormatting xmlns:xm="http://schemas.microsoft.com/office/excel/2006/main">
          <x14:cfRule type="cellIs" priority="2262" operator="greaterThanOrEqual" id="{D839C1F8-3693-4ED7-9DF8-FC5F4EAD3C3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3" operator="lessThan" id="{FC1B3EE8-50C5-43CE-9DE3-3E4D547A395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I260</xm:sqref>
        </x14:conditionalFormatting>
        <x14:conditionalFormatting xmlns:xm="http://schemas.microsoft.com/office/excel/2006/main">
          <x14:cfRule type="cellIs" priority="2264" operator="greaterThanOrEqual" id="{72530A31-7EDB-4D0A-BA1F-B27F8ACA97AF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5" operator="lessThan" id="{8AF273B8-E0D8-4AAB-BC80-42BBBB4F082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K260</xm:sqref>
        </x14:conditionalFormatting>
        <x14:conditionalFormatting xmlns:xm="http://schemas.microsoft.com/office/excel/2006/main">
          <x14:cfRule type="cellIs" priority="2266" operator="greaterThanOrEqual" id="{761EB9AE-598F-43A2-8C3C-C191FFDCBA2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7" operator="lessThan" id="{ABB3731B-88FB-41B7-B3DF-C214E621D1B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M260</xm:sqref>
        </x14:conditionalFormatting>
        <x14:conditionalFormatting xmlns:xm="http://schemas.microsoft.com/office/excel/2006/main">
          <x14:cfRule type="cellIs" priority="2252" operator="lessThan" id="{7B2DF0A6-C5E3-49AF-A811-303E332181F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3" operator="greaterThanOrEqual" id="{738B2399-429B-47C0-B492-D1CF6E75A5E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M263</xm:sqref>
        </x14:conditionalFormatting>
        <x14:conditionalFormatting xmlns:xm="http://schemas.microsoft.com/office/excel/2006/main">
          <x14:cfRule type="cellIs" priority="2249" operator="lessThan" id="{9CF34BF2-DD65-4162-AC72-F03AD790453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0" operator="greaterThanOrEqual" id="{667A293C-6386-4AA9-8C6F-AD812D7172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M266</xm:sqref>
        </x14:conditionalFormatting>
        <x14:conditionalFormatting xmlns:xm="http://schemas.microsoft.com/office/excel/2006/main">
          <x14:cfRule type="cellIs" priority="2246" operator="lessThan" id="{123C789B-8F7C-481A-923C-4B12280FC86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47" operator="greaterThanOrEqual" id="{2E49B62F-E012-40C0-8A41-0A3D7E5EA1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M269</xm:sqref>
        </x14:conditionalFormatting>
        <x14:conditionalFormatting xmlns:xm="http://schemas.microsoft.com/office/excel/2006/main">
          <x14:cfRule type="cellIs" priority="2243" operator="lessThan" id="{15CDD013-67CC-4054-9746-9033CDA85F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44" operator="greaterThanOrEqual" id="{D6DF596A-1CB3-4D57-B488-6B6946370A0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H272</xm:sqref>
        </x14:conditionalFormatting>
        <x14:conditionalFormatting xmlns:xm="http://schemas.microsoft.com/office/excel/2006/main">
          <x14:cfRule type="cellIs" priority="2229" operator="greaterThanOrEqual" id="{5BCE35C8-20CC-45C2-B8E0-449AE5061B7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0" operator="lessThan" id="{1C649F6C-ED24-4299-8DEF-60DB4B56EB1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C277</xm:sqref>
        </x14:conditionalFormatting>
        <x14:conditionalFormatting xmlns:xm="http://schemas.microsoft.com/office/excel/2006/main">
          <x14:cfRule type="cellIs" priority="2231" operator="greaterThanOrEqual" id="{03021EBF-DE0A-453E-BB63-83EEE4F83AB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2" operator="lessThan" id="{04C7E621-5C5C-4161-8E3E-BA6DEBCE13D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E277</xm:sqref>
        </x14:conditionalFormatting>
        <x14:conditionalFormatting xmlns:xm="http://schemas.microsoft.com/office/excel/2006/main">
          <x14:cfRule type="cellIs" priority="2233" operator="greaterThanOrEqual" id="{31769826-EE9A-4286-BF6C-102047F513D5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4" operator="lessThan" id="{D23A41A0-ADDF-4200-8B49-5134E14243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G277</xm:sqref>
        </x14:conditionalFormatting>
        <x14:conditionalFormatting xmlns:xm="http://schemas.microsoft.com/office/excel/2006/main">
          <x14:cfRule type="cellIs" priority="2235" operator="greaterThanOrEqual" id="{5B595408-EDE2-4563-B33F-74F025655B3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6" operator="lessThan" id="{07AB6C25-4BD9-4292-9772-6AEC33DB8C7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I277</xm:sqref>
        </x14:conditionalFormatting>
        <x14:conditionalFormatting xmlns:xm="http://schemas.microsoft.com/office/excel/2006/main">
          <x14:cfRule type="cellIs" priority="2237" operator="greaterThanOrEqual" id="{20C28D97-EB2D-47BF-8EBA-13E52985E02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8" operator="lessThan" id="{9D4B2262-30E3-4A21-9130-3D512517719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K277</xm:sqref>
        </x14:conditionalFormatting>
        <x14:conditionalFormatting xmlns:xm="http://schemas.microsoft.com/office/excel/2006/main">
          <x14:cfRule type="cellIs" priority="2239" operator="greaterThanOrEqual" id="{EB19D313-0A3C-48B6-AF18-1EF12D81A05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40" operator="lessThan" id="{D35A42D3-7321-4632-9B84-11D390ED1F6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M277</xm:sqref>
        </x14:conditionalFormatting>
        <x14:conditionalFormatting xmlns:xm="http://schemas.microsoft.com/office/excel/2006/main">
          <x14:cfRule type="cellIs" priority="2225" operator="lessThan" id="{2E3B95C0-B8D6-4F94-8677-B3A6651C20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6" operator="greaterThanOrEqual" id="{5FC85222-C268-4205-9819-9F8746FDE89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M280</xm:sqref>
        </x14:conditionalFormatting>
        <x14:conditionalFormatting xmlns:xm="http://schemas.microsoft.com/office/excel/2006/main">
          <x14:cfRule type="cellIs" priority="2222" operator="lessThan" id="{C761F30C-75A3-4C2C-9CF9-5399A35DE38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3" operator="greaterThanOrEqual" id="{4A089FDD-70C3-446A-9954-8DEE0ECC199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M283</xm:sqref>
        </x14:conditionalFormatting>
        <x14:conditionalFormatting xmlns:xm="http://schemas.microsoft.com/office/excel/2006/main">
          <x14:cfRule type="cellIs" priority="2219" operator="lessThan" id="{7C893BA0-FEA9-4D28-83E5-1FDAF841C24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0" operator="greaterThanOrEqual" id="{7BD09060-7A30-436D-8057-EE7362BA7D2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M286</xm:sqref>
        </x14:conditionalFormatting>
        <x14:conditionalFormatting xmlns:xm="http://schemas.microsoft.com/office/excel/2006/main">
          <x14:cfRule type="cellIs" priority="2216" operator="lessThan" id="{CD4C204B-49B3-4D40-B933-46E026B0B46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17" operator="greaterThanOrEqual" id="{FE5E7431-ACDB-4C04-A748-D1325C93B16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H289</xm:sqref>
        </x14:conditionalFormatting>
        <x14:conditionalFormatting xmlns:xm="http://schemas.microsoft.com/office/excel/2006/main">
          <x14:cfRule type="cellIs" priority="2202" operator="greaterThanOrEqual" id="{6C91D437-537E-492A-8E4E-17C1E863547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3" operator="lessThan" id="{3386EDD4-F5C0-4F5D-8611-E81B86940F4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C294</xm:sqref>
        </x14:conditionalFormatting>
        <x14:conditionalFormatting xmlns:xm="http://schemas.microsoft.com/office/excel/2006/main">
          <x14:cfRule type="cellIs" priority="2204" operator="greaterThanOrEqual" id="{4E8E8811-9FE2-4A94-979F-CB003EFED10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5" operator="lessThan" id="{52C27068-5A01-437C-93BF-2CE29419A24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E294</xm:sqref>
        </x14:conditionalFormatting>
        <x14:conditionalFormatting xmlns:xm="http://schemas.microsoft.com/office/excel/2006/main">
          <x14:cfRule type="cellIs" priority="2206" operator="greaterThanOrEqual" id="{A42F2587-EFCC-478C-B9EF-C432AA78FCC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7" operator="lessThan" id="{6541788E-EA31-44FD-986D-2A5268102E1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G294</xm:sqref>
        </x14:conditionalFormatting>
        <x14:conditionalFormatting xmlns:xm="http://schemas.microsoft.com/office/excel/2006/main">
          <x14:cfRule type="cellIs" priority="2208" operator="greaterThanOrEqual" id="{BF44E98E-424A-4781-A3C8-30E83C63F29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9" operator="lessThan" id="{B8724C56-ED98-4F86-BA44-11CF9D4BF77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I294</xm:sqref>
        </x14:conditionalFormatting>
        <x14:conditionalFormatting xmlns:xm="http://schemas.microsoft.com/office/excel/2006/main">
          <x14:cfRule type="cellIs" priority="2210" operator="greaterThanOrEqual" id="{804F0D15-E138-46F1-BFAE-6B36DEF521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11" operator="lessThan" id="{06BBA9BB-B346-4D5A-8B45-50D893CFE79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K294</xm:sqref>
        </x14:conditionalFormatting>
        <x14:conditionalFormatting xmlns:xm="http://schemas.microsoft.com/office/excel/2006/main">
          <x14:cfRule type="cellIs" priority="2212" operator="greaterThanOrEqual" id="{E0C27757-7DB2-48CF-9592-0A35A4CE41E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13" operator="lessThan" id="{023077D7-69C7-4CD9-B266-8CFB151CB1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M294</xm:sqref>
        </x14:conditionalFormatting>
        <x14:conditionalFormatting xmlns:xm="http://schemas.microsoft.com/office/excel/2006/main">
          <x14:cfRule type="cellIs" priority="2198" operator="lessThan" id="{AD7C3A0D-3D2F-40DD-9034-C8D9818460F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9" operator="greaterThanOrEqual" id="{84F3EBBF-B623-41A3-A1B3-48041FF0B2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M297</xm:sqref>
        </x14:conditionalFormatting>
        <x14:conditionalFormatting xmlns:xm="http://schemas.microsoft.com/office/excel/2006/main">
          <x14:cfRule type="cellIs" priority="2195" operator="lessThan" id="{575E9233-4BE6-466E-BCF8-DC7AFEDC5D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6" operator="greaterThanOrEqual" id="{E5BF30B5-0386-4217-A9FE-15EAE08A2CE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M300</xm:sqref>
        </x14:conditionalFormatting>
        <x14:conditionalFormatting xmlns:xm="http://schemas.microsoft.com/office/excel/2006/main">
          <x14:cfRule type="cellIs" priority="2192" operator="lessThan" id="{AA5EF37D-57E6-47AB-8BFA-E34CE16CF40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3" operator="greaterThanOrEqual" id="{EB598E0B-F2D3-4813-ADCB-3FBD19AEC2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M303</xm:sqref>
        </x14:conditionalFormatting>
        <x14:conditionalFormatting xmlns:xm="http://schemas.microsoft.com/office/excel/2006/main">
          <x14:cfRule type="cellIs" priority="2189" operator="lessThan" id="{77DDD5AA-9A50-4082-B665-D52F2AD37CE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0" operator="greaterThanOrEqual" id="{34DACDC0-F45B-476D-9C09-406DDF9D6F0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H306</xm:sqref>
        </x14:conditionalFormatting>
        <x14:conditionalFormatting xmlns:xm="http://schemas.microsoft.com/office/excel/2006/main">
          <x14:cfRule type="cellIs" priority="2175" operator="greaterThanOrEqual" id="{9F5F9F13-94DF-4A6C-A058-2B1714BDA62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76" operator="lessThan" id="{C31D3EF2-4E5F-4B9B-9466-A35BA51D7BE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C311</xm:sqref>
        </x14:conditionalFormatting>
        <x14:conditionalFormatting xmlns:xm="http://schemas.microsoft.com/office/excel/2006/main">
          <x14:cfRule type="cellIs" priority="2177" operator="greaterThanOrEqual" id="{F4D3181B-97E1-4728-8965-2CA78746702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78" operator="lessThan" id="{6A79B905-0DE9-4BC7-ABA5-85CF62B9A52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E311</xm:sqref>
        </x14:conditionalFormatting>
        <x14:conditionalFormatting xmlns:xm="http://schemas.microsoft.com/office/excel/2006/main">
          <x14:cfRule type="cellIs" priority="2179" operator="greaterThanOrEqual" id="{B7E4DDE6-6787-4DCE-B595-0412D3AFB7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0" operator="lessThan" id="{311A99D9-C556-467E-A50D-97E0EE43454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G311</xm:sqref>
        </x14:conditionalFormatting>
        <x14:conditionalFormatting xmlns:xm="http://schemas.microsoft.com/office/excel/2006/main">
          <x14:cfRule type="cellIs" priority="2181" operator="greaterThanOrEqual" id="{AEBCE134-D893-4A8D-8231-B60F35D15BF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2" operator="lessThan" id="{2B85F54C-B80C-4F24-8CAC-1A9DFCC96DF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I311</xm:sqref>
        </x14:conditionalFormatting>
        <x14:conditionalFormatting xmlns:xm="http://schemas.microsoft.com/office/excel/2006/main">
          <x14:cfRule type="cellIs" priority="2183" operator="greaterThanOrEqual" id="{7A2E6415-0335-40D0-A92C-D86725BA108C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4" operator="lessThan" id="{6FF4759F-9F74-4BAC-B2CA-3F09DD5B867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K311</xm:sqref>
        </x14:conditionalFormatting>
        <x14:conditionalFormatting xmlns:xm="http://schemas.microsoft.com/office/excel/2006/main">
          <x14:cfRule type="cellIs" priority="2185" operator="greaterThanOrEqual" id="{13B4DC66-EE86-469F-A9C2-E1CFF1B879D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6" operator="lessThan" id="{3D818AC1-20FF-46D0-9B1E-EF6AD3B0E7C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M311</xm:sqref>
        </x14:conditionalFormatting>
        <x14:conditionalFormatting xmlns:xm="http://schemas.microsoft.com/office/excel/2006/main">
          <x14:cfRule type="cellIs" priority="2171" operator="lessThan" id="{4EC8922B-CE7E-4687-B326-884B88A4D74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72" operator="greaterThanOrEqual" id="{295E0FEB-CD7E-4B94-8998-4F0B03B710F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M314</xm:sqref>
        </x14:conditionalFormatting>
        <x14:conditionalFormatting xmlns:xm="http://schemas.microsoft.com/office/excel/2006/main">
          <x14:cfRule type="cellIs" priority="2168" operator="lessThan" id="{A17FE522-1D93-4823-B44D-FF3F7217BCE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9" operator="greaterThanOrEqual" id="{1ACDF28A-E13B-4CC8-89EE-20A3FA9C59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M317</xm:sqref>
        </x14:conditionalFormatting>
        <x14:conditionalFormatting xmlns:xm="http://schemas.microsoft.com/office/excel/2006/main">
          <x14:cfRule type="cellIs" priority="2165" operator="lessThan" id="{C1508A6A-1E47-4060-914C-26B0EAF9E55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6" operator="greaterThanOrEqual" id="{1FDD75E2-1AF0-4668-882E-C3DF6D0C93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M320</xm:sqref>
        </x14:conditionalFormatting>
        <x14:conditionalFormatting xmlns:xm="http://schemas.microsoft.com/office/excel/2006/main">
          <x14:cfRule type="cellIs" priority="2162" operator="lessThan" id="{DD73C546-8841-4FE7-8A01-501B037C904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3" operator="greaterThanOrEqual" id="{F082A3EF-5475-42F8-BAC7-696B37F1699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H323</xm:sqref>
        </x14:conditionalFormatting>
        <x14:conditionalFormatting xmlns:xm="http://schemas.microsoft.com/office/excel/2006/main">
          <x14:cfRule type="cellIs" priority="2148" operator="greaterThanOrEqual" id="{5546B64B-274A-458D-AE9E-DD827118032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49" operator="lessThan" id="{5CC9D7DB-36F0-4522-8F12-3C232F916F9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C328</xm:sqref>
        </x14:conditionalFormatting>
        <x14:conditionalFormatting xmlns:xm="http://schemas.microsoft.com/office/excel/2006/main">
          <x14:cfRule type="cellIs" priority="2150" operator="greaterThanOrEqual" id="{AF6BFB84-68F9-4651-B282-631FED7DFAF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1" operator="lessThan" id="{233D2078-D469-45D0-95FC-570BE54335F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E328</xm:sqref>
        </x14:conditionalFormatting>
        <x14:conditionalFormatting xmlns:xm="http://schemas.microsoft.com/office/excel/2006/main">
          <x14:cfRule type="cellIs" priority="2152" operator="greaterThanOrEqual" id="{97F257D3-07C4-4840-AD3B-91268A1D583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3" operator="lessThan" id="{4FE2A7FC-9D54-4672-997A-A941829115B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G328</xm:sqref>
        </x14:conditionalFormatting>
        <x14:conditionalFormatting xmlns:xm="http://schemas.microsoft.com/office/excel/2006/main">
          <x14:cfRule type="cellIs" priority="2154" operator="greaterThanOrEqual" id="{191C207D-5797-4224-A03C-98CE525EA2A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5" operator="lessThan" id="{748B27AA-2746-4969-B03B-294EC7A28FC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I328</xm:sqref>
        </x14:conditionalFormatting>
        <x14:conditionalFormatting xmlns:xm="http://schemas.microsoft.com/office/excel/2006/main">
          <x14:cfRule type="cellIs" priority="2156" operator="greaterThanOrEqual" id="{817C5E36-4F99-4D7A-8C62-4136BEA6EBE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7" operator="lessThan" id="{B186D11E-556B-490C-8482-0329C3E444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K328</xm:sqref>
        </x14:conditionalFormatting>
        <x14:conditionalFormatting xmlns:xm="http://schemas.microsoft.com/office/excel/2006/main">
          <x14:cfRule type="cellIs" priority="2158" operator="greaterThanOrEqual" id="{5C45168D-0352-47C5-B2E6-979BE31A24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9" operator="lessThan" id="{D0FC1390-90C1-44DE-81F5-67AFA7B30D7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M328</xm:sqref>
        </x14:conditionalFormatting>
        <x14:conditionalFormatting xmlns:xm="http://schemas.microsoft.com/office/excel/2006/main">
          <x14:cfRule type="cellIs" priority="2144" operator="lessThan" id="{1DB96730-144A-4728-B55D-3B053769638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45" operator="greaterThanOrEqual" id="{1AF75AF7-6F01-4294-813C-4188D4666B4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M331</xm:sqref>
        </x14:conditionalFormatting>
        <x14:conditionalFormatting xmlns:xm="http://schemas.microsoft.com/office/excel/2006/main">
          <x14:cfRule type="cellIs" priority="2141" operator="lessThan" id="{F446CEE1-E42F-4D1C-9B14-EA4493BD8F0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42" operator="greaterThanOrEqual" id="{ABC8F7ED-F657-4DCB-A5A2-7F8AE607A82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M334</xm:sqref>
        </x14:conditionalFormatting>
        <x14:conditionalFormatting xmlns:xm="http://schemas.microsoft.com/office/excel/2006/main">
          <x14:cfRule type="cellIs" priority="2138" operator="lessThan" id="{FB67253C-AFC8-4E8E-807B-96D46F7DBCC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39" operator="greaterThanOrEqual" id="{1D0CD50A-C06A-49E5-996D-CD860466D9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M337</xm:sqref>
        </x14:conditionalFormatting>
        <x14:conditionalFormatting xmlns:xm="http://schemas.microsoft.com/office/excel/2006/main">
          <x14:cfRule type="cellIs" priority="2135" operator="lessThan" id="{65E2D6B4-E5C4-4838-8755-D1A5F03C896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36" operator="greaterThanOrEqual" id="{20152261-855E-4FA0-8E67-B5E86BC9FDC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H340</xm:sqref>
        </x14:conditionalFormatting>
        <x14:conditionalFormatting xmlns:xm="http://schemas.microsoft.com/office/excel/2006/main">
          <x14:cfRule type="cellIs" priority="2121" operator="greaterThanOrEqual" id="{266EFDDF-8116-4872-8274-BB780CB665C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2" operator="lessThan" id="{3D983AA2-C098-4409-93DB-FB39599663E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C345</xm:sqref>
        </x14:conditionalFormatting>
        <x14:conditionalFormatting xmlns:xm="http://schemas.microsoft.com/office/excel/2006/main">
          <x14:cfRule type="cellIs" priority="2123" operator="greaterThanOrEqual" id="{AD560108-6C2C-4779-91B6-9AA1604E44C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4" operator="lessThan" id="{5EB44818-D49D-40B9-906B-349814CF1B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E345</xm:sqref>
        </x14:conditionalFormatting>
        <x14:conditionalFormatting xmlns:xm="http://schemas.microsoft.com/office/excel/2006/main">
          <x14:cfRule type="cellIs" priority="2125" operator="greaterThanOrEqual" id="{B5762D2B-9E42-4AD2-B097-5885D2A0306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6" operator="lessThan" id="{5F9B9129-8551-4111-A293-B04840BFAEA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G345</xm:sqref>
        </x14:conditionalFormatting>
        <x14:conditionalFormatting xmlns:xm="http://schemas.microsoft.com/office/excel/2006/main">
          <x14:cfRule type="cellIs" priority="2127" operator="greaterThanOrEqual" id="{DD7D3793-F1DD-4BD6-BB11-13D1884627C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8" operator="lessThan" id="{A2EB1C8F-1C0B-48E7-9025-4348C1460A0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I345</xm:sqref>
        </x14:conditionalFormatting>
        <x14:conditionalFormatting xmlns:xm="http://schemas.microsoft.com/office/excel/2006/main">
          <x14:cfRule type="cellIs" priority="2129" operator="greaterThanOrEqual" id="{5518D5EA-2E4A-4DAF-83EA-EB25318F499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0" operator="lessThan" id="{BD4494C2-4FE6-40CF-9624-6FA95528934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K345</xm:sqref>
        </x14:conditionalFormatting>
        <x14:conditionalFormatting xmlns:xm="http://schemas.microsoft.com/office/excel/2006/main">
          <x14:cfRule type="cellIs" priority="2131" operator="greaterThanOrEqual" id="{1BA99342-53A2-4254-9242-70F50774B0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2" operator="lessThan" id="{C0B436CA-EC20-4601-94D1-B906CDE8F67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M345</xm:sqref>
        </x14:conditionalFormatting>
        <x14:conditionalFormatting xmlns:xm="http://schemas.microsoft.com/office/excel/2006/main">
          <x14:cfRule type="cellIs" priority="2117" operator="lessThan" id="{4F674C5D-E6E3-4BEE-BB69-A1E4E8EEE86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8" operator="greaterThanOrEqual" id="{CA72D35A-E8F4-4AD6-A694-D04DF5704CE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M348</xm:sqref>
        </x14:conditionalFormatting>
        <x14:conditionalFormatting xmlns:xm="http://schemas.microsoft.com/office/excel/2006/main">
          <x14:cfRule type="cellIs" priority="2114" operator="lessThan" id="{A276E397-FEE6-4D6F-B302-64C560ADB5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5" operator="greaterThanOrEqual" id="{F73F80EE-0325-4FEF-A209-4F65975DAE7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M351</xm:sqref>
        </x14:conditionalFormatting>
        <x14:conditionalFormatting xmlns:xm="http://schemas.microsoft.com/office/excel/2006/main">
          <x14:cfRule type="cellIs" priority="2111" operator="lessThan" id="{A2E22556-5686-43C4-8758-B7B8BA7F5EB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2" operator="greaterThanOrEqual" id="{834A690C-E392-4932-9485-1839ED8E062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M354</xm:sqref>
        </x14:conditionalFormatting>
        <x14:conditionalFormatting xmlns:xm="http://schemas.microsoft.com/office/excel/2006/main">
          <x14:cfRule type="cellIs" priority="2108" operator="lessThan" id="{662B1551-5359-407B-B1E0-F4D00217DADD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09" operator="greaterThanOrEqual" id="{63DFF3D8-9D62-48F5-B60E-674B962E9B3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H357</xm:sqref>
        </x14:conditionalFormatting>
        <x14:conditionalFormatting xmlns:xm="http://schemas.microsoft.com/office/excel/2006/main">
          <x14:cfRule type="cellIs" priority="2094" operator="greaterThanOrEqual" id="{DCC4F98A-0E63-4289-9799-58BF8DD09DB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5" operator="lessThan" id="{F772826E-F81F-498F-AB4A-0CEFE8E0B2C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C362</xm:sqref>
        </x14:conditionalFormatting>
        <x14:conditionalFormatting xmlns:xm="http://schemas.microsoft.com/office/excel/2006/main">
          <x14:cfRule type="cellIs" priority="2096" operator="greaterThanOrEqual" id="{67795B6E-21B7-427B-9440-164C35FFD25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7" operator="lessThan" id="{06D1362F-B070-426E-9AD5-B377C3DBAB5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E362</xm:sqref>
        </x14:conditionalFormatting>
        <x14:conditionalFormatting xmlns:xm="http://schemas.microsoft.com/office/excel/2006/main">
          <x14:cfRule type="cellIs" priority="2098" operator="greaterThanOrEqual" id="{89E5A268-9CC8-447E-A970-EBA72B44C39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9" operator="lessThan" id="{AFAB0AAE-98C4-4224-9D7E-9F77C68BAE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G362</xm:sqref>
        </x14:conditionalFormatting>
        <x14:conditionalFormatting xmlns:xm="http://schemas.microsoft.com/office/excel/2006/main">
          <x14:cfRule type="cellIs" priority="2100" operator="greaterThanOrEqual" id="{1FF20582-E1A4-4F63-99D1-4EBFEBADEB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1" operator="lessThan" id="{48712819-4FBD-485A-8D4D-A277C150444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I362</xm:sqref>
        </x14:conditionalFormatting>
        <x14:conditionalFormatting xmlns:xm="http://schemas.microsoft.com/office/excel/2006/main">
          <x14:cfRule type="cellIs" priority="2102" operator="greaterThanOrEqual" id="{3022D1CD-A042-4367-A3D7-2126A0C3120F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3" operator="lessThan" id="{4585A83B-1534-4BFA-A4D8-A4FC66ADD91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K362</xm:sqref>
        </x14:conditionalFormatting>
        <x14:conditionalFormatting xmlns:xm="http://schemas.microsoft.com/office/excel/2006/main">
          <x14:cfRule type="cellIs" priority="2104" operator="greaterThanOrEqual" id="{AFBA6D95-6295-4D28-BF7A-28155E459E0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5" operator="lessThan" id="{A6E98CBA-8F4A-4B6E-8064-F9FF1A15708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M362</xm:sqref>
        </x14:conditionalFormatting>
        <x14:conditionalFormatting xmlns:xm="http://schemas.microsoft.com/office/excel/2006/main">
          <x14:cfRule type="cellIs" priority="2090" operator="lessThan" id="{4F680293-CC30-441B-8F03-B59B797683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91" operator="greaterThanOrEqual" id="{E36C677F-E012-4417-824C-F5F380BEEFE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M365</xm:sqref>
        </x14:conditionalFormatting>
        <x14:conditionalFormatting xmlns:xm="http://schemas.microsoft.com/office/excel/2006/main">
          <x14:cfRule type="cellIs" priority="2087" operator="lessThan" id="{3029467F-BFCD-4A7A-ABF3-A337BB6F8AB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8" operator="greaterThanOrEqual" id="{4E359C62-9E12-453C-98A6-116147E105D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M368</xm:sqref>
        </x14:conditionalFormatting>
        <x14:conditionalFormatting xmlns:xm="http://schemas.microsoft.com/office/excel/2006/main">
          <x14:cfRule type="cellIs" priority="2084" operator="lessThan" id="{4EC4AF33-0DA1-4CE3-A610-6B0D9E6D1ED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5" operator="greaterThanOrEqual" id="{289B18FA-78BD-407C-AF99-C0A3C4C339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M371</xm:sqref>
        </x14:conditionalFormatting>
        <x14:conditionalFormatting xmlns:xm="http://schemas.microsoft.com/office/excel/2006/main">
          <x14:cfRule type="cellIs" priority="2081" operator="lessThan" id="{65E33B1F-260B-4BAA-BB7D-3DF4FB56F61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2" operator="greaterThanOrEqual" id="{A8B316F7-E300-436E-A372-1C7326E740D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H374</xm:sqref>
        </x14:conditionalFormatting>
        <x14:conditionalFormatting xmlns:xm="http://schemas.microsoft.com/office/excel/2006/main">
          <x14:cfRule type="cellIs" priority="2067" operator="greaterThanOrEqual" id="{54A55511-B676-4F31-A5B6-142AA2BF285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68" operator="lessThan" id="{77FAD1C0-25F6-4FB9-BE4E-A9BBE57FEA7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C379</xm:sqref>
        </x14:conditionalFormatting>
        <x14:conditionalFormatting xmlns:xm="http://schemas.microsoft.com/office/excel/2006/main">
          <x14:cfRule type="cellIs" priority="2069" operator="greaterThanOrEqual" id="{444A83F2-B541-4EEA-959A-C6789CA239F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0" operator="lessThan" id="{2B5AB6D3-3C22-4C59-B3CA-539649A2155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E379</xm:sqref>
        </x14:conditionalFormatting>
        <x14:conditionalFormatting xmlns:xm="http://schemas.microsoft.com/office/excel/2006/main">
          <x14:cfRule type="cellIs" priority="2071" operator="greaterThanOrEqual" id="{556DF378-6CAD-45B1-BF18-780994EA50F5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2" operator="lessThan" id="{2FF1D3EF-E6B7-4016-A77E-181DE618AAE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G379</xm:sqref>
        </x14:conditionalFormatting>
        <x14:conditionalFormatting xmlns:xm="http://schemas.microsoft.com/office/excel/2006/main">
          <x14:cfRule type="cellIs" priority="2073" operator="greaterThanOrEqual" id="{7AF945B7-E99F-4B33-BD6F-D808BB682FE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4" operator="lessThan" id="{EDF42550-2FF2-4F53-B3ED-E7F7E8D80D0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I379</xm:sqref>
        </x14:conditionalFormatting>
        <x14:conditionalFormatting xmlns:xm="http://schemas.microsoft.com/office/excel/2006/main">
          <x14:cfRule type="cellIs" priority="2075" operator="greaterThanOrEqual" id="{993F0524-F839-421B-860B-47E0A40EBB2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6" operator="lessThan" id="{97E1AF5E-CFBF-4DC1-BFCE-72AB4B53F73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K379</xm:sqref>
        </x14:conditionalFormatting>
        <x14:conditionalFormatting xmlns:xm="http://schemas.microsoft.com/office/excel/2006/main">
          <x14:cfRule type="cellIs" priority="2077" operator="greaterThanOrEqual" id="{79379DCF-2EFA-460D-8FE2-5123C938141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8" operator="lessThan" id="{34C76838-A0A8-4B51-8169-3B53303F8A6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M379</xm:sqref>
        </x14:conditionalFormatting>
        <x14:conditionalFormatting xmlns:xm="http://schemas.microsoft.com/office/excel/2006/main">
          <x14:cfRule type="cellIs" priority="2063" operator="lessThan" id="{5E558856-654D-419A-A74E-3203B4F3E2C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64" operator="greaterThanOrEqual" id="{EF6D22EC-CD76-4171-9350-FBBA4A98802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M382</xm:sqref>
        </x14:conditionalFormatting>
        <x14:conditionalFormatting xmlns:xm="http://schemas.microsoft.com/office/excel/2006/main">
          <x14:cfRule type="cellIs" priority="2060" operator="lessThan" id="{9E89027C-D2C3-4A85-9802-C21BC02AB1E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61" operator="greaterThanOrEqual" id="{50D27BED-086F-41AF-91AA-BA3A75FF422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M385</xm:sqref>
        </x14:conditionalFormatting>
        <x14:conditionalFormatting xmlns:xm="http://schemas.microsoft.com/office/excel/2006/main">
          <x14:cfRule type="cellIs" priority="2057" operator="lessThan" id="{EE4848E0-B52C-414B-8B5A-ED60AF9A017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58" operator="greaterThanOrEqual" id="{87BE36FB-1757-4036-9547-601516B3E4C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M388</xm:sqref>
        </x14:conditionalFormatting>
        <x14:conditionalFormatting xmlns:xm="http://schemas.microsoft.com/office/excel/2006/main">
          <x14:cfRule type="cellIs" priority="2054" operator="lessThan" id="{3D059DDF-2BB5-4B91-9623-5A4D1F4202B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55" operator="greaterThanOrEqual" id="{9667CC54-4915-4929-92CF-2A5845FBFB2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H391</xm:sqref>
        </x14:conditionalFormatting>
        <x14:conditionalFormatting xmlns:xm="http://schemas.microsoft.com/office/excel/2006/main">
          <x14:cfRule type="cellIs" priority="2040" operator="greaterThanOrEqual" id="{1BE7E610-3A74-4EB3-924D-F1E63B48F77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1" operator="lessThan" id="{BE8BF249-EE99-4615-9D3A-39DAE0D0B12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C396</xm:sqref>
        </x14:conditionalFormatting>
        <x14:conditionalFormatting xmlns:xm="http://schemas.microsoft.com/office/excel/2006/main">
          <x14:cfRule type="cellIs" priority="2042" operator="greaterThanOrEqual" id="{95793A0F-59AC-4F37-8D19-AE3936D4EBB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3" operator="lessThan" id="{7D63255D-C1A8-4A1B-A1C0-DEA75E1257C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E396</xm:sqref>
        </x14:conditionalFormatting>
        <x14:conditionalFormatting xmlns:xm="http://schemas.microsoft.com/office/excel/2006/main">
          <x14:cfRule type="cellIs" priority="2044" operator="greaterThanOrEqual" id="{95F1B13A-A4E9-421A-BFF4-BA18A346D6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5" operator="lessThan" id="{9976DCE5-F57F-478E-BF3D-296E568AD44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G396</xm:sqref>
        </x14:conditionalFormatting>
        <x14:conditionalFormatting xmlns:xm="http://schemas.microsoft.com/office/excel/2006/main">
          <x14:cfRule type="cellIs" priority="2046" operator="greaterThanOrEqual" id="{6796AFA7-2862-4C26-B8EA-217C8D83B7E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7" operator="lessThan" id="{6FCEE793-0268-4BA3-8264-148622751BB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I396</xm:sqref>
        </x14:conditionalFormatting>
        <x14:conditionalFormatting xmlns:xm="http://schemas.microsoft.com/office/excel/2006/main">
          <x14:cfRule type="cellIs" priority="2048" operator="greaterThanOrEqual" id="{B5A2564F-947A-4A53-A2A0-1D4FD71A536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9" operator="lessThan" id="{15FED1A7-9A0C-456D-A1F8-A7492B07A7E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K396</xm:sqref>
        </x14:conditionalFormatting>
        <x14:conditionalFormatting xmlns:xm="http://schemas.microsoft.com/office/excel/2006/main">
          <x14:cfRule type="cellIs" priority="2050" operator="greaterThanOrEqual" id="{55295539-C182-4B39-8BAC-CE24A87A30B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51" operator="lessThan" id="{2D068FA9-862C-4736-B769-08D36005F8C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M396</xm:sqref>
        </x14:conditionalFormatting>
        <x14:conditionalFormatting xmlns:xm="http://schemas.microsoft.com/office/excel/2006/main">
          <x14:cfRule type="cellIs" priority="2036" operator="lessThan" id="{165FD105-7FB3-4044-A4AB-32B96BC2003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7" operator="greaterThanOrEqual" id="{4772E423-5C57-42E3-BE78-25DCDF3511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M399</xm:sqref>
        </x14:conditionalFormatting>
        <x14:conditionalFormatting xmlns:xm="http://schemas.microsoft.com/office/excel/2006/main">
          <x14:cfRule type="cellIs" priority="2033" operator="lessThan" id="{33A7808A-D45B-4078-83B5-40A4E249E91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4" operator="greaterThanOrEqual" id="{37E74662-34AE-450E-9901-1F1F67609F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M402</xm:sqref>
        </x14:conditionalFormatting>
        <x14:conditionalFormatting xmlns:xm="http://schemas.microsoft.com/office/excel/2006/main">
          <x14:cfRule type="cellIs" priority="2030" operator="lessThan" id="{24AACF62-BA8F-4D38-A281-F36CD105A2E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1" operator="greaterThanOrEqual" id="{A2EFD248-FC4D-4B50-A551-11887D9B1E5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M405</xm:sqref>
        </x14:conditionalFormatting>
        <x14:conditionalFormatting xmlns:xm="http://schemas.microsoft.com/office/excel/2006/main">
          <x14:cfRule type="cellIs" priority="2027" operator="lessThan" id="{6B8B867B-9942-444B-93FB-9277881A282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28" operator="greaterThanOrEqual" id="{9B35A934-43F3-43D3-8DDE-CA579C3213D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H408</xm:sqref>
        </x14:conditionalFormatting>
        <x14:conditionalFormatting xmlns:xm="http://schemas.microsoft.com/office/excel/2006/main">
          <x14:cfRule type="cellIs" priority="2013" operator="greaterThanOrEqual" id="{AF8DF5A7-7A6E-4370-9711-24CC3F89541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4" operator="lessThan" id="{D0F3549A-3512-4B6E-91D9-9E45A51FCA8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C413</xm:sqref>
        </x14:conditionalFormatting>
        <x14:conditionalFormatting xmlns:xm="http://schemas.microsoft.com/office/excel/2006/main">
          <x14:cfRule type="cellIs" priority="2015" operator="greaterThanOrEqual" id="{C37BEA3B-D077-4BD3-BD15-1FD4F8D64D6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6" operator="lessThan" id="{315D40A5-CE37-49F8-B09D-86378E91210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E413</xm:sqref>
        </x14:conditionalFormatting>
        <x14:conditionalFormatting xmlns:xm="http://schemas.microsoft.com/office/excel/2006/main">
          <x14:cfRule type="cellIs" priority="2017" operator="greaterThanOrEqual" id="{65A95DE7-C218-42B8-A3F5-096F9A0EB2C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8" operator="lessThan" id="{11523C02-9C9C-4AFF-916E-8BE5D208F03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G413</xm:sqref>
        </x14:conditionalFormatting>
        <x14:conditionalFormatting xmlns:xm="http://schemas.microsoft.com/office/excel/2006/main">
          <x14:cfRule type="cellIs" priority="2019" operator="greaterThanOrEqual" id="{BD24C41A-D51F-42D9-88D5-46CC7C2557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0" operator="lessThan" id="{664903A3-A726-4FAB-AA21-219781C942A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I413</xm:sqref>
        </x14:conditionalFormatting>
        <x14:conditionalFormatting xmlns:xm="http://schemas.microsoft.com/office/excel/2006/main">
          <x14:cfRule type="cellIs" priority="2021" operator="greaterThanOrEqual" id="{B3614D68-6ACA-4DAD-9095-381A60A0DFC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2" operator="lessThan" id="{50C98305-FBE8-4A4F-B017-DAF94A10BCEA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K413</xm:sqref>
        </x14:conditionalFormatting>
        <x14:conditionalFormatting xmlns:xm="http://schemas.microsoft.com/office/excel/2006/main">
          <x14:cfRule type="cellIs" priority="2023" operator="greaterThanOrEqual" id="{724A3543-EA91-46E4-9436-75A85A66FC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4" operator="lessThan" id="{D48E3DB1-0728-45F7-A351-67A53ED65F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M413</xm:sqref>
        </x14:conditionalFormatting>
        <x14:conditionalFormatting xmlns:xm="http://schemas.microsoft.com/office/excel/2006/main">
          <x14:cfRule type="cellIs" priority="2009" operator="lessThan" id="{101FE988-DB77-49C5-9DF9-51327DC5A09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10" operator="greaterThanOrEqual" id="{A5BF7FDA-1833-495A-B73E-BE184E029B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M416</xm:sqref>
        </x14:conditionalFormatting>
        <x14:conditionalFormatting xmlns:xm="http://schemas.microsoft.com/office/excel/2006/main">
          <x14:cfRule type="cellIs" priority="2006" operator="lessThan" id="{9CD90502-23B2-4182-8ACB-2B3F7ED127F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7" operator="greaterThanOrEqual" id="{B57D8350-2D8F-48F3-85CD-A7BE1977B45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M419</xm:sqref>
        </x14:conditionalFormatting>
        <x14:conditionalFormatting xmlns:xm="http://schemas.microsoft.com/office/excel/2006/main">
          <x14:cfRule type="cellIs" priority="2003" operator="lessThan" id="{9067F5DF-5CD2-4AB3-BF9B-6EC5BFB3785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4" operator="greaterThanOrEqual" id="{7418D0F1-6411-4797-88C8-DD02FB5276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M422</xm:sqref>
        </x14:conditionalFormatting>
        <x14:conditionalFormatting xmlns:xm="http://schemas.microsoft.com/office/excel/2006/main">
          <x14:cfRule type="cellIs" priority="2000" operator="lessThan" id="{FF2E9C14-A89D-4BA1-A807-2F2CCF7D508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1" operator="greaterThanOrEqual" id="{30E1D9E6-FBD4-40D3-A9FE-7200A56FD01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H425</xm:sqref>
        </x14:conditionalFormatting>
        <x14:conditionalFormatting xmlns:xm="http://schemas.microsoft.com/office/excel/2006/main">
          <x14:cfRule type="cellIs" priority="1986" operator="greaterThanOrEqual" id="{C07834DD-A658-4509-8BB6-99A046E96EB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87" operator="lessThan" id="{705F339B-19FD-4045-A68B-6276D2D8DDE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C430</xm:sqref>
        </x14:conditionalFormatting>
        <x14:conditionalFormatting xmlns:xm="http://schemas.microsoft.com/office/excel/2006/main">
          <x14:cfRule type="cellIs" priority="1988" operator="greaterThanOrEqual" id="{9E68AF4E-327D-4656-B294-42943F27535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89" operator="lessThan" id="{9C769334-36AD-4F20-8D61-4BEEC0C29A1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E430</xm:sqref>
        </x14:conditionalFormatting>
        <x14:conditionalFormatting xmlns:xm="http://schemas.microsoft.com/office/excel/2006/main">
          <x14:cfRule type="cellIs" priority="1990" operator="greaterThanOrEqual" id="{610CFDF4-20E3-4EF4-92C7-156918F0F48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1" operator="lessThan" id="{1055D44A-1C95-4D4D-A071-9CF9334C9FE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G430</xm:sqref>
        </x14:conditionalFormatting>
        <x14:conditionalFormatting xmlns:xm="http://schemas.microsoft.com/office/excel/2006/main">
          <x14:cfRule type="cellIs" priority="1992" operator="greaterThanOrEqual" id="{E8BB6847-0B04-4873-B8CE-3916DEC0542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3" operator="lessThan" id="{5385E24B-A392-4AE0-955C-ED7332B8BAC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I430</xm:sqref>
        </x14:conditionalFormatting>
        <x14:conditionalFormatting xmlns:xm="http://schemas.microsoft.com/office/excel/2006/main">
          <x14:cfRule type="cellIs" priority="1994" operator="greaterThanOrEqual" id="{ED11D6E6-E982-4656-A0F9-92DF7B94BE4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5" operator="lessThan" id="{0C8F4FC7-A8C1-4FE2-8163-AE255BC4545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K430</xm:sqref>
        </x14:conditionalFormatting>
        <x14:conditionalFormatting xmlns:xm="http://schemas.microsoft.com/office/excel/2006/main">
          <x14:cfRule type="cellIs" priority="1996" operator="greaterThanOrEqual" id="{B14BE96C-B03A-4B53-8568-C37AA87DAD3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7" operator="lessThan" id="{1708AFA8-E006-4ED5-AD19-34BF396BF83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M430</xm:sqref>
        </x14:conditionalFormatting>
        <x14:conditionalFormatting xmlns:xm="http://schemas.microsoft.com/office/excel/2006/main">
          <x14:cfRule type="cellIs" priority="1982" operator="lessThan" id="{3E1AF901-A278-4BEE-A64C-18467D2258A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3" operator="greaterThanOrEqual" id="{A0FE931C-8DE9-44D1-8588-060F846C3C8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M433</xm:sqref>
        </x14:conditionalFormatting>
        <x14:conditionalFormatting xmlns:xm="http://schemas.microsoft.com/office/excel/2006/main">
          <x14:cfRule type="cellIs" priority="1979" operator="lessThan" id="{4072465A-D41F-4F69-A569-29077402E65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0" operator="greaterThanOrEqual" id="{6D580D3A-59DC-4A27-A420-5EED54ECB1C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M436</xm:sqref>
        </x14:conditionalFormatting>
        <x14:conditionalFormatting xmlns:xm="http://schemas.microsoft.com/office/excel/2006/main">
          <x14:cfRule type="cellIs" priority="1976" operator="lessThan" id="{33DF8F82-1F4C-4866-B71C-F84CB3F1EF1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77" operator="greaterThanOrEqual" id="{655CC811-EB21-4CE9-BB15-5443033286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M439</xm:sqref>
        </x14:conditionalFormatting>
        <x14:conditionalFormatting xmlns:xm="http://schemas.microsoft.com/office/excel/2006/main">
          <x14:cfRule type="cellIs" priority="1973" operator="lessThan" id="{B005115C-D90E-4EA3-B68B-8768497A344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74" operator="greaterThanOrEqual" id="{E9A640B0-781E-457C-AC89-3B3426D6954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H442</xm:sqref>
        </x14:conditionalFormatting>
        <x14:conditionalFormatting xmlns:xm="http://schemas.microsoft.com/office/excel/2006/main">
          <x14:cfRule type="cellIs" priority="1959" operator="greaterThanOrEqual" id="{572A262B-15D9-45FB-9ED8-62E530D365E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0" operator="lessThan" id="{95BC46FD-7BB5-4346-A821-4D695CBE61E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C447</xm:sqref>
        </x14:conditionalFormatting>
        <x14:conditionalFormatting xmlns:xm="http://schemas.microsoft.com/office/excel/2006/main">
          <x14:cfRule type="cellIs" priority="1961" operator="greaterThanOrEqual" id="{54F460B7-B78A-4F74-9076-9625E01AB88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2" operator="lessThan" id="{7B96CD06-0B46-42AD-924F-32ED5A1A3EB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E447</xm:sqref>
        </x14:conditionalFormatting>
        <x14:conditionalFormatting xmlns:xm="http://schemas.microsoft.com/office/excel/2006/main">
          <x14:cfRule type="cellIs" priority="1963" operator="greaterThanOrEqual" id="{76B5B82E-C68A-4C47-8890-3774EEF1274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4" operator="lessThan" id="{BEABF53D-9F6E-4BE0-B163-4A23B34EC0C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G447</xm:sqref>
        </x14:conditionalFormatting>
        <x14:conditionalFormatting xmlns:xm="http://schemas.microsoft.com/office/excel/2006/main">
          <x14:cfRule type="cellIs" priority="1965" operator="greaterThanOrEqual" id="{FEC0398C-FBC4-4F7A-AF33-C6813060438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6" operator="lessThan" id="{AA2996EB-4E08-4122-9E84-ADD3BAE4CD9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I447</xm:sqref>
        </x14:conditionalFormatting>
        <x14:conditionalFormatting xmlns:xm="http://schemas.microsoft.com/office/excel/2006/main">
          <x14:cfRule type="cellIs" priority="1967" operator="greaterThanOrEqual" id="{EB2B6909-9666-4766-8E9C-5FF0B7DD5B7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8" operator="lessThan" id="{EDEA6E90-B665-47FB-A581-D79D781BB93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K447</xm:sqref>
        </x14:conditionalFormatting>
        <x14:conditionalFormatting xmlns:xm="http://schemas.microsoft.com/office/excel/2006/main">
          <x14:cfRule type="cellIs" priority="1969" operator="greaterThanOrEqual" id="{0C3F482D-54C8-4DBF-A0F3-2A717DF8CE5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70" operator="lessThan" id="{32560A40-A443-480D-A419-A17A53A36CF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M447</xm:sqref>
        </x14:conditionalFormatting>
        <x14:conditionalFormatting xmlns:xm="http://schemas.microsoft.com/office/excel/2006/main">
          <x14:cfRule type="cellIs" priority="1955" operator="lessThan" id="{9B473A4F-6A79-4D13-9349-6929AAE9324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6" operator="greaterThanOrEqual" id="{AFEBAE4C-DF65-4F3E-B680-CBE17A7B51C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M450</xm:sqref>
        </x14:conditionalFormatting>
        <x14:conditionalFormatting xmlns:xm="http://schemas.microsoft.com/office/excel/2006/main">
          <x14:cfRule type="cellIs" priority="1952" operator="lessThan" id="{E1E69B7C-3A15-45F9-95BA-1048C72E458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3" operator="greaterThanOrEqual" id="{8B239AAA-3EB5-4EF1-802E-0A897A78899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M453</xm:sqref>
        </x14:conditionalFormatting>
        <x14:conditionalFormatting xmlns:xm="http://schemas.microsoft.com/office/excel/2006/main">
          <x14:cfRule type="cellIs" priority="1949" operator="lessThan" id="{717392F7-80C1-4DBA-9D5A-6B96DBD2AF9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0" operator="greaterThanOrEqual" id="{1940EFEB-E2EE-408F-9A61-F810E2073A8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M456</xm:sqref>
        </x14:conditionalFormatting>
        <x14:conditionalFormatting xmlns:xm="http://schemas.microsoft.com/office/excel/2006/main">
          <x14:cfRule type="cellIs" priority="1946" operator="lessThan" id="{C0578EEA-20DD-44B0-9F89-7F88BC852E0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47" operator="greaterThanOrEqual" id="{B1A308EA-AB2B-4E79-B0B4-616BF9E95C7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H459</xm:sqref>
        </x14:conditionalFormatting>
        <x14:conditionalFormatting xmlns:xm="http://schemas.microsoft.com/office/excel/2006/main">
          <x14:cfRule type="cellIs" priority="1932" operator="greaterThanOrEqual" id="{EE4A6362-CBF1-4724-BA69-F0AAD65CA58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3" operator="lessThan" id="{C10317DC-1DDB-4447-8938-3CDF9E223A2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C464</xm:sqref>
        </x14:conditionalFormatting>
        <x14:conditionalFormatting xmlns:xm="http://schemas.microsoft.com/office/excel/2006/main">
          <x14:cfRule type="cellIs" priority="1934" operator="greaterThanOrEqual" id="{E45A9563-E14D-4E28-9CC1-99599B1D367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5" operator="lessThan" id="{D6D323DA-3329-4277-9DDB-4683B4BD82E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E464</xm:sqref>
        </x14:conditionalFormatting>
        <x14:conditionalFormatting xmlns:xm="http://schemas.microsoft.com/office/excel/2006/main">
          <x14:cfRule type="cellIs" priority="1936" operator="greaterThanOrEqual" id="{01A2BCEB-CFAE-4770-AB53-DE59B9F16BF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7" operator="lessThan" id="{7D323B95-8EA8-4B34-820A-4884B41C3E1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G464</xm:sqref>
        </x14:conditionalFormatting>
        <x14:conditionalFormatting xmlns:xm="http://schemas.microsoft.com/office/excel/2006/main">
          <x14:cfRule type="cellIs" priority="1938" operator="greaterThanOrEqual" id="{075EEC63-12FC-4784-8254-93E3C1E4056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9" operator="lessThan" id="{B93CF307-70A2-4ADF-B96E-25873612B24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I464</xm:sqref>
        </x14:conditionalFormatting>
        <x14:conditionalFormatting xmlns:xm="http://schemas.microsoft.com/office/excel/2006/main">
          <x14:cfRule type="cellIs" priority="1940" operator="greaterThanOrEqual" id="{012ECE80-3BE1-4E4B-8A24-0CB1114917A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41" operator="lessThan" id="{EFCAE727-00FF-4E84-92FD-3CBC5FD1CC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K464</xm:sqref>
        </x14:conditionalFormatting>
        <x14:conditionalFormatting xmlns:xm="http://schemas.microsoft.com/office/excel/2006/main">
          <x14:cfRule type="cellIs" priority="1942" operator="greaterThanOrEqual" id="{9535682F-8AD1-4357-914E-434B6C670C9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43" operator="lessThan" id="{75FC6522-7D73-4934-9AF1-E778E63A75C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M464</xm:sqref>
        </x14:conditionalFormatting>
        <x14:conditionalFormatting xmlns:xm="http://schemas.microsoft.com/office/excel/2006/main">
          <x14:cfRule type="cellIs" priority="1928" operator="lessThan" id="{E6C5B295-7176-4968-AD31-9282D0AB8CA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9" operator="greaterThanOrEqual" id="{789143E8-9CC7-4F90-82CD-F8407BFC2D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M467</xm:sqref>
        </x14:conditionalFormatting>
        <x14:conditionalFormatting xmlns:xm="http://schemas.microsoft.com/office/excel/2006/main">
          <x14:cfRule type="cellIs" priority="1925" operator="lessThan" id="{C9A45A6D-BE4E-461D-8634-A9E1E6CB472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6" operator="greaterThanOrEqual" id="{841227B3-EA66-4F49-8225-7DCA6A4443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M470</xm:sqref>
        </x14:conditionalFormatting>
        <x14:conditionalFormatting xmlns:xm="http://schemas.microsoft.com/office/excel/2006/main">
          <x14:cfRule type="cellIs" priority="1922" operator="lessThan" id="{2E7FFC47-DAC1-434D-862F-DC47F59E687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3" operator="greaterThanOrEqual" id="{175AB9AD-C350-41E4-A86D-D21BB7B682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M473</xm:sqref>
        </x14:conditionalFormatting>
        <x14:conditionalFormatting xmlns:xm="http://schemas.microsoft.com/office/excel/2006/main">
          <x14:cfRule type="cellIs" priority="1919" operator="lessThan" id="{6B9E9228-CC2A-430D-A507-8CBAA1596B0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0" operator="greaterThanOrEqual" id="{83C617D4-8842-4E7A-A1BC-E0FE5C69360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H476</xm:sqref>
        </x14:conditionalFormatting>
        <x14:conditionalFormatting xmlns:xm="http://schemas.microsoft.com/office/excel/2006/main">
          <x14:cfRule type="cellIs" priority="1905" operator="greaterThanOrEqual" id="{38285BFA-5103-40E3-8FCE-3639A8C6F12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06" operator="lessThan" id="{472EFD90-7AD8-4A67-A8C8-CC00AC9AC6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C481</xm:sqref>
        </x14:conditionalFormatting>
        <x14:conditionalFormatting xmlns:xm="http://schemas.microsoft.com/office/excel/2006/main">
          <x14:cfRule type="cellIs" priority="1907" operator="greaterThanOrEqual" id="{FA39866D-87E3-47DA-AEB4-863B19D22F0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08" operator="lessThan" id="{DE9D74F2-5BF4-44DA-81D7-5574C145956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E481</xm:sqref>
        </x14:conditionalFormatting>
        <x14:conditionalFormatting xmlns:xm="http://schemas.microsoft.com/office/excel/2006/main">
          <x14:cfRule type="cellIs" priority="1909" operator="greaterThanOrEqual" id="{FFC83360-8A66-449C-9943-0B9D3658F0F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0" operator="lessThan" id="{830D13F3-245D-4C55-8C76-C48DE0956A7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G481</xm:sqref>
        </x14:conditionalFormatting>
        <x14:conditionalFormatting xmlns:xm="http://schemas.microsoft.com/office/excel/2006/main">
          <x14:cfRule type="cellIs" priority="1911" operator="greaterThanOrEqual" id="{408F8D1A-4EB2-4C99-97EC-E0814D7E41C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2" operator="lessThan" id="{37DF70F3-4C9B-4ED4-9D77-E48A7CCF2BD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I481</xm:sqref>
        </x14:conditionalFormatting>
        <x14:conditionalFormatting xmlns:xm="http://schemas.microsoft.com/office/excel/2006/main">
          <x14:cfRule type="cellIs" priority="1913" operator="greaterThanOrEqual" id="{97906888-A6C3-41D9-979F-5AF9B0996F5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4" operator="lessThan" id="{1FB61E03-3753-4F13-93D0-985E739DE32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K481</xm:sqref>
        </x14:conditionalFormatting>
        <x14:conditionalFormatting xmlns:xm="http://schemas.microsoft.com/office/excel/2006/main">
          <x14:cfRule type="cellIs" priority="1915" operator="greaterThanOrEqual" id="{922DDF5C-C13B-483E-8FCC-F551D8B3A8E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6" operator="lessThan" id="{F7AD8297-C607-4101-BB45-CFBE0883324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M481</xm:sqref>
        </x14:conditionalFormatting>
        <x14:conditionalFormatting xmlns:xm="http://schemas.microsoft.com/office/excel/2006/main">
          <x14:cfRule type="cellIs" priority="1901" operator="lessThan" id="{F28DAD4D-1537-44B5-9B6C-15BBD6E3A77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02" operator="greaterThanOrEqual" id="{73C1A436-1239-4BBC-A259-608E1482692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M484</xm:sqref>
        </x14:conditionalFormatting>
        <x14:conditionalFormatting xmlns:xm="http://schemas.microsoft.com/office/excel/2006/main">
          <x14:cfRule type="cellIs" priority="1898" operator="lessThan" id="{1EF46692-A6C2-48CF-AC52-5D1F2C57E24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9" operator="greaterThanOrEqual" id="{EC6DC0DD-9948-4F5D-975E-E7EEFF0B65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M487</xm:sqref>
        </x14:conditionalFormatting>
        <x14:conditionalFormatting xmlns:xm="http://schemas.microsoft.com/office/excel/2006/main">
          <x14:cfRule type="cellIs" priority="1895" operator="lessThan" id="{85D1AB6E-03AB-4E42-9F6F-C2605905E72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6" operator="greaterThanOrEqual" id="{DCD3BAFF-122C-46D0-B98B-4319662F0E3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M490</xm:sqref>
        </x14:conditionalFormatting>
        <x14:conditionalFormatting xmlns:xm="http://schemas.microsoft.com/office/excel/2006/main">
          <x14:cfRule type="cellIs" priority="1892" operator="lessThan" id="{7A593D9E-1927-43C8-A7D1-C3DAF1B07B8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3" operator="greaterThanOrEqual" id="{78B9AB0D-7528-4B0C-9A33-AB4A0A007FD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H493</xm:sqref>
        </x14:conditionalFormatting>
        <x14:conditionalFormatting xmlns:xm="http://schemas.microsoft.com/office/excel/2006/main">
          <x14:cfRule type="cellIs" priority="1878" operator="greaterThanOrEqual" id="{999EE1D8-48D6-472C-9430-8D33678AAF6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79" operator="lessThan" id="{ADD0F59F-3B87-4DD7-BF61-BB7347C1915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C498</xm:sqref>
        </x14:conditionalFormatting>
        <x14:conditionalFormatting xmlns:xm="http://schemas.microsoft.com/office/excel/2006/main">
          <x14:cfRule type="cellIs" priority="1880" operator="greaterThanOrEqual" id="{6B5EBDBB-F5F3-4281-B7AD-9D61AC91B2F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1" operator="lessThan" id="{74CA6647-CF21-4B1A-889E-0AAACAEBDEA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E498</xm:sqref>
        </x14:conditionalFormatting>
        <x14:conditionalFormatting xmlns:xm="http://schemas.microsoft.com/office/excel/2006/main">
          <x14:cfRule type="cellIs" priority="1882" operator="greaterThanOrEqual" id="{C8834568-8D01-4910-A23B-489EEB46CF6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3" operator="lessThan" id="{4691971A-34C7-4CCB-A57B-5FF10368DC7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G498</xm:sqref>
        </x14:conditionalFormatting>
        <x14:conditionalFormatting xmlns:xm="http://schemas.microsoft.com/office/excel/2006/main">
          <x14:cfRule type="cellIs" priority="1884" operator="greaterThanOrEqual" id="{08978C83-060A-4107-B0C4-49B2310144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5" operator="lessThan" id="{DA46696F-E733-4384-9C65-6F45308F454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I498</xm:sqref>
        </x14:conditionalFormatting>
        <x14:conditionalFormatting xmlns:xm="http://schemas.microsoft.com/office/excel/2006/main">
          <x14:cfRule type="cellIs" priority="1886" operator="greaterThanOrEqual" id="{B5BFFD10-11D0-451D-8B50-5C1BA445622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7" operator="lessThan" id="{F9281B3F-380C-4572-8999-F671DB62880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K498</xm:sqref>
        </x14:conditionalFormatting>
        <x14:conditionalFormatting xmlns:xm="http://schemas.microsoft.com/office/excel/2006/main">
          <x14:cfRule type="cellIs" priority="1888" operator="greaterThanOrEqual" id="{E789E0FC-79B0-4F08-B9ED-3BD8AEC0C5C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9" operator="lessThan" id="{12187E95-083D-4252-9CE0-0234CEE9CF6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M498</xm:sqref>
        </x14:conditionalFormatting>
        <x14:conditionalFormatting xmlns:xm="http://schemas.microsoft.com/office/excel/2006/main">
          <x14:cfRule type="cellIs" priority="1874" operator="lessThan" id="{FC9A8172-7647-4DBE-90FE-FA0B4EB781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75" operator="greaterThanOrEqual" id="{6C0B552D-6696-451B-9561-EEA2D40B19C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M501</xm:sqref>
        </x14:conditionalFormatting>
        <x14:conditionalFormatting xmlns:xm="http://schemas.microsoft.com/office/excel/2006/main">
          <x14:cfRule type="cellIs" priority="1871" operator="lessThan" id="{08C373E2-BFAB-427D-8654-0E641648ED3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72" operator="greaterThanOrEqual" id="{2967A2FC-3A33-48BA-9085-AB72ADBD22D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M504</xm:sqref>
        </x14:conditionalFormatting>
        <x14:conditionalFormatting xmlns:xm="http://schemas.microsoft.com/office/excel/2006/main">
          <x14:cfRule type="cellIs" priority="1868" operator="lessThan" id="{6006AC02-86A3-4856-8310-D5920ACE822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69" operator="greaterThanOrEqual" id="{2BA7739E-3B85-44AE-881F-CFE57A59D38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M507</xm:sqref>
        </x14:conditionalFormatting>
        <x14:conditionalFormatting xmlns:xm="http://schemas.microsoft.com/office/excel/2006/main">
          <x14:cfRule type="cellIs" priority="1865" operator="lessThan" id="{FF1502FA-E2BE-4A67-8D1C-83B7918ADC0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66" operator="greaterThanOrEqual" id="{01F9FAF5-D9EF-4E51-9194-5A1B6D9410B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H510</xm:sqref>
        </x14:conditionalFormatting>
        <x14:conditionalFormatting xmlns:xm="http://schemas.microsoft.com/office/excel/2006/main">
          <x14:cfRule type="cellIs" priority="1851" operator="greaterThanOrEqual" id="{687C4A44-C8F9-496A-83F9-48F01230AAF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2" operator="lessThan" id="{33F47CB4-0970-4EBF-9F53-BBE47D1B583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C515</xm:sqref>
        </x14:conditionalFormatting>
        <x14:conditionalFormatting xmlns:xm="http://schemas.microsoft.com/office/excel/2006/main">
          <x14:cfRule type="cellIs" priority="1853" operator="greaterThanOrEqual" id="{DBA887B0-7DDF-490D-83B8-BC02A744209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4" operator="lessThan" id="{4252AAF3-E13E-4CB0-9346-47E93404E04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E515</xm:sqref>
        </x14:conditionalFormatting>
        <x14:conditionalFormatting xmlns:xm="http://schemas.microsoft.com/office/excel/2006/main">
          <x14:cfRule type="cellIs" priority="1855" operator="greaterThanOrEqual" id="{4B004F15-CA8B-4F56-843E-E2944E01371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6" operator="lessThan" id="{05AF998C-1F5A-4BC3-B1DC-FEBB9400C21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G515</xm:sqref>
        </x14:conditionalFormatting>
        <x14:conditionalFormatting xmlns:xm="http://schemas.microsoft.com/office/excel/2006/main">
          <x14:cfRule type="cellIs" priority="1857" operator="greaterThanOrEqual" id="{21C49330-4B12-41EA-A36E-0A3FB001F76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8" operator="lessThan" id="{A0E3934B-1F82-459B-8F0B-E98695C2571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I515</xm:sqref>
        </x14:conditionalFormatting>
        <x14:conditionalFormatting xmlns:xm="http://schemas.microsoft.com/office/excel/2006/main">
          <x14:cfRule type="cellIs" priority="1859" operator="greaterThanOrEqual" id="{BB7F0869-1B87-4A93-8750-0E821C07E71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0" operator="lessThan" id="{3ACA1B2F-78E4-4A51-9DB6-B945622673A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K515</xm:sqref>
        </x14:conditionalFormatting>
        <x14:conditionalFormatting xmlns:xm="http://schemas.microsoft.com/office/excel/2006/main">
          <x14:cfRule type="cellIs" priority="1861" operator="greaterThanOrEqual" id="{0438D7E7-A5AD-4621-917A-83AF075368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2" operator="lessThan" id="{07537A64-37C6-4759-B858-65E69C88EFD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M515</xm:sqref>
        </x14:conditionalFormatting>
        <x14:conditionalFormatting xmlns:xm="http://schemas.microsoft.com/office/excel/2006/main">
          <x14:cfRule type="cellIs" priority="1847" operator="lessThan" id="{3CB39159-AC45-4851-BB10-66440143F4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8" operator="greaterThanOrEqual" id="{2660FFE6-4F85-474F-966D-634112BF1A9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M518</xm:sqref>
        </x14:conditionalFormatting>
        <x14:conditionalFormatting xmlns:xm="http://schemas.microsoft.com/office/excel/2006/main">
          <x14:cfRule type="cellIs" priority="1844" operator="lessThan" id="{494BCFEB-6D16-44BB-A09A-52CB1F3718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5" operator="greaterThanOrEqual" id="{3B0F2C92-03A9-4DAE-9FBE-1F9A7A98074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M521</xm:sqref>
        </x14:conditionalFormatting>
        <x14:conditionalFormatting xmlns:xm="http://schemas.microsoft.com/office/excel/2006/main">
          <x14:cfRule type="cellIs" priority="1841" operator="lessThan" id="{55E1C272-537C-4E1F-9FD9-90B067A2986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2" operator="greaterThanOrEqual" id="{8238EA67-3CD7-48B4-946E-E1CF9AF1E88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M524</xm:sqref>
        </x14:conditionalFormatting>
        <x14:conditionalFormatting xmlns:xm="http://schemas.microsoft.com/office/excel/2006/main">
          <x14:cfRule type="cellIs" priority="1838" operator="lessThan" id="{B74E5760-DAE2-448A-B22C-3DD64E71231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39" operator="greaterThanOrEqual" id="{11DAFE26-6ADD-45BD-91C0-205C072A441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H527</xm:sqref>
        </x14:conditionalFormatting>
        <x14:conditionalFormatting xmlns:xm="http://schemas.microsoft.com/office/excel/2006/main">
          <x14:cfRule type="cellIs" priority="1824" operator="greaterThanOrEqual" id="{2FEEC1B3-363C-4298-885D-99A0A36A37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5" operator="lessThan" id="{AFEEDAED-CC79-4F7F-955C-420C727A043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C532</xm:sqref>
        </x14:conditionalFormatting>
        <x14:conditionalFormatting xmlns:xm="http://schemas.microsoft.com/office/excel/2006/main">
          <x14:cfRule type="cellIs" priority="1826" operator="greaterThanOrEqual" id="{D9918E8D-5C3D-4CFF-AAA8-DDA69085450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7" operator="lessThan" id="{F41F8721-537A-40EB-A83C-5D137256736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E532</xm:sqref>
        </x14:conditionalFormatting>
        <x14:conditionalFormatting xmlns:xm="http://schemas.microsoft.com/office/excel/2006/main">
          <x14:cfRule type="cellIs" priority="1828" operator="greaterThanOrEqual" id="{F35622E7-8554-48FE-BE92-F796D97F0EF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9" operator="lessThan" id="{90D88A6D-A02B-4E28-8FFC-AD5FF8D539A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G532</xm:sqref>
        </x14:conditionalFormatting>
        <x14:conditionalFormatting xmlns:xm="http://schemas.microsoft.com/office/excel/2006/main">
          <x14:cfRule type="cellIs" priority="1830" operator="greaterThanOrEqual" id="{C204A9B1-A0BE-4403-A786-F706C576B53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1" operator="lessThan" id="{1DD500FC-7E4E-4B26-9C05-E7316104146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I532</xm:sqref>
        </x14:conditionalFormatting>
        <x14:conditionalFormatting xmlns:xm="http://schemas.microsoft.com/office/excel/2006/main">
          <x14:cfRule type="cellIs" priority="1832" operator="greaterThanOrEqual" id="{DB1DB8D4-0828-43B8-96E1-AEE0319860C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3" operator="lessThan" id="{E0A0B03C-468D-4B56-8197-789EFB4AB2C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K532</xm:sqref>
        </x14:conditionalFormatting>
        <x14:conditionalFormatting xmlns:xm="http://schemas.microsoft.com/office/excel/2006/main">
          <x14:cfRule type="cellIs" priority="1834" operator="greaterThanOrEqual" id="{18C0FFA8-B652-4985-BC50-883F352DBAC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5" operator="lessThan" id="{EB65E501-03E2-440D-BE56-666901BC2FD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M532</xm:sqref>
        </x14:conditionalFormatting>
        <x14:conditionalFormatting xmlns:xm="http://schemas.microsoft.com/office/excel/2006/main">
          <x14:cfRule type="cellIs" priority="1820" operator="lessThan" id="{1C9B4EA2-E2EC-4A0D-9517-EB0D408E107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21" operator="greaterThanOrEqual" id="{26F7317C-63A0-4EA5-A9F0-E5C2022AF12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M535</xm:sqref>
        </x14:conditionalFormatting>
        <x14:conditionalFormatting xmlns:xm="http://schemas.microsoft.com/office/excel/2006/main">
          <x14:cfRule type="cellIs" priority="1817" operator="lessThan" id="{68DCF435-1963-4957-AC8B-92035EA2282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8" operator="greaterThanOrEqual" id="{868863B7-8B97-4E76-9C30-3A923290AA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M538</xm:sqref>
        </x14:conditionalFormatting>
        <x14:conditionalFormatting xmlns:xm="http://schemas.microsoft.com/office/excel/2006/main">
          <x14:cfRule type="cellIs" priority="1814" operator="lessThan" id="{103CD2FC-A42A-486A-876D-8BF3582D98C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5" operator="greaterThanOrEqual" id="{EDF31885-33AD-48E5-9DF5-A256E05A197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M541</xm:sqref>
        </x14:conditionalFormatting>
        <x14:conditionalFormatting xmlns:xm="http://schemas.microsoft.com/office/excel/2006/main">
          <x14:cfRule type="cellIs" priority="1811" operator="lessThan" id="{F6171F70-7F18-486F-A152-18C431066C2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2" operator="greaterThanOrEqual" id="{22D9434E-006C-476F-BC84-7E4CAF726A6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H544</xm:sqref>
        </x14:conditionalFormatting>
        <x14:conditionalFormatting xmlns:xm="http://schemas.microsoft.com/office/excel/2006/main">
          <x14:cfRule type="cellIs" priority="1797" operator="greaterThanOrEqual" id="{CBF153F8-F56B-47CD-BDB4-051D551F6C5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98" operator="lessThan" id="{53124AB7-1440-4D07-85FC-AE106E1AB35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C549</xm:sqref>
        </x14:conditionalFormatting>
        <x14:conditionalFormatting xmlns:xm="http://schemas.microsoft.com/office/excel/2006/main">
          <x14:cfRule type="cellIs" priority="1799" operator="greaterThanOrEqual" id="{FB432240-9802-4B90-844A-58F06E23C47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0" operator="lessThan" id="{7652AFF3-EF5A-491D-8CC7-520256213D9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E549</xm:sqref>
        </x14:conditionalFormatting>
        <x14:conditionalFormatting xmlns:xm="http://schemas.microsoft.com/office/excel/2006/main">
          <x14:cfRule type="cellIs" priority="1801" operator="greaterThanOrEqual" id="{382DBCA6-9D33-4934-B495-9331C680123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2" operator="lessThan" id="{F669B732-5726-46B3-9BBA-DE0D15A881C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G549</xm:sqref>
        </x14:conditionalFormatting>
        <x14:conditionalFormatting xmlns:xm="http://schemas.microsoft.com/office/excel/2006/main">
          <x14:cfRule type="cellIs" priority="1803" operator="greaterThanOrEqual" id="{0A676A2D-50BE-4E3B-9796-00B7D93C5D1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4" operator="lessThan" id="{0685FE17-FAA3-43D7-8B73-4EC4DD118E4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I549</xm:sqref>
        </x14:conditionalFormatting>
        <x14:conditionalFormatting xmlns:xm="http://schemas.microsoft.com/office/excel/2006/main">
          <x14:cfRule type="cellIs" priority="1805" operator="greaterThanOrEqual" id="{6062C2E1-2695-437E-B76C-648B066A815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6" operator="lessThan" id="{FF8FB9BD-1F05-441A-B673-86AF991827E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K549</xm:sqref>
        </x14:conditionalFormatting>
        <x14:conditionalFormatting xmlns:xm="http://schemas.microsoft.com/office/excel/2006/main">
          <x14:cfRule type="cellIs" priority="1807" operator="greaterThanOrEqual" id="{0AD588BA-0DBF-4875-A749-7979DDEC7EA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8" operator="lessThan" id="{3E28193B-1968-4C3A-99D5-625B4FFD542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M549</xm:sqref>
        </x14:conditionalFormatting>
        <x14:conditionalFormatting xmlns:xm="http://schemas.microsoft.com/office/excel/2006/main">
          <x14:cfRule type="cellIs" priority="1793" operator="lessThan" id="{84E83BF7-4DD2-44EF-8F07-4931841E642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94" operator="greaterThanOrEqual" id="{472797BF-2042-45BC-A747-E819F38D0C3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M552</xm:sqref>
        </x14:conditionalFormatting>
        <x14:conditionalFormatting xmlns:xm="http://schemas.microsoft.com/office/excel/2006/main">
          <x14:cfRule type="cellIs" priority="1790" operator="lessThan" id="{192086D6-2AE2-4CF5-AAD6-502D90AD36F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91" operator="greaterThanOrEqual" id="{AF68CE38-C022-4047-B65F-CDED541A019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M555</xm:sqref>
        </x14:conditionalFormatting>
        <x14:conditionalFormatting xmlns:xm="http://schemas.microsoft.com/office/excel/2006/main">
          <x14:cfRule type="cellIs" priority="1787" operator="lessThan" id="{0C0ACACE-A8D3-48E5-93FE-385CB6D40B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88" operator="greaterThanOrEqual" id="{42B70D13-603A-4500-88CC-555B1A55D39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M558</xm:sqref>
        </x14:conditionalFormatting>
        <x14:conditionalFormatting xmlns:xm="http://schemas.microsoft.com/office/excel/2006/main">
          <x14:cfRule type="cellIs" priority="1784" operator="lessThan" id="{189DB21A-B30D-4687-952D-1E5C7455252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85" operator="greaterThanOrEqual" id="{533DF53E-1D85-4866-8744-87C8885976F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H561</xm:sqref>
        </x14:conditionalFormatting>
        <x14:conditionalFormatting xmlns:xm="http://schemas.microsoft.com/office/excel/2006/main">
          <x14:cfRule type="cellIs" priority="1770" operator="greaterThanOrEqual" id="{FE15CF16-F711-48AC-B8F3-94882E080F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1" operator="lessThan" id="{EE9F1392-8157-421B-B778-AA965E07913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C566</xm:sqref>
        </x14:conditionalFormatting>
        <x14:conditionalFormatting xmlns:xm="http://schemas.microsoft.com/office/excel/2006/main">
          <x14:cfRule type="cellIs" priority="1772" operator="greaterThanOrEqual" id="{C1C689FD-5893-4603-B5F7-52261A3637D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3" operator="lessThan" id="{CC1C9597-9E31-4C46-9E72-D170F15382E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E566</xm:sqref>
        </x14:conditionalFormatting>
        <x14:conditionalFormatting xmlns:xm="http://schemas.microsoft.com/office/excel/2006/main">
          <x14:cfRule type="cellIs" priority="1774" operator="greaterThanOrEqual" id="{B5D110A8-FB7F-452C-9D57-F4E36367045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5" operator="lessThan" id="{8D4785E5-EC35-4EC2-B1AA-EFF8978A4B8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G566</xm:sqref>
        </x14:conditionalFormatting>
        <x14:conditionalFormatting xmlns:xm="http://schemas.microsoft.com/office/excel/2006/main">
          <x14:cfRule type="cellIs" priority="1776" operator="greaterThanOrEqual" id="{DD3E8255-4109-40BA-ADC7-87D1334437C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7" operator="lessThan" id="{C3DD2228-57E6-477A-9F51-B7B34CEDFE3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I566</xm:sqref>
        </x14:conditionalFormatting>
        <x14:conditionalFormatting xmlns:xm="http://schemas.microsoft.com/office/excel/2006/main">
          <x14:cfRule type="cellIs" priority="1778" operator="greaterThanOrEqual" id="{614873DA-B17C-495A-B8B4-E9BFFC8ACD8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9" operator="lessThan" id="{11C6562E-E2B5-496E-83B2-DC3C3C31AEE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K566</xm:sqref>
        </x14:conditionalFormatting>
        <x14:conditionalFormatting xmlns:xm="http://schemas.microsoft.com/office/excel/2006/main">
          <x14:cfRule type="cellIs" priority="1780" operator="greaterThanOrEqual" id="{E18C7236-44DC-4048-B83B-CB785223CC0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81" operator="lessThan" id="{48ABA324-75AE-405E-B90B-CE4FC63D3FB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M566</xm:sqref>
        </x14:conditionalFormatting>
        <x14:conditionalFormatting xmlns:xm="http://schemas.microsoft.com/office/excel/2006/main">
          <x14:cfRule type="cellIs" priority="1766" operator="lessThan" id="{B274B310-2FB3-4928-80EA-7D8E80237E9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7" operator="greaterThanOrEqual" id="{778E3296-A493-4DFB-96C1-865D436D688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M569</xm:sqref>
        </x14:conditionalFormatting>
        <x14:conditionalFormatting xmlns:xm="http://schemas.microsoft.com/office/excel/2006/main">
          <x14:cfRule type="cellIs" priority="1763" operator="lessThan" id="{EE69B189-A95C-4E32-BB93-64659796B12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4" operator="greaterThanOrEqual" id="{1992B334-A977-4727-A32F-42F1F3B9FFF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M572</xm:sqref>
        </x14:conditionalFormatting>
        <x14:conditionalFormatting xmlns:xm="http://schemas.microsoft.com/office/excel/2006/main">
          <x14:cfRule type="cellIs" priority="1760" operator="lessThan" id="{61395DEA-583A-4C6E-BC00-9B95381709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1" operator="greaterThanOrEqual" id="{730C4539-2FF0-4D31-AE70-0E2601666EE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M575</xm:sqref>
        </x14:conditionalFormatting>
        <x14:conditionalFormatting xmlns:xm="http://schemas.microsoft.com/office/excel/2006/main">
          <x14:cfRule type="cellIs" priority="1757" operator="lessThan" id="{91ABFEE5-A250-4C2C-ADB2-05E8DEC08C7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58" operator="greaterThanOrEqual" id="{897DE420-6DAA-423F-96E8-CF4DAB1BAA8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H578</xm:sqref>
        </x14:conditionalFormatting>
        <x14:conditionalFormatting xmlns:xm="http://schemas.microsoft.com/office/excel/2006/main">
          <x14:cfRule type="cellIs" priority="1743" operator="greaterThanOrEqual" id="{C84C2708-1386-4B6C-B4C0-F22F9895A9A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4" operator="lessThan" id="{43816FF1-8B26-41E1-A865-5AF4A9626F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C583</xm:sqref>
        </x14:conditionalFormatting>
        <x14:conditionalFormatting xmlns:xm="http://schemas.microsoft.com/office/excel/2006/main">
          <x14:cfRule type="cellIs" priority="1745" operator="greaterThanOrEqual" id="{FF453DCA-1AE5-429A-8999-F9EEF327A67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6" operator="lessThan" id="{5BECBBD0-6135-42A0-A949-B513C0FA95C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E583</xm:sqref>
        </x14:conditionalFormatting>
        <x14:conditionalFormatting xmlns:xm="http://schemas.microsoft.com/office/excel/2006/main">
          <x14:cfRule type="cellIs" priority="1747" operator="greaterThanOrEqual" id="{34446E9E-9E87-4A11-A45D-EA183C94F43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8" operator="lessThan" id="{420BDC94-33E3-40F0-A6E3-365FC31E727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G583</xm:sqref>
        </x14:conditionalFormatting>
        <x14:conditionalFormatting xmlns:xm="http://schemas.microsoft.com/office/excel/2006/main">
          <x14:cfRule type="cellIs" priority="1749" operator="greaterThanOrEqual" id="{2FF19750-0D20-4BB0-8865-7103BAFF495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0" operator="lessThan" id="{AA8EA6E9-FB14-447F-B4C8-AAFF899C623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I583</xm:sqref>
        </x14:conditionalFormatting>
        <x14:conditionalFormatting xmlns:xm="http://schemas.microsoft.com/office/excel/2006/main">
          <x14:cfRule type="cellIs" priority="1751" operator="greaterThanOrEqual" id="{AFADCD58-BB3A-4558-AB8B-061EA6DC893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2" operator="lessThan" id="{15088919-B0AA-4F78-A53E-339A0D95267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K583</xm:sqref>
        </x14:conditionalFormatting>
        <x14:conditionalFormatting xmlns:xm="http://schemas.microsoft.com/office/excel/2006/main">
          <x14:cfRule type="cellIs" priority="1753" operator="greaterThanOrEqual" id="{0B17FE8F-C5F9-4E1D-8FF7-BBCED1029A7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4" operator="lessThan" id="{88DB1266-FB28-446A-9061-36523098EF6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M583</xm:sqref>
        </x14:conditionalFormatting>
        <x14:conditionalFormatting xmlns:xm="http://schemas.microsoft.com/office/excel/2006/main">
          <x14:cfRule type="cellIs" priority="1739" operator="lessThan" id="{F4FCC00E-E900-4844-BC9B-BA819AA2394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40" operator="greaterThanOrEqual" id="{F16EA9EC-EE29-4E31-BB25-4A5499FE581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M586</xm:sqref>
        </x14:conditionalFormatting>
        <x14:conditionalFormatting xmlns:xm="http://schemas.microsoft.com/office/excel/2006/main">
          <x14:cfRule type="cellIs" priority="1736" operator="lessThan" id="{13D0A9EB-6E4A-45CE-AEAC-E953A6C263C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7" operator="greaterThanOrEqual" id="{9823FE9B-95D9-49F2-A67B-D1C64A42435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M589</xm:sqref>
        </x14:conditionalFormatting>
        <x14:conditionalFormatting xmlns:xm="http://schemas.microsoft.com/office/excel/2006/main">
          <x14:cfRule type="cellIs" priority="1733" operator="lessThan" id="{ECDF481F-C8ED-40E3-A880-0680F56EE4C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4" operator="greaterThanOrEqual" id="{7AEBAB14-5E15-4C20-8CAF-739DADAA61B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M592</xm:sqref>
        </x14:conditionalFormatting>
        <x14:conditionalFormatting xmlns:xm="http://schemas.microsoft.com/office/excel/2006/main">
          <x14:cfRule type="cellIs" priority="1730" operator="lessThan" id="{17EE7041-C9B5-4ADB-8108-60BE268FC93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1" operator="greaterThanOrEqual" id="{AAC5A487-D1B6-4CB5-B8DB-C4F8B53835A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H595</xm:sqref>
        </x14:conditionalFormatting>
        <x14:conditionalFormatting xmlns:xm="http://schemas.microsoft.com/office/excel/2006/main">
          <x14:cfRule type="cellIs" priority="1716" operator="greaterThanOrEqual" id="{35F69686-B15C-4A7E-A937-8F8B06F2365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17" operator="lessThan" id="{E40E055B-6864-4DB1-882A-37A56E5033C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C600</xm:sqref>
        </x14:conditionalFormatting>
        <x14:conditionalFormatting xmlns:xm="http://schemas.microsoft.com/office/excel/2006/main">
          <x14:cfRule type="cellIs" priority="1718" operator="greaterThanOrEqual" id="{1F2A4743-2426-434A-9DBC-46D4487B80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19" operator="lessThan" id="{E87930AC-3514-4810-98BE-73BA03216DF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E600</xm:sqref>
        </x14:conditionalFormatting>
        <x14:conditionalFormatting xmlns:xm="http://schemas.microsoft.com/office/excel/2006/main">
          <x14:cfRule type="cellIs" priority="1720" operator="greaterThanOrEqual" id="{2C573385-B637-42B1-861D-C7E2D2ACC00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1" operator="lessThan" id="{5B9FC85B-EE3E-45A1-A908-7EED602C30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G600</xm:sqref>
        </x14:conditionalFormatting>
        <x14:conditionalFormatting xmlns:xm="http://schemas.microsoft.com/office/excel/2006/main">
          <x14:cfRule type="cellIs" priority="1722" operator="greaterThanOrEqual" id="{9F64A409-EC3B-4ECA-8E79-29FC1557002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3" operator="lessThan" id="{3F336B3D-D70B-4606-B7A0-D60825FCC61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I600</xm:sqref>
        </x14:conditionalFormatting>
        <x14:conditionalFormatting xmlns:xm="http://schemas.microsoft.com/office/excel/2006/main">
          <x14:cfRule type="cellIs" priority="1724" operator="greaterThanOrEqual" id="{D986FC1D-A217-4287-B8ED-9D63705704B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5" operator="lessThan" id="{54F58D42-4839-4D72-A108-BE254AE911B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K600</xm:sqref>
        </x14:conditionalFormatting>
        <x14:conditionalFormatting xmlns:xm="http://schemas.microsoft.com/office/excel/2006/main">
          <x14:cfRule type="cellIs" priority="1726" operator="greaterThanOrEqual" id="{2A3B4280-AEBF-4B8D-B3E0-06CCD09D608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7" operator="lessThan" id="{A99EF903-D768-438A-8472-2FD6BFFCDA0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M600</xm:sqref>
        </x14:conditionalFormatting>
        <x14:conditionalFormatting xmlns:xm="http://schemas.microsoft.com/office/excel/2006/main">
          <x14:cfRule type="cellIs" priority="1712" operator="lessThan" id="{A1B0A6A9-AD58-4D96-AD78-6E8FF424493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3" operator="greaterThanOrEqual" id="{71BAA8BD-DA79-4FDE-A7E2-92D8DB2BD25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M603</xm:sqref>
        </x14:conditionalFormatting>
        <x14:conditionalFormatting xmlns:xm="http://schemas.microsoft.com/office/excel/2006/main">
          <x14:cfRule type="cellIs" priority="1709" operator="lessThan" id="{9CFAF161-189E-40ED-81C6-4C69F42D862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0" operator="greaterThanOrEqual" id="{7D2F4AB2-35C9-4923-B7CD-DA8C9C46281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M606</xm:sqref>
        </x14:conditionalFormatting>
        <x14:conditionalFormatting xmlns:xm="http://schemas.microsoft.com/office/excel/2006/main">
          <x14:cfRule type="cellIs" priority="1706" operator="lessThan" id="{CB4218EF-798C-48DA-9EB8-C145C0E6182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07" operator="greaterThanOrEqual" id="{21DDBCF5-0BE4-4FC9-9A90-CD7DF7CABBD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M609</xm:sqref>
        </x14:conditionalFormatting>
        <x14:conditionalFormatting xmlns:xm="http://schemas.microsoft.com/office/excel/2006/main">
          <x14:cfRule type="cellIs" priority="1703" operator="lessThan" id="{37E022A9-3D03-4361-BD02-1EAA8BF933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04" operator="greaterThanOrEqual" id="{271A0D90-6EF5-4F20-8CB7-4C1EA22CBB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H612</xm:sqref>
        </x14:conditionalFormatting>
        <x14:conditionalFormatting xmlns:xm="http://schemas.microsoft.com/office/excel/2006/main">
          <x14:cfRule type="cellIs" priority="1689" operator="greaterThanOrEqual" id="{6C8284AD-7CF9-4CBF-A2C0-360D13713DD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0" operator="lessThan" id="{42629666-88CA-4200-A3C5-0B9BBE9267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C617</xm:sqref>
        </x14:conditionalFormatting>
        <x14:conditionalFormatting xmlns:xm="http://schemas.microsoft.com/office/excel/2006/main">
          <x14:cfRule type="cellIs" priority="1691" operator="greaterThanOrEqual" id="{F9E1C23A-FF38-402F-8924-4431AC6425F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2" operator="lessThan" id="{46556D84-5796-455E-882D-6929C0240DE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E617</xm:sqref>
        </x14:conditionalFormatting>
        <x14:conditionalFormatting xmlns:xm="http://schemas.microsoft.com/office/excel/2006/main">
          <x14:cfRule type="cellIs" priority="1693" operator="greaterThanOrEqual" id="{641399BE-2634-4752-822A-548777BA7C0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4" operator="lessThan" id="{A282EAD6-4D18-4F3E-82DD-2B7A5A1A651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G617</xm:sqref>
        </x14:conditionalFormatting>
        <x14:conditionalFormatting xmlns:xm="http://schemas.microsoft.com/office/excel/2006/main">
          <x14:cfRule type="cellIs" priority="1695" operator="greaterThanOrEqual" id="{79C023C4-A56A-4D89-90A2-5DDCD50AC4A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6" operator="lessThan" id="{7B96ABFA-43B5-4208-81ED-969ECD36562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I617</xm:sqref>
        </x14:conditionalFormatting>
        <x14:conditionalFormatting xmlns:xm="http://schemas.microsoft.com/office/excel/2006/main">
          <x14:cfRule type="cellIs" priority="1697" operator="greaterThanOrEqual" id="{5E657145-643B-44CF-91A5-246627B6470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8" operator="lessThan" id="{9E73AF80-B47E-427C-9EB5-269CADC6874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K617</xm:sqref>
        </x14:conditionalFormatting>
        <x14:conditionalFormatting xmlns:xm="http://schemas.microsoft.com/office/excel/2006/main">
          <x14:cfRule type="cellIs" priority="1699" operator="greaterThanOrEqual" id="{DF41C9B9-1AD3-49BB-8D6C-C308114CFFE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00" operator="lessThan" id="{802A22AC-87BA-4944-876B-336987B394A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M617</xm:sqref>
        </x14:conditionalFormatting>
        <x14:conditionalFormatting xmlns:xm="http://schemas.microsoft.com/office/excel/2006/main">
          <x14:cfRule type="cellIs" priority="1685" operator="lessThan" id="{69ED60DF-7F6F-4568-9F4F-3054E8003E6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6" operator="greaterThanOrEqual" id="{03B27409-6563-44AB-96E5-189E5CA261A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M620</xm:sqref>
        </x14:conditionalFormatting>
        <x14:conditionalFormatting xmlns:xm="http://schemas.microsoft.com/office/excel/2006/main">
          <x14:cfRule type="cellIs" priority="1682" operator="lessThan" id="{3FEB11B2-58B8-4847-BB22-C739B77F065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3" operator="greaterThanOrEqual" id="{CA6977E3-C73A-431C-9842-28452E42E2C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M623</xm:sqref>
        </x14:conditionalFormatting>
        <x14:conditionalFormatting xmlns:xm="http://schemas.microsoft.com/office/excel/2006/main">
          <x14:cfRule type="cellIs" priority="1679" operator="lessThan" id="{4A8D53E8-1735-47CE-960F-AEBC4FE8D3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0" operator="greaterThanOrEqual" id="{3D719F33-75E1-4524-A5C0-A08B6D50F7A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M626</xm:sqref>
        </x14:conditionalFormatting>
        <x14:conditionalFormatting xmlns:xm="http://schemas.microsoft.com/office/excel/2006/main">
          <x14:cfRule type="cellIs" priority="1676" operator="lessThan" id="{8E928925-B9D9-4A46-967B-67EB1F752AC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77" operator="greaterThanOrEqual" id="{5411A86D-EF0A-4E52-A4A9-5C416880CE2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H629</xm:sqref>
        </x14:conditionalFormatting>
        <x14:conditionalFormatting xmlns:xm="http://schemas.microsoft.com/office/excel/2006/main">
          <x14:cfRule type="cellIs" priority="1662" operator="greaterThanOrEqual" id="{81C06303-0BC1-4EC5-B7A8-328C269F9D0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3" operator="lessThan" id="{62C02CB2-969B-4431-83AC-3D1DB25F819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C634</xm:sqref>
        </x14:conditionalFormatting>
        <x14:conditionalFormatting xmlns:xm="http://schemas.microsoft.com/office/excel/2006/main">
          <x14:cfRule type="cellIs" priority="1664" operator="greaterThanOrEqual" id="{DBC659D5-E22A-43D2-BB36-D9F62DEC73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5" operator="lessThan" id="{3E4EA5B8-A182-4898-B144-54CF076FD77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E634</xm:sqref>
        </x14:conditionalFormatting>
        <x14:conditionalFormatting xmlns:xm="http://schemas.microsoft.com/office/excel/2006/main">
          <x14:cfRule type="cellIs" priority="1666" operator="greaterThanOrEqual" id="{7B01B404-0B54-42C7-8809-DA4E97166B5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7" operator="lessThan" id="{1CEE7D3F-D512-4A8D-846E-142C852EC48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G634</xm:sqref>
        </x14:conditionalFormatting>
        <x14:conditionalFormatting xmlns:xm="http://schemas.microsoft.com/office/excel/2006/main">
          <x14:cfRule type="cellIs" priority="1668" operator="greaterThanOrEqual" id="{7FCD5E68-AC80-495E-B0FC-F58C6A4D00C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9" operator="lessThan" id="{28FAF183-EBA8-4333-904E-EB042D464AA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I634</xm:sqref>
        </x14:conditionalFormatting>
        <x14:conditionalFormatting xmlns:xm="http://schemas.microsoft.com/office/excel/2006/main">
          <x14:cfRule type="cellIs" priority="1670" operator="greaterThanOrEqual" id="{C9F7C8D7-833A-49BE-90CD-F371A4ECE60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71" operator="lessThan" id="{65E14964-1DED-44EC-BD58-E9DCF761297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K634</xm:sqref>
        </x14:conditionalFormatting>
        <x14:conditionalFormatting xmlns:xm="http://schemas.microsoft.com/office/excel/2006/main">
          <x14:cfRule type="cellIs" priority="1672" operator="greaterThanOrEqual" id="{1012E0C4-4E31-4551-8648-4DD9E099A4A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73" operator="lessThan" id="{7851868C-B468-4BC4-9A40-D1F526D72AC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M634</xm:sqref>
        </x14:conditionalFormatting>
        <x14:conditionalFormatting xmlns:xm="http://schemas.microsoft.com/office/excel/2006/main">
          <x14:cfRule type="cellIs" priority="1658" operator="lessThan" id="{44AF6E52-C547-43DD-B452-B397CD6FC1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9" operator="greaterThanOrEqual" id="{02DEA726-7902-46CA-A10D-74F4878AA3E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M637</xm:sqref>
        </x14:conditionalFormatting>
        <x14:conditionalFormatting xmlns:xm="http://schemas.microsoft.com/office/excel/2006/main">
          <x14:cfRule type="cellIs" priority="1655" operator="lessThan" id="{7CB65AB2-FE0E-4A35-AD2A-CA1B5AD6F01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6" operator="greaterThanOrEqual" id="{CD6A0D57-C98C-45A0-9A33-C02882BD32C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M640</xm:sqref>
        </x14:conditionalFormatting>
        <x14:conditionalFormatting xmlns:xm="http://schemas.microsoft.com/office/excel/2006/main">
          <x14:cfRule type="cellIs" priority="1652" operator="lessThan" id="{EF6E3F8C-AD3C-4EFA-B0AC-ADEFFB13D68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3" operator="greaterThanOrEqual" id="{1EC4E12E-2E6D-45C2-9B08-60E9B0FBB2E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M643</xm:sqref>
        </x14:conditionalFormatting>
        <x14:conditionalFormatting xmlns:xm="http://schemas.microsoft.com/office/excel/2006/main">
          <x14:cfRule type="cellIs" priority="1649" operator="lessThan" id="{A21E2618-723B-4D7E-B719-39DDD703EFE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0" operator="greaterThanOrEqual" id="{F10491C7-52C4-43D7-8686-2B869CDF8C4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H646</xm:sqref>
        </x14:conditionalFormatting>
        <x14:conditionalFormatting xmlns:xm="http://schemas.microsoft.com/office/excel/2006/main">
          <x14:cfRule type="cellIs" priority="1635" operator="greaterThanOrEqual" id="{78328870-8278-4918-A78E-C22CD5AB0E6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36" operator="lessThan" id="{4DE22EBA-C36B-4618-A51B-D7E501D26FD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C651</xm:sqref>
        </x14:conditionalFormatting>
        <x14:conditionalFormatting xmlns:xm="http://schemas.microsoft.com/office/excel/2006/main">
          <x14:cfRule type="cellIs" priority="1637" operator="greaterThanOrEqual" id="{A03E254E-59E7-4F9E-9AE3-D9BA9961F40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38" operator="lessThan" id="{651AB8F6-9EE2-4C48-90C3-8A24B434FBC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E651</xm:sqref>
        </x14:conditionalFormatting>
        <x14:conditionalFormatting xmlns:xm="http://schemas.microsoft.com/office/excel/2006/main">
          <x14:cfRule type="cellIs" priority="1639" operator="greaterThanOrEqual" id="{7CDEF5DA-828C-4A1C-968A-84AE7E4315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0" operator="lessThan" id="{49EC031B-533F-45A8-87F9-E23A8E3563E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G651</xm:sqref>
        </x14:conditionalFormatting>
        <x14:conditionalFormatting xmlns:xm="http://schemas.microsoft.com/office/excel/2006/main">
          <x14:cfRule type="cellIs" priority="1641" operator="greaterThanOrEqual" id="{39C597E6-3024-4F00-AC64-F73CE44ED32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2" operator="lessThan" id="{8FB43267-02CB-4D16-8370-48689830A2B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I651</xm:sqref>
        </x14:conditionalFormatting>
        <x14:conditionalFormatting xmlns:xm="http://schemas.microsoft.com/office/excel/2006/main">
          <x14:cfRule type="cellIs" priority="1643" operator="greaterThanOrEqual" id="{23BC139A-BA3C-4724-9250-16E26633152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4" operator="lessThan" id="{A9836908-4302-427B-B3CD-FF4FABAFBA5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K651</xm:sqref>
        </x14:conditionalFormatting>
        <x14:conditionalFormatting xmlns:xm="http://schemas.microsoft.com/office/excel/2006/main">
          <x14:cfRule type="cellIs" priority="1645" operator="greaterThanOrEqual" id="{C1EC2795-13AF-4DE0-9207-6522AA8184E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6" operator="lessThan" id="{79234BF0-CE94-4618-83A3-5EB8E371A22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M651</xm:sqref>
        </x14:conditionalFormatting>
        <x14:conditionalFormatting xmlns:xm="http://schemas.microsoft.com/office/excel/2006/main">
          <x14:cfRule type="cellIs" priority="1631" operator="lessThan" id="{F7F094A3-0712-4612-97AE-AC7DDC18675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32" operator="greaterThanOrEqual" id="{692EC151-A407-4C31-BFD3-C51E9E6946C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M654</xm:sqref>
        </x14:conditionalFormatting>
        <x14:conditionalFormatting xmlns:xm="http://schemas.microsoft.com/office/excel/2006/main">
          <x14:cfRule type="cellIs" priority="1628" operator="lessThan" id="{FB11AB49-10DB-49A7-ABBC-05B8C784D8B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9" operator="greaterThanOrEqual" id="{E826C696-DA4F-4B03-B847-0D99B76FD1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M657</xm:sqref>
        </x14:conditionalFormatting>
        <x14:conditionalFormatting xmlns:xm="http://schemas.microsoft.com/office/excel/2006/main">
          <x14:cfRule type="cellIs" priority="1625" operator="lessThan" id="{33D8A9FA-4DFF-4449-BD92-5304F8048F6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6" operator="greaterThanOrEqual" id="{DA4C4F76-4D43-44EC-918E-AC20E964DD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M660</xm:sqref>
        </x14:conditionalFormatting>
        <x14:conditionalFormatting xmlns:xm="http://schemas.microsoft.com/office/excel/2006/main">
          <x14:cfRule type="cellIs" priority="1622" operator="lessThan" id="{5C55D3EA-96E8-40A5-BCE5-F38A29FBAB2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3" operator="greaterThanOrEqual" id="{19238B54-5612-4F17-8CC2-09B97EBB3B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H663</xm:sqref>
        </x14:conditionalFormatting>
        <x14:conditionalFormatting xmlns:xm="http://schemas.microsoft.com/office/excel/2006/main">
          <x14:cfRule type="cellIs" priority="1608" operator="greaterThanOrEqual" id="{5A2ED2F6-F6A7-44AF-8006-1DFFB3A261F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09" operator="lessThan" id="{BD6E5DDE-F7FE-43A0-9E89-91CDC883999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C668</xm:sqref>
        </x14:conditionalFormatting>
        <x14:conditionalFormatting xmlns:xm="http://schemas.microsoft.com/office/excel/2006/main">
          <x14:cfRule type="cellIs" priority="1610" operator="greaterThanOrEqual" id="{AEF7E8F3-8BD7-4234-B66B-2B39F860679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1" operator="lessThan" id="{DAAD1FE5-0890-4E0A-A964-F16172A327D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E668</xm:sqref>
        </x14:conditionalFormatting>
        <x14:conditionalFormatting xmlns:xm="http://schemas.microsoft.com/office/excel/2006/main">
          <x14:cfRule type="cellIs" priority="1612" operator="greaterThanOrEqual" id="{0C56954F-07C4-4ECA-AF1A-242A6696EA7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3" operator="lessThan" id="{802EEEA5-2173-4A02-8C6F-A65B855F893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G668</xm:sqref>
        </x14:conditionalFormatting>
        <x14:conditionalFormatting xmlns:xm="http://schemas.microsoft.com/office/excel/2006/main">
          <x14:cfRule type="cellIs" priority="1614" operator="greaterThanOrEqual" id="{25ABFBC2-D245-4088-AB64-26BF3201E86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5" operator="lessThan" id="{F07BE009-72A1-4E10-8C53-8CBA8EACAB9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I668</xm:sqref>
        </x14:conditionalFormatting>
        <x14:conditionalFormatting xmlns:xm="http://schemas.microsoft.com/office/excel/2006/main">
          <x14:cfRule type="cellIs" priority="1616" operator="greaterThanOrEqual" id="{878F12BC-F881-43E2-95CC-59644CF5607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7" operator="lessThan" id="{20451630-6388-4E3E-B550-72462E51C6B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K668</xm:sqref>
        </x14:conditionalFormatting>
        <x14:conditionalFormatting xmlns:xm="http://schemas.microsoft.com/office/excel/2006/main">
          <x14:cfRule type="cellIs" priority="1618" operator="greaterThanOrEqual" id="{D7E989B4-9108-4544-9EE0-CEDF3E64DCD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9" operator="lessThan" id="{2E002E31-C4AC-4C1F-BE05-83AB6FF61F3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M668</xm:sqref>
        </x14:conditionalFormatting>
        <x14:conditionalFormatting xmlns:xm="http://schemas.microsoft.com/office/excel/2006/main">
          <x14:cfRule type="cellIs" priority="1604" operator="lessThan" id="{4B7397E9-FC69-411B-88C8-030105AF561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05" operator="greaterThanOrEqual" id="{3A34C37B-DFB8-4DA2-82BD-53A584FE93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M671</xm:sqref>
        </x14:conditionalFormatting>
        <x14:conditionalFormatting xmlns:xm="http://schemas.microsoft.com/office/excel/2006/main">
          <x14:cfRule type="cellIs" priority="1601" operator="lessThan" id="{F820BC1B-4323-4BCF-9A98-0B4BC4FF66C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02" operator="greaterThanOrEqual" id="{8C3C6DFA-2B9F-4405-9343-B4180697598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M674</xm:sqref>
        </x14:conditionalFormatting>
        <x14:conditionalFormatting xmlns:xm="http://schemas.microsoft.com/office/excel/2006/main">
          <x14:cfRule type="cellIs" priority="1598" operator="lessThan" id="{B7E044C0-DFCB-441D-997D-BCB8876837E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99" operator="greaterThanOrEqual" id="{EC9CE1D3-7F80-4F15-9569-3D981F3BFA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M677</xm:sqref>
        </x14:conditionalFormatting>
        <x14:conditionalFormatting xmlns:xm="http://schemas.microsoft.com/office/excel/2006/main">
          <x14:cfRule type="cellIs" priority="1595" operator="lessThan" id="{1FE154F4-D43D-40C1-A3DA-7980D4E2E83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96" operator="greaterThanOrEqual" id="{01AB0A41-456D-47B0-AAF7-43D218547D2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H680</xm:sqref>
        </x14:conditionalFormatting>
        <x14:conditionalFormatting xmlns:xm="http://schemas.microsoft.com/office/excel/2006/main">
          <x14:cfRule type="cellIs" priority="1581" operator="greaterThanOrEqual" id="{F7F52F67-D311-45A2-83FD-BA6FD5F717D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2" operator="lessThan" id="{11626F0A-A9F0-4AEB-BE63-C6DCC903B07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C685</xm:sqref>
        </x14:conditionalFormatting>
        <x14:conditionalFormatting xmlns:xm="http://schemas.microsoft.com/office/excel/2006/main">
          <x14:cfRule type="cellIs" priority="1583" operator="greaterThanOrEqual" id="{87D9D136-4DE0-4981-9D86-1387F3CABEE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4" operator="lessThan" id="{0101DDB9-E5AB-4FA2-B071-662A1AE9D1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E685</xm:sqref>
        </x14:conditionalFormatting>
        <x14:conditionalFormatting xmlns:xm="http://schemas.microsoft.com/office/excel/2006/main">
          <x14:cfRule type="cellIs" priority="1585" operator="greaterThanOrEqual" id="{4709F1A8-2BD0-4E66-AB83-2C75CBAD657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6" operator="lessThan" id="{B42D6663-21FC-4416-8452-95B097BA3C8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G685</xm:sqref>
        </x14:conditionalFormatting>
        <x14:conditionalFormatting xmlns:xm="http://schemas.microsoft.com/office/excel/2006/main">
          <x14:cfRule type="cellIs" priority="1587" operator="greaterThanOrEqual" id="{C7A6B5CB-5444-41BF-815C-1D938AFBA57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8" operator="lessThan" id="{4E1B191A-F331-4B93-8427-89F2E71B34C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I685</xm:sqref>
        </x14:conditionalFormatting>
        <x14:conditionalFormatting xmlns:xm="http://schemas.microsoft.com/office/excel/2006/main">
          <x14:cfRule type="cellIs" priority="1589" operator="greaterThanOrEqual" id="{45BD261B-2F68-4B45-955C-4D97013C5D3C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0" operator="lessThan" id="{12E92F9A-E3C9-43E0-80A2-B4389415714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K685</xm:sqref>
        </x14:conditionalFormatting>
        <x14:conditionalFormatting xmlns:xm="http://schemas.microsoft.com/office/excel/2006/main">
          <x14:cfRule type="cellIs" priority="1591" operator="greaterThanOrEqual" id="{BE97D3B6-F1D6-4005-9183-C89B5DC8498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2" operator="lessThan" id="{20F9619B-6626-4673-8DAD-A495095709D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M685</xm:sqref>
        </x14:conditionalFormatting>
        <x14:conditionalFormatting xmlns:xm="http://schemas.microsoft.com/office/excel/2006/main">
          <x14:cfRule type="cellIs" priority="1577" operator="lessThan" id="{FB559514-E077-4A28-8C3A-4C82B557156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8" operator="greaterThanOrEqual" id="{733EE350-A0BF-4064-B248-2844E743060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M688</xm:sqref>
        </x14:conditionalFormatting>
        <x14:conditionalFormatting xmlns:xm="http://schemas.microsoft.com/office/excel/2006/main">
          <x14:cfRule type="cellIs" priority="1574" operator="lessThan" id="{B25A7077-A8C0-4FFE-864B-53E2DB59653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5" operator="greaterThanOrEqual" id="{29DCE9B3-C2F9-4452-9916-B0C3FB97F44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M691</xm:sqref>
        </x14:conditionalFormatting>
        <x14:conditionalFormatting xmlns:xm="http://schemas.microsoft.com/office/excel/2006/main">
          <x14:cfRule type="cellIs" priority="1571" operator="lessThan" id="{EE3FCEA5-5FC4-4919-BCFC-5888426B7E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2" operator="greaterThanOrEqual" id="{662D309C-AD72-4FF5-A76F-A4A11312887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M694</xm:sqref>
        </x14:conditionalFormatting>
        <x14:conditionalFormatting xmlns:xm="http://schemas.microsoft.com/office/excel/2006/main">
          <x14:cfRule type="cellIs" priority="1568" operator="lessThan" id="{0F9A1A86-7737-4DED-827F-15ABAFD8F2C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69" operator="greaterThanOrEqual" id="{C53B7F2A-8013-486C-9FB7-05C7CB90C4A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H697</xm:sqref>
        </x14:conditionalFormatting>
        <x14:conditionalFormatting xmlns:xm="http://schemas.microsoft.com/office/excel/2006/main">
          <x14:cfRule type="cellIs" priority="1554" operator="greaterThanOrEqual" id="{213C3E59-90B2-4CFD-95CC-4427B347129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5" operator="lessThan" id="{959626D4-B65A-4353-B838-8A3BBE8A65A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C702</xm:sqref>
        </x14:conditionalFormatting>
        <x14:conditionalFormatting xmlns:xm="http://schemas.microsoft.com/office/excel/2006/main">
          <x14:cfRule type="cellIs" priority="1556" operator="greaterThanOrEqual" id="{54498CE6-70D0-4B9F-ACD5-3A6DFDC487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7" operator="lessThan" id="{9605562F-1228-4CCF-B332-33F90F9FFB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E702</xm:sqref>
        </x14:conditionalFormatting>
        <x14:conditionalFormatting xmlns:xm="http://schemas.microsoft.com/office/excel/2006/main">
          <x14:cfRule type="cellIs" priority="1558" operator="greaterThanOrEqual" id="{5B3910DD-909C-481F-83D3-6F192FC07B2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9" operator="lessThan" id="{A2095C42-0B85-4DBB-831D-96977510916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G702</xm:sqref>
        </x14:conditionalFormatting>
        <x14:conditionalFormatting xmlns:xm="http://schemas.microsoft.com/office/excel/2006/main">
          <x14:cfRule type="cellIs" priority="1560" operator="greaterThanOrEqual" id="{D74D62E9-0ABC-4C36-A877-1E4A61D9820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1" operator="lessThan" id="{BFBF5CE5-6B9B-40CE-8DD1-6ADE14B7E90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I702</xm:sqref>
        </x14:conditionalFormatting>
        <x14:conditionalFormatting xmlns:xm="http://schemas.microsoft.com/office/excel/2006/main">
          <x14:cfRule type="cellIs" priority="1562" operator="greaterThanOrEqual" id="{52F83DEC-562C-4DFD-8B83-131428F4A55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3" operator="lessThan" id="{53425EC0-8464-421D-8692-0C96AC9112D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K702</xm:sqref>
        </x14:conditionalFormatting>
        <x14:conditionalFormatting xmlns:xm="http://schemas.microsoft.com/office/excel/2006/main">
          <x14:cfRule type="cellIs" priority="1564" operator="greaterThanOrEqual" id="{F5A85DD0-A57B-4763-8AB5-E75110DBE4E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5" operator="lessThan" id="{DD68FEEE-DA95-4F06-A2D1-AB4CD9DE1BB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M702</xm:sqref>
        </x14:conditionalFormatting>
        <x14:conditionalFormatting xmlns:xm="http://schemas.microsoft.com/office/excel/2006/main">
          <x14:cfRule type="cellIs" priority="1550" operator="lessThan" id="{4721DDB3-961E-48B0-921D-BF03015AF45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51" operator="greaterThanOrEqual" id="{6EE3B6CA-E685-4D11-92A0-94ED2896B7E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M705</xm:sqref>
        </x14:conditionalFormatting>
        <x14:conditionalFormatting xmlns:xm="http://schemas.microsoft.com/office/excel/2006/main">
          <x14:cfRule type="cellIs" priority="1547" operator="lessThan" id="{A7946AFD-C689-41DA-9527-C306DA6B3BF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8" operator="greaterThanOrEqual" id="{AF9C1744-3B64-4313-BF6B-199F7C6BCC0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M708</xm:sqref>
        </x14:conditionalFormatting>
        <x14:conditionalFormatting xmlns:xm="http://schemas.microsoft.com/office/excel/2006/main">
          <x14:cfRule type="cellIs" priority="1544" operator="lessThan" id="{9A8E7CD5-2745-4C37-B0D3-EAB84ADED31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5" operator="greaterThanOrEqual" id="{F5A65D62-0855-47D1-8D3B-653B61C9347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M711</xm:sqref>
        </x14:conditionalFormatting>
        <x14:conditionalFormatting xmlns:xm="http://schemas.microsoft.com/office/excel/2006/main">
          <x14:cfRule type="cellIs" priority="1541" operator="lessThan" id="{535AED27-0E8A-4034-8E03-87BAF2BF578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2" operator="greaterThanOrEqual" id="{1EF06CD5-E138-429F-84D8-8222DA6B48A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H714</xm:sqref>
        </x14:conditionalFormatting>
        <x14:conditionalFormatting xmlns:xm="http://schemas.microsoft.com/office/excel/2006/main">
          <x14:cfRule type="cellIs" priority="1527" operator="greaterThanOrEqual" id="{39EB55C5-4923-49BC-9BA0-B1F0A58A489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28" operator="lessThan" id="{0A5E5D35-6829-43F6-8A75-271B0EB2AE8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C719</xm:sqref>
        </x14:conditionalFormatting>
        <x14:conditionalFormatting xmlns:xm="http://schemas.microsoft.com/office/excel/2006/main">
          <x14:cfRule type="cellIs" priority="1529" operator="greaterThanOrEqual" id="{344E6622-1807-4584-BF8F-695CEBCCDC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0" operator="lessThan" id="{4BE848C1-A702-473D-BE50-DD310DC4D24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E719</xm:sqref>
        </x14:conditionalFormatting>
        <x14:conditionalFormatting xmlns:xm="http://schemas.microsoft.com/office/excel/2006/main">
          <x14:cfRule type="cellIs" priority="1531" operator="greaterThanOrEqual" id="{ED5A11CC-7393-455B-9032-F2F1FFBA3FD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2" operator="lessThan" id="{42B73AE2-FC0F-43E5-A6EC-F474E970D57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G719</xm:sqref>
        </x14:conditionalFormatting>
        <x14:conditionalFormatting xmlns:xm="http://schemas.microsoft.com/office/excel/2006/main">
          <x14:cfRule type="cellIs" priority="1533" operator="greaterThanOrEqual" id="{B887EB68-477F-4FD0-A11D-C6A36C9E4F9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4" operator="lessThan" id="{C2DC2335-B7D2-47CE-81DF-4914ECA1A84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I719</xm:sqref>
        </x14:conditionalFormatting>
        <x14:conditionalFormatting xmlns:xm="http://schemas.microsoft.com/office/excel/2006/main">
          <x14:cfRule type="cellIs" priority="1535" operator="greaterThanOrEqual" id="{51929E7D-7A82-4EC7-A4FA-C3A5E23F1DD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6" operator="lessThan" id="{A50154BD-8A8C-45B3-B350-81ADD9E95C0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K719</xm:sqref>
        </x14:conditionalFormatting>
        <x14:conditionalFormatting xmlns:xm="http://schemas.microsoft.com/office/excel/2006/main">
          <x14:cfRule type="cellIs" priority="1537" operator="greaterThanOrEqual" id="{D44C1778-7309-4B37-87D9-18B56570615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8" operator="lessThan" id="{646D11FA-C4F1-4BD7-B48F-30BB6DAA1E5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M719</xm:sqref>
        </x14:conditionalFormatting>
        <x14:conditionalFormatting xmlns:xm="http://schemas.microsoft.com/office/excel/2006/main">
          <x14:cfRule type="cellIs" priority="1523" operator="lessThan" id="{EF43215E-E7BB-41F4-B7E7-F8B9A3D2DA7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24" operator="greaterThanOrEqual" id="{AF58ABAE-9341-4C52-AD1A-693E914354D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M722</xm:sqref>
        </x14:conditionalFormatting>
        <x14:conditionalFormatting xmlns:xm="http://schemas.microsoft.com/office/excel/2006/main">
          <x14:cfRule type="cellIs" priority="1520" operator="lessThan" id="{27484312-7AA0-493A-ACFA-0D66A28A04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21" operator="greaterThanOrEqual" id="{F9869C7E-9C06-4BA0-B5FB-1072AEFB1E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M725</xm:sqref>
        </x14:conditionalFormatting>
        <x14:conditionalFormatting xmlns:xm="http://schemas.microsoft.com/office/excel/2006/main">
          <x14:cfRule type="cellIs" priority="1517" operator="lessThan" id="{16916877-21D2-4CB1-9374-A14612149F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18" operator="greaterThanOrEqual" id="{2B32DE79-3A31-4C29-A22B-A6DACE23BA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M728</xm:sqref>
        </x14:conditionalFormatting>
        <x14:conditionalFormatting xmlns:xm="http://schemas.microsoft.com/office/excel/2006/main">
          <x14:cfRule type="cellIs" priority="1514" operator="lessThan" id="{1FF94AC5-FD8F-4F3B-BDBB-3FE29723D81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15" operator="greaterThanOrEqual" id="{730DFFCF-72DE-4C21-8AA9-C7BA0FD8EC2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H731</xm:sqref>
        </x14:conditionalFormatting>
        <x14:conditionalFormatting xmlns:xm="http://schemas.microsoft.com/office/excel/2006/main">
          <x14:cfRule type="cellIs" priority="1500" operator="greaterThanOrEqual" id="{3F7EEB09-7038-49D9-B911-E8F9157F67E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1" operator="lessThan" id="{3F67A1EB-C898-4830-AC6B-D98E5C04257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C736</xm:sqref>
        </x14:conditionalFormatting>
        <x14:conditionalFormatting xmlns:xm="http://schemas.microsoft.com/office/excel/2006/main">
          <x14:cfRule type="cellIs" priority="1502" operator="greaterThanOrEqual" id="{24DCD539-60D3-45CF-BEAC-A1A47259CE2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3" operator="lessThan" id="{B57B39CB-E02E-4BCC-B372-E46419A8F64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E736</xm:sqref>
        </x14:conditionalFormatting>
        <x14:conditionalFormatting xmlns:xm="http://schemas.microsoft.com/office/excel/2006/main">
          <x14:cfRule type="cellIs" priority="1504" operator="greaterThanOrEqual" id="{A775FF77-5EC4-4B03-8DDC-B80B90668E8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5" operator="lessThan" id="{E370EF2A-A7AF-4A05-8ABF-77274DA31E2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G736</xm:sqref>
        </x14:conditionalFormatting>
        <x14:conditionalFormatting xmlns:xm="http://schemas.microsoft.com/office/excel/2006/main">
          <x14:cfRule type="cellIs" priority="1506" operator="greaterThanOrEqual" id="{D7B325E6-D55B-4BF7-ACA3-7C3DED4426E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7" operator="lessThan" id="{53282CAD-EC2D-4F7B-9121-5931F5FCE37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I736</xm:sqref>
        </x14:conditionalFormatting>
        <x14:conditionalFormatting xmlns:xm="http://schemas.microsoft.com/office/excel/2006/main">
          <x14:cfRule type="cellIs" priority="1508" operator="greaterThanOrEqual" id="{25AF80CB-F883-4E97-8F17-5C7DC20EC78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9" operator="lessThan" id="{EE7FC6E0-7ED9-46B3-8F73-9123294AEF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K736</xm:sqref>
        </x14:conditionalFormatting>
        <x14:conditionalFormatting xmlns:xm="http://schemas.microsoft.com/office/excel/2006/main">
          <x14:cfRule type="cellIs" priority="1510" operator="greaterThanOrEqual" id="{9EA77DA7-0FE2-496B-AC8D-618279C3497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11" operator="lessThan" id="{87CF4F8E-5E85-41EF-AF4A-A6CC114CE84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M736</xm:sqref>
        </x14:conditionalFormatting>
        <x14:conditionalFormatting xmlns:xm="http://schemas.microsoft.com/office/excel/2006/main">
          <x14:cfRule type="cellIs" priority="1496" operator="lessThan" id="{27BDC181-EFED-4EE9-AB97-098233B2DB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7" operator="greaterThanOrEqual" id="{6B21781F-7E3F-40F4-BBC0-EA1BDB730D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M739</xm:sqref>
        </x14:conditionalFormatting>
        <x14:conditionalFormatting xmlns:xm="http://schemas.microsoft.com/office/excel/2006/main">
          <x14:cfRule type="cellIs" priority="1493" operator="lessThan" id="{097060D2-D3AD-422E-96E2-B0508C97F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4" operator="greaterThanOrEqual" id="{DB87CA36-FB7A-4B35-AA16-B004D19C64F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M742</xm:sqref>
        </x14:conditionalFormatting>
        <x14:conditionalFormatting xmlns:xm="http://schemas.microsoft.com/office/excel/2006/main">
          <x14:cfRule type="cellIs" priority="1490" operator="lessThan" id="{7116F8E8-5653-4DFA-853A-0C13D5A8A22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1" operator="greaterThanOrEqual" id="{ADC75257-2E6D-4683-9280-2559CDA1CA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M745</xm:sqref>
        </x14:conditionalFormatting>
        <x14:conditionalFormatting xmlns:xm="http://schemas.microsoft.com/office/excel/2006/main">
          <x14:cfRule type="cellIs" priority="1487" operator="lessThan" id="{F491CDC5-0ECC-46B4-8B28-AA1BCBF2414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88" operator="greaterThanOrEqual" id="{84D774D7-9D17-4D3C-BCD9-6FA86BB64DF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H748</xm:sqref>
        </x14:conditionalFormatting>
        <x14:conditionalFormatting xmlns:xm="http://schemas.microsoft.com/office/excel/2006/main">
          <x14:cfRule type="cellIs" priority="1473" operator="greaterThanOrEqual" id="{0EC8ADEC-D899-4F8B-ADF8-7CE09382DA4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4" operator="lessThan" id="{07F12EFE-FF2B-4E39-8ADC-9B8A5BC0DC5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C753</xm:sqref>
        </x14:conditionalFormatting>
        <x14:conditionalFormatting xmlns:xm="http://schemas.microsoft.com/office/excel/2006/main">
          <x14:cfRule type="cellIs" priority="1475" operator="greaterThanOrEqual" id="{4B597021-A24B-47E8-8941-6295CB7225F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6" operator="lessThan" id="{C5AA0486-CBB7-4FD2-909A-D3BCBFFC2F2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E753</xm:sqref>
        </x14:conditionalFormatting>
        <x14:conditionalFormatting xmlns:xm="http://schemas.microsoft.com/office/excel/2006/main">
          <x14:cfRule type="cellIs" priority="1477" operator="greaterThanOrEqual" id="{1218CF27-7882-441F-BFB5-DD0040BEE94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8" operator="lessThan" id="{7CECF42E-BE41-4EE6-8F04-03A64EFDDCA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G753</xm:sqref>
        </x14:conditionalFormatting>
        <x14:conditionalFormatting xmlns:xm="http://schemas.microsoft.com/office/excel/2006/main">
          <x14:cfRule type="cellIs" priority="1479" operator="greaterThanOrEqual" id="{ED789649-32AA-4FEF-9FF3-CC211495409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0" operator="lessThan" id="{B4C79BAA-48B7-4FB6-B65A-3A30CA98921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I753</xm:sqref>
        </x14:conditionalFormatting>
        <x14:conditionalFormatting xmlns:xm="http://schemas.microsoft.com/office/excel/2006/main">
          <x14:cfRule type="cellIs" priority="1481" operator="greaterThanOrEqual" id="{4DD2D0C3-DA9B-45A5-AD81-6CAF0A9C65D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2" operator="lessThan" id="{306CCCA5-C909-49C6-8BD1-E01367E789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K753</xm:sqref>
        </x14:conditionalFormatting>
        <x14:conditionalFormatting xmlns:xm="http://schemas.microsoft.com/office/excel/2006/main">
          <x14:cfRule type="cellIs" priority="1483" operator="greaterThanOrEqual" id="{2352AA67-5E24-43AA-A7C8-EF16A418433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4" operator="lessThan" id="{4D0A7E8D-7BDB-429D-9426-7D19EAE4CF1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M753</xm:sqref>
        </x14:conditionalFormatting>
        <x14:conditionalFormatting xmlns:xm="http://schemas.microsoft.com/office/excel/2006/main">
          <x14:cfRule type="cellIs" priority="1469" operator="lessThan" id="{29FB48B0-D2CC-436D-A22D-231D0728F1D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70" operator="greaterThanOrEqual" id="{72493B2E-91BE-4D5B-93A6-C12AE8A71E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M756</xm:sqref>
        </x14:conditionalFormatting>
        <x14:conditionalFormatting xmlns:xm="http://schemas.microsoft.com/office/excel/2006/main">
          <x14:cfRule type="cellIs" priority="1466" operator="lessThan" id="{2DDE4385-E8F6-46D3-84F8-D2F58C045D9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7" operator="greaterThanOrEqual" id="{58E126DC-3F84-4471-860E-709602D4C8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M759</xm:sqref>
        </x14:conditionalFormatting>
        <x14:conditionalFormatting xmlns:xm="http://schemas.microsoft.com/office/excel/2006/main">
          <x14:cfRule type="cellIs" priority="1463" operator="lessThan" id="{AE0ADDF8-8A7C-4E6D-A3AC-42C70E4E7B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4" operator="greaterThanOrEqual" id="{3DB0A505-7964-4A8B-B4FE-EEC71B08059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M762</xm:sqref>
        </x14:conditionalFormatting>
        <x14:conditionalFormatting xmlns:xm="http://schemas.microsoft.com/office/excel/2006/main">
          <x14:cfRule type="cellIs" priority="1460" operator="lessThan" id="{39F074E2-D4C8-442E-AA89-C6E0CAB18F0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1" operator="greaterThanOrEqual" id="{0A14B459-AC72-4A7D-AA73-DE19B830E38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H765</xm:sqref>
        </x14:conditionalFormatting>
        <x14:conditionalFormatting xmlns:xm="http://schemas.microsoft.com/office/excel/2006/main">
          <x14:cfRule type="cellIs" priority="1446" operator="greaterThanOrEqual" id="{DC12F65A-0DC0-440E-9DBD-91B6D2A9531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47" operator="lessThan" id="{A7E3DFF0-E95C-47C7-8560-5F6701D96FF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C770</xm:sqref>
        </x14:conditionalFormatting>
        <x14:conditionalFormatting xmlns:xm="http://schemas.microsoft.com/office/excel/2006/main">
          <x14:cfRule type="cellIs" priority="1448" operator="greaterThanOrEqual" id="{78671402-7B78-4225-938D-E76F8275574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49" operator="lessThan" id="{8E29A650-4708-4788-8AAB-015FC6BF24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E770</xm:sqref>
        </x14:conditionalFormatting>
        <x14:conditionalFormatting xmlns:xm="http://schemas.microsoft.com/office/excel/2006/main">
          <x14:cfRule type="cellIs" priority="1450" operator="greaterThanOrEqual" id="{2FAB178C-853F-4875-B3FE-F37B439E803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1" operator="lessThan" id="{AFAAC775-CC82-441F-B257-6549E6C48B4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G770</xm:sqref>
        </x14:conditionalFormatting>
        <x14:conditionalFormatting xmlns:xm="http://schemas.microsoft.com/office/excel/2006/main">
          <x14:cfRule type="cellIs" priority="1452" operator="greaterThanOrEqual" id="{BD52E807-83A0-4C06-A9B0-95E61849347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3" operator="lessThan" id="{A5ACA6F4-754C-4061-B78B-50AE5087981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I770</xm:sqref>
        </x14:conditionalFormatting>
        <x14:conditionalFormatting xmlns:xm="http://schemas.microsoft.com/office/excel/2006/main">
          <x14:cfRule type="cellIs" priority="1454" operator="greaterThanOrEqual" id="{28491D5D-7E10-49BA-9286-CC31B59A2B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5" operator="lessThan" id="{E503C711-C937-4BD4-ACDB-04507268317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K770</xm:sqref>
        </x14:conditionalFormatting>
        <x14:conditionalFormatting xmlns:xm="http://schemas.microsoft.com/office/excel/2006/main">
          <x14:cfRule type="cellIs" priority="1456" operator="greaterThanOrEqual" id="{1A903153-2E52-45C1-8393-8A844F45261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7" operator="lessThan" id="{6A8CB859-C301-457F-9AC9-57319FC2908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M770</xm:sqref>
        </x14:conditionalFormatting>
        <x14:conditionalFormatting xmlns:xm="http://schemas.microsoft.com/office/excel/2006/main">
          <x14:cfRule type="cellIs" priority="1442" operator="lessThan" id="{FCE3F8EE-7337-4F4F-9D4B-C9D10F2C8FD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3" operator="greaterThanOrEqual" id="{E1245EDC-EAA5-49F1-A6B2-02B90C077C0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M773</xm:sqref>
        </x14:conditionalFormatting>
        <x14:conditionalFormatting xmlns:xm="http://schemas.microsoft.com/office/excel/2006/main">
          <x14:cfRule type="cellIs" priority="1439" operator="lessThan" id="{B79B8406-6FD4-4A64-A77E-856D834DED7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0" operator="greaterThanOrEqual" id="{ADCB1CBF-01D9-4439-B627-834F551D9FF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M776</xm:sqref>
        </x14:conditionalFormatting>
        <x14:conditionalFormatting xmlns:xm="http://schemas.microsoft.com/office/excel/2006/main">
          <x14:cfRule type="cellIs" priority="1436" operator="lessThan" id="{A9A11FE9-2BFF-4C66-AC06-9887729351E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37" operator="greaterThanOrEqual" id="{7C60188D-2461-4A04-B72C-2181E1F5D5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M779</xm:sqref>
        </x14:conditionalFormatting>
        <x14:conditionalFormatting xmlns:xm="http://schemas.microsoft.com/office/excel/2006/main">
          <x14:cfRule type="cellIs" priority="1433" operator="lessThan" id="{11783FDB-8735-4E51-98E1-3818C9A892B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34" operator="greaterThanOrEqual" id="{43144753-C2E4-468E-823A-938A345CF80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H782</xm:sqref>
        </x14:conditionalFormatting>
        <x14:conditionalFormatting xmlns:xm="http://schemas.microsoft.com/office/excel/2006/main">
          <x14:cfRule type="cellIs" priority="1419" operator="greaterThanOrEqual" id="{3D16DADF-12E1-413B-B1D2-047331889B1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0" operator="lessThan" id="{41C4A98C-842F-443B-8A1F-5867DA696DC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C787</xm:sqref>
        </x14:conditionalFormatting>
        <x14:conditionalFormatting xmlns:xm="http://schemas.microsoft.com/office/excel/2006/main">
          <x14:cfRule type="cellIs" priority="1421" operator="greaterThanOrEqual" id="{8F7B3201-FD0B-48A3-B8CC-C495F85DC56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2" operator="lessThan" id="{42C034DC-AB4D-480A-9C33-331FB04D8A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E787</xm:sqref>
        </x14:conditionalFormatting>
        <x14:conditionalFormatting xmlns:xm="http://schemas.microsoft.com/office/excel/2006/main">
          <x14:cfRule type="cellIs" priority="1423" operator="greaterThanOrEqual" id="{FBB9E013-F1AF-40A9-AE17-06C0438960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4" operator="lessThan" id="{7FEFEDB4-9C6E-471E-A184-A74CB6C3C34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G787</xm:sqref>
        </x14:conditionalFormatting>
        <x14:conditionalFormatting xmlns:xm="http://schemas.microsoft.com/office/excel/2006/main">
          <x14:cfRule type="cellIs" priority="1425" operator="greaterThanOrEqual" id="{771AA1FA-17C0-465B-A928-B81B4B7092A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6" operator="lessThan" id="{F54960C3-1565-461B-BBA1-CAEE5020AFA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I787</xm:sqref>
        </x14:conditionalFormatting>
        <x14:conditionalFormatting xmlns:xm="http://schemas.microsoft.com/office/excel/2006/main">
          <x14:cfRule type="cellIs" priority="1427" operator="greaterThanOrEqual" id="{06AC3651-B35D-4D5F-A626-D1E619AF4DA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8" operator="lessThan" id="{B847596E-71EE-493B-A0D5-3F17AB08974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K787</xm:sqref>
        </x14:conditionalFormatting>
        <x14:conditionalFormatting xmlns:xm="http://schemas.microsoft.com/office/excel/2006/main">
          <x14:cfRule type="cellIs" priority="1429" operator="greaterThanOrEqual" id="{98EA709D-D9E9-4395-877F-FF65D1F1081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30" operator="lessThan" id="{E7C8AAC5-BD17-45AD-9203-1BD08A36464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M787</xm:sqref>
        </x14:conditionalFormatting>
        <x14:conditionalFormatting xmlns:xm="http://schemas.microsoft.com/office/excel/2006/main">
          <x14:cfRule type="cellIs" priority="1415" operator="lessThan" id="{799D54AF-5956-485E-B4CC-B8EA453EE0E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6" operator="greaterThanOrEqual" id="{C75FC930-F02A-487F-B8FB-67A1D0EE4D9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M790</xm:sqref>
        </x14:conditionalFormatting>
        <x14:conditionalFormatting xmlns:xm="http://schemas.microsoft.com/office/excel/2006/main">
          <x14:cfRule type="cellIs" priority="1412" operator="lessThan" id="{B27C3131-7040-4C9E-9E9F-DE62D5862D4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3" operator="greaterThanOrEqual" id="{25AA30B5-8520-4E88-8BD2-F1C19E6E1A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M793</xm:sqref>
        </x14:conditionalFormatting>
        <x14:conditionalFormatting xmlns:xm="http://schemas.microsoft.com/office/excel/2006/main">
          <x14:cfRule type="cellIs" priority="1409" operator="lessThan" id="{EE004E7D-2941-4B5B-9138-3BF98DFA0BA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0" operator="greaterThanOrEqual" id="{B0C3FD8E-3AC5-4FD8-9864-FDD18A797F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M796</xm:sqref>
        </x14:conditionalFormatting>
        <x14:conditionalFormatting xmlns:xm="http://schemas.microsoft.com/office/excel/2006/main">
          <x14:cfRule type="cellIs" priority="1406" operator="lessThan" id="{61559700-41AB-4BEE-A69F-E17CD0A93A3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07" operator="greaterThanOrEqual" id="{EEFD7EE2-8268-425B-86C2-2BBE9871D291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H799</xm:sqref>
        </x14:conditionalFormatting>
        <x14:conditionalFormatting xmlns:xm="http://schemas.microsoft.com/office/excel/2006/main">
          <x14:cfRule type="cellIs" priority="1392" operator="greaterThanOrEqual" id="{A6EF802D-80F0-4D79-9B0F-C9F78EE145B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3" operator="lessThan" id="{A256EA75-70E4-4A2C-80E7-EEBD856B931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C804</xm:sqref>
        </x14:conditionalFormatting>
        <x14:conditionalFormatting xmlns:xm="http://schemas.microsoft.com/office/excel/2006/main">
          <x14:cfRule type="cellIs" priority="1394" operator="greaterThanOrEqual" id="{2913055E-F25C-44D7-96D4-10CE9BA0DC8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5" operator="lessThan" id="{F5F55BDA-F78A-40F2-863B-77EE4735408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E804</xm:sqref>
        </x14:conditionalFormatting>
        <x14:conditionalFormatting xmlns:xm="http://schemas.microsoft.com/office/excel/2006/main">
          <x14:cfRule type="cellIs" priority="1396" operator="greaterThanOrEqual" id="{754E2D39-B248-4E34-930B-7D1567AD242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7" operator="lessThan" id="{6B77A3B6-5AF4-4D95-86A5-5AC20279D58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G804</xm:sqref>
        </x14:conditionalFormatting>
        <x14:conditionalFormatting xmlns:xm="http://schemas.microsoft.com/office/excel/2006/main">
          <x14:cfRule type="cellIs" priority="1398" operator="greaterThanOrEqual" id="{8A622752-7152-4811-8D00-EE88246DD85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9" operator="lessThan" id="{B0DEFF51-01D2-41FE-82E0-3019C6054CB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I804</xm:sqref>
        </x14:conditionalFormatting>
        <x14:conditionalFormatting xmlns:xm="http://schemas.microsoft.com/office/excel/2006/main">
          <x14:cfRule type="cellIs" priority="1400" operator="greaterThanOrEqual" id="{118EEC8E-BCEC-477C-B274-5E7CB2098A6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01" operator="lessThan" id="{B8842167-5037-4DF5-88E3-63D05E9CA3C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K804</xm:sqref>
        </x14:conditionalFormatting>
        <x14:conditionalFormatting xmlns:xm="http://schemas.microsoft.com/office/excel/2006/main">
          <x14:cfRule type="cellIs" priority="1402" operator="greaterThanOrEqual" id="{320FD323-62B2-497D-9C60-8A27D8ECC51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03" operator="lessThan" id="{DFD73B2A-124B-4455-8F52-BAB0CABE15D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M804</xm:sqref>
        </x14:conditionalFormatting>
        <x14:conditionalFormatting xmlns:xm="http://schemas.microsoft.com/office/excel/2006/main">
          <x14:cfRule type="cellIs" priority="1388" operator="lessThan" id="{CDED5E03-7D70-4370-969C-6A10E835E44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9" operator="greaterThanOrEqual" id="{A528F703-28DD-4A4D-88A7-FB4611E78B4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M807</xm:sqref>
        </x14:conditionalFormatting>
        <x14:conditionalFormatting xmlns:xm="http://schemas.microsoft.com/office/excel/2006/main">
          <x14:cfRule type="cellIs" priority="1385" operator="lessThan" id="{04EEEF3A-2982-4ABC-ACD1-24E077A1AE9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6" operator="greaterThanOrEqual" id="{AED345BF-2B36-4E43-A5E5-2593B791E5C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M810</xm:sqref>
        </x14:conditionalFormatting>
        <x14:conditionalFormatting xmlns:xm="http://schemas.microsoft.com/office/excel/2006/main">
          <x14:cfRule type="cellIs" priority="1382" operator="lessThan" id="{9392EC08-A2E3-4291-84A5-7D06BF895DF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3" operator="greaterThanOrEqual" id="{0BE14C64-DAC4-4D6B-A7D8-CDAE47AD24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M813</xm:sqref>
        </x14:conditionalFormatting>
        <x14:conditionalFormatting xmlns:xm="http://schemas.microsoft.com/office/excel/2006/main">
          <x14:cfRule type="cellIs" priority="1379" operator="lessThan" id="{4870DAA1-D32E-45F9-BB2D-6C64E2DC453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0" operator="greaterThanOrEqual" id="{55C489E8-641B-4536-A1A8-8B033232BAA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H816</xm:sqref>
        </x14:conditionalFormatting>
        <x14:conditionalFormatting xmlns:xm="http://schemas.microsoft.com/office/excel/2006/main">
          <x14:cfRule type="cellIs" priority="1365" operator="greaterThanOrEqual" id="{C9172DFF-0123-4850-A719-514CF6B9FB9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66" operator="lessThan" id="{3510FDBC-4D1E-468C-9272-A8C8C55F072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C821</xm:sqref>
        </x14:conditionalFormatting>
        <x14:conditionalFormatting xmlns:xm="http://schemas.microsoft.com/office/excel/2006/main">
          <x14:cfRule type="cellIs" priority="1367" operator="greaterThanOrEqual" id="{99E32127-CE97-4255-9088-629B6E71BB8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68" operator="lessThan" id="{895F91C8-2CD1-4B46-ADE5-CB4A635C24B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E821</xm:sqref>
        </x14:conditionalFormatting>
        <x14:conditionalFormatting xmlns:xm="http://schemas.microsoft.com/office/excel/2006/main">
          <x14:cfRule type="cellIs" priority="1369" operator="greaterThanOrEqual" id="{E53925B7-9DB3-4E91-A75D-EBCA167E0E9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0" operator="lessThan" id="{12B28410-5484-417B-8D76-4C727602FF4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G821</xm:sqref>
        </x14:conditionalFormatting>
        <x14:conditionalFormatting xmlns:xm="http://schemas.microsoft.com/office/excel/2006/main">
          <x14:cfRule type="cellIs" priority="1371" operator="greaterThanOrEqual" id="{31E1DBCC-BD6C-494D-909F-FE5687A1F97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2" operator="lessThan" id="{3C4810EC-ED1C-48A1-B572-5F85A109270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I821</xm:sqref>
        </x14:conditionalFormatting>
        <x14:conditionalFormatting xmlns:xm="http://schemas.microsoft.com/office/excel/2006/main">
          <x14:cfRule type="cellIs" priority="1373" operator="greaterThanOrEqual" id="{70D209FC-AF5E-417B-A5C3-DCDD8E4737A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4" operator="lessThan" id="{4F3C7933-7E1E-439B-A8B5-02022C1FE54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K821</xm:sqref>
        </x14:conditionalFormatting>
        <x14:conditionalFormatting xmlns:xm="http://schemas.microsoft.com/office/excel/2006/main">
          <x14:cfRule type="cellIs" priority="1375" operator="greaterThanOrEqual" id="{819939AA-119B-42C2-8FCE-99AD383B6FC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6" operator="lessThan" id="{80A438C8-5039-492B-AC31-F1B73D88C41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M821</xm:sqref>
        </x14:conditionalFormatting>
        <x14:conditionalFormatting xmlns:xm="http://schemas.microsoft.com/office/excel/2006/main">
          <x14:cfRule type="cellIs" priority="1361" operator="lessThan" id="{C17A9E60-8286-4D2B-A7C5-127187E50E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62" operator="greaterThanOrEqual" id="{B94D9420-8B75-476E-A891-79411041C31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M824</xm:sqref>
        </x14:conditionalFormatting>
        <x14:conditionalFormatting xmlns:xm="http://schemas.microsoft.com/office/excel/2006/main">
          <x14:cfRule type="cellIs" priority="1358" operator="lessThan" id="{EC90343B-CE79-4336-B460-0095466D518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9" operator="greaterThanOrEqual" id="{EA9A94E8-A4DC-47AE-A7F8-4B237C539CE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M827</xm:sqref>
        </x14:conditionalFormatting>
        <x14:conditionalFormatting xmlns:xm="http://schemas.microsoft.com/office/excel/2006/main">
          <x14:cfRule type="cellIs" priority="1355" operator="lessThan" id="{97D05397-EA9F-40E7-B6F1-1D92D2A83F1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6" operator="greaterThanOrEqual" id="{0270B304-304B-4FD5-8F71-98CB3FAA36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M830</xm:sqref>
        </x14:conditionalFormatting>
        <x14:conditionalFormatting xmlns:xm="http://schemas.microsoft.com/office/excel/2006/main">
          <x14:cfRule type="cellIs" priority="1352" operator="lessThan" id="{1D5DFBD7-DD2D-46F5-83E1-F4DD89113E0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3" operator="greaterThanOrEqual" id="{9DC67DFA-D153-4844-8E73-E5125EEAA7D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H833</xm:sqref>
        </x14:conditionalFormatting>
        <x14:conditionalFormatting xmlns:xm="http://schemas.microsoft.com/office/excel/2006/main">
          <x14:cfRule type="cellIs" priority="1338" operator="greaterThanOrEqual" id="{5C80D5CF-9D65-476C-9140-CF808E6E99E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39" operator="lessThan" id="{28F23957-B585-412A-B16F-F79F4BE559F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C838</xm:sqref>
        </x14:conditionalFormatting>
        <x14:conditionalFormatting xmlns:xm="http://schemas.microsoft.com/office/excel/2006/main">
          <x14:cfRule type="cellIs" priority="1340" operator="greaterThanOrEqual" id="{D7BD860A-5C45-4BF8-86C7-0E61DD812E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1" operator="lessThan" id="{FB9C765C-8386-457F-A09B-B784CEF5B0B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E838</xm:sqref>
        </x14:conditionalFormatting>
        <x14:conditionalFormatting xmlns:xm="http://schemas.microsoft.com/office/excel/2006/main">
          <x14:cfRule type="cellIs" priority="1342" operator="greaterThanOrEqual" id="{FF76C914-E2BB-4FD0-94BD-D9F1AC631BC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3" operator="lessThan" id="{681BFA97-9A76-477A-A726-0CE99E0E2A8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G838</xm:sqref>
        </x14:conditionalFormatting>
        <x14:conditionalFormatting xmlns:xm="http://schemas.microsoft.com/office/excel/2006/main">
          <x14:cfRule type="cellIs" priority="1344" operator="greaterThanOrEqual" id="{EF5E303D-1E51-4A61-9607-563DAE568EB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5" operator="lessThan" id="{4488B8BD-E868-459D-91B6-315D2AE651E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I838</xm:sqref>
        </x14:conditionalFormatting>
        <x14:conditionalFormatting xmlns:xm="http://schemas.microsoft.com/office/excel/2006/main">
          <x14:cfRule type="cellIs" priority="1346" operator="greaterThanOrEqual" id="{D2B3A8C7-69E6-4A98-8ACB-843E9349A0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7" operator="lessThan" id="{D94BD3A5-19DC-4859-A340-2159A4556B4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K838</xm:sqref>
        </x14:conditionalFormatting>
        <x14:conditionalFormatting xmlns:xm="http://schemas.microsoft.com/office/excel/2006/main">
          <x14:cfRule type="cellIs" priority="1348" operator="greaterThanOrEqual" id="{18ED1295-CC5A-4FAA-BA70-6D03B417EDA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9" operator="lessThan" id="{C3C97930-9AEC-47CE-9E09-567C6DB469C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M838</xm:sqref>
        </x14:conditionalFormatting>
        <x14:conditionalFormatting xmlns:xm="http://schemas.microsoft.com/office/excel/2006/main">
          <x14:cfRule type="cellIs" priority="1334" operator="lessThan" id="{38787254-71FB-406F-B53A-759CB6B8A4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35" operator="greaterThanOrEqual" id="{C2E8FADE-7536-4444-9191-93279F6747A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M841</xm:sqref>
        </x14:conditionalFormatting>
        <x14:conditionalFormatting xmlns:xm="http://schemas.microsoft.com/office/excel/2006/main">
          <x14:cfRule type="cellIs" priority="1331" operator="lessThan" id="{181F85C0-C14A-4914-9AF3-863A3ED9D6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32" operator="greaterThanOrEqual" id="{25E8C148-BEC1-46AE-BF63-165FB4E4593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M844</xm:sqref>
        </x14:conditionalFormatting>
        <x14:conditionalFormatting xmlns:xm="http://schemas.microsoft.com/office/excel/2006/main">
          <x14:cfRule type="cellIs" priority="1328" operator="lessThan" id="{8CE22B3D-B0AB-450B-B53C-E8867F40738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29" operator="greaterThanOrEqual" id="{40C3878A-B358-4E45-9947-17E1E27C143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M847</xm:sqref>
        </x14:conditionalFormatting>
        <x14:conditionalFormatting xmlns:xm="http://schemas.microsoft.com/office/excel/2006/main">
          <x14:cfRule type="cellIs" priority="1325" operator="lessThan" id="{348FE51D-86F5-406F-8D17-DB9DBFA3320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26" operator="greaterThanOrEqual" id="{3ADE5804-FAF7-4864-87A8-EAEFFCF6F81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H850</xm:sqref>
        </x14:conditionalFormatting>
        <x14:conditionalFormatting xmlns:xm="http://schemas.microsoft.com/office/excel/2006/main">
          <x14:cfRule type="cellIs" priority="1311" operator="greaterThanOrEqual" id="{35B367DD-5036-4A90-B7C3-AF723D4A2FE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2" operator="lessThan" id="{1EC32150-D425-48AD-9B9F-6CA84C7A876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C855</xm:sqref>
        </x14:conditionalFormatting>
        <x14:conditionalFormatting xmlns:xm="http://schemas.microsoft.com/office/excel/2006/main">
          <x14:cfRule type="cellIs" priority="1313" operator="greaterThanOrEqual" id="{25E8DDA2-C8A9-4F22-9B76-BD9D4901A8D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4" operator="lessThan" id="{1585DB2C-067C-480D-8599-05E27A3C1BE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E855</xm:sqref>
        </x14:conditionalFormatting>
        <x14:conditionalFormatting xmlns:xm="http://schemas.microsoft.com/office/excel/2006/main">
          <x14:cfRule type="cellIs" priority="1315" operator="greaterThanOrEqual" id="{BAB415AC-3D01-4F87-82E6-B4018CAC371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6" operator="lessThan" id="{2DEEBB78-C012-446F-BC6B-3211213C3DE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G855</xm:sqref>
        </x14:conditionalFormatting>
        <x14:conditionalFormatting xmlns:xm="http://schemas.microsoft.com/office/excel/2006/main">
          <x14:cfRule type="cellIs" priority="1317" operator="greaterThanOrEqual" id="{A008B614-8CA8-408E-A3BB-59ED792A620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8" operator="lessThan" id="{D227CDF6-6A03-4DBC-93DC-1D335A48147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I855</xm:sqref>
        </x14:conditionalFormatting>
        <x14:conditionalFormatting xmlns:xm="http://schemas.microsoft.com/office/excel/2006/main">
          <x14:cfRule type="cellIs" priority="1319" operator="greaterThanOrEqual" id="{446903F0-06D1-4A0D-9408-D8EFFEFEF3F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0" operator="lessThan" id="{CE85605F-45EE-4568-96A2-B54CE7370DD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K855</xm:sqref>
        </x14:conditionalFormatting>
        <x14:conditionalFormatting xmlns:xm="http://schemas.microsoft.com/office/excel/2006/main">
          <x14:cfRule type="cellIs" priority="1321" operator="greaterThanOrEqual" id="{EE3F5EB8-15EF-44A8-97A5-CB7A3B6F9C5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2" operator="lessThan" id="{981BEAC4-5287-4868-9439-EC8992618E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M855</xm:sqref>
        </x14:conditionalFormatting>
        <x14:conditionalFormatting xmlns:xm="http://schemas.microsoft.com/office/excel/2006/main">
          <x14:cfRule type="cellIs" priority="1307" operator="lessThan" id="{8B8EB06A-D1AF-435D-9556-69EE9EB1242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8" operator="greaterThanOrEqual" id="{E899F1CA-B2EF-4439-B696-483283DC324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M858</xm:sqref>
        </x14:conditionalFormatting>
        <x14:conditionalFormatting xmlns:xm="http://schemas.microsoft.com/office/excel/2006/main">
          <x14:cfRule type="cellIs" priority="1304" operator="lessThan" id="{BA24F3B1-B604-487B-8DB3-EFB93FD1CC7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5" operator="greaterThanOrEqual" id="{0C857983-9CDA-4CF3-8732-8C1A5E0DAAB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M861</xm:sqref>
        </x14:conditionalFormatting>
        <x14:conditionalFormatting xmlns:xm="http://schemas.microsoft.com/office/excel/2006/main">
          <x14:cfRule type="cellIs" priority="1301" operator="lessThan" id="{A65ADC55-DFAF-459B-BFC9-EF20DD3668D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2" operator="greaterThanOrEqual" id="{996BF2A7-FAF8-4468-97FC-19DC27905BE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M864</xm:sqref>
        </x14:conditionalFormatting>
        <x14:conditionalFormatting xmlns:xm="http://schemas.microsoft.com/office/excel/2006/main">
          <x14:cfRule type="cellIs" priority="1298" operator="lessThan" id="{9DE1FFBA-7E20-4131-A125-8770E930DFE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99" operator="greaterThanOrEqual" id="{1F48082E-C69A-4ADB-9485-F202C6F4ABE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H867</xm:sqref>
        </x14:conditionalFormatting>
        <x14:conditionalFormatting xmlns:xm="http://schemas.microsoft.com/office/excel/2006/main">
          <x14:cfRule type="cellIs" priority="1284" operator="greaterThanOrEqual" id="{C4EAEF0D-B8B5-4F7C-831C-8BD8CE8F2AF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5" operator="lessThan" id="{5E1E604D-FCD6-46D9-A3C2-4EEA41DFA24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C872</xm:sqref>
        </x14:conditionalFormatting>
        <x14:conditionalFormatting xmlns:xm="http://schemas.microsoft.com/office/excel/2006/main">
          <x14:cfRule type="cellIs" priority="1286" operator="greaterThanOrEqual" id="{FC98DB03-21BF-4540-99EB-6009325C891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7" operator="lessThan" id="{8578E6EB-FD3F-4A4E-A7F5-D45A4C59942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E872</xm:sqref>
        </x14:conditionalFormatting>
        <x14:conditionalFormatting xmlns:xm="http://schemas.microsoft.com/office/excel/2006/main">
          <x14:cfRule type="cellIs" priority="1288" operator="greaterThanOrEqual" id="{63A9CDD7-E549-4EE3-8852-7EBEFE278AA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9" operator="lessThan" id="{05E71CB9-C6BA-4F6A-83FC-E0F446FB9CD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G872</xm:sqref>
        </x14:conditionalFormatting>
        <x14:conditionalFormatting xmlns:xm="http://schemas.microsoft.com/office/excel/2006/main">
          <x14:cfRule type="cellIs" priority="1290" operator="greaterThanOrEqual" id="{F3DB3807-D0E2-4916-9332-509E13494F6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1" operator="lessThan" id="{3E955D41-846E-47F2-BD22-AC7418BE043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I872</xm:sqref>
        </x14:conditionalFormatting>
        <x14:conditionalFormatting xmlns:xm="http://schemas.microsoft.com/office/excel/2006/main">
          <x14:cfRule type="cellIs" priority="1292" operator="greaterThanOrEqual" id="{00643608-1F07-4F47-B6F6-FF077A74DA4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3" operator="lessThan" id="{0CF54573-699E-4A78-B227-86DBBEF9C03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K872</xm:sqref>
        </x14:conditionalFormatting>
        <x14:conditionalFormatting xmlns:xm="http://schemas.microsoft.com/office/excel/2006/main">
          <x14:cfRule type="cellIs" priority="1294" operator="greaterThanOrEqual" id="{199CB78C-83F4-4903-AB9B-8BA379B64B3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5" operator="lessThan" id="{DA600A98-DC06-4201-AA0A-0E546C63CAB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M872</xm:sqref>
        </x14:conditionalFormatting>
        <x14:conditionalFormatting xmlns:xm="http://schemas.microsoft.com/office/excel/2006/main">
          <x14:cfRule type="cellIs" priority="1280" operator="lessThan" id="{33955100-3709-4DF8-BE16-1A525AB8015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81" operator="greaterThanOrEqual" id="{A0EC6E2E-AD2A-4040-8914-0EA4897D235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M875</xm:sqref>
        </x14:conditionalFormatting>
        <x14:conditionalFormatting xmlns:xm="http://schemas.microsoft.com/office/excel/2006/main">
          <x14:cfRule type="cellIs" priority="1277" operator="lessThan" id="{6C77058D-E6A3-4F80-8BB6-A366188DFA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8" operator="greaterThanOrEqual" id="{5087A1ED-7F32-4792-8FE7-3A57673DCA4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M878</xm:sqref>
        </x14:conditionalFormatting>
        <x14:conditionalFormatting xmlns:xm="http://schemas.microsoft.com/office/excel/2006/main">
          <x14:cfRule type="cellIs" priority="1274" operator="lessThan" id="{26CB5E4B-C871-4341-B414-0B90E47B032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5" operator="greaterThanOrEqual" id="{511528E3-790A-4AF1-B4D5-5765AA69DA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M881</xm:sqref>
        </x14:conditionalFormatting>
        <x14:conditionalFormatting xmlns:xm="http://schemas.microsoft.com/office/excel/2006/main">
          <x14:cfRule type="cellIs" priority="1271" operator="lessThan" id="{A2383F5A-BB1B-4D14-AD3F-4372B855820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2" operator="greaterThanOrEqual" id="{5139B92C-1146-48D6-955D-5991B7C3755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H884</xm:sqref>
        </x14:conditionalFormatting>
        <x14:conditionalFormatting xmlns:xm="http://schemas.microsoft.com/office/excel/2006/main">
          <x14:cfRule type="cellIs" priority="1257" operator="greaterThanOrEqual" id="{CC1BF9DA-5613-4DA6-958C-81E53959B28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58" operator="lessThan" id="{39F5693F-467E-40F4-9295-E71213D7E2A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C889</xm:sqref>
        </x14:conditionalFormatting>
        <x14:conditionalFormatting xmlns:xm="http://schemas.microsoft.com/office/excel/2006/main">
          <x14:cfRule type="cellIs" priority="1259" operator="greaterThanOrEqual" id="{6891E969-F8E3-48F4-97D2-72C8AFF59B4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0" operator="lessThan" id="{43B731F2-9D44-49BC-906C-C4C0DCB8701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E889</xm:sqref>
        </x14:conditionalFormatting>
        <x14:conditionalFormatting xmlns:xm="http://schemas.microsoft.com/office/excel/2006/main">
          <x14:cfRule type="cellIs" priority="1261" operator="greaterThanOrEqual" id="{5E6E1EA1-D789-4FEE-AAAC-06F4E9D3501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2" operator="lessThan" id="{9F632404-4C93-451D-9F8C-640AF6AFDAF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G889</xm:sqref>
        </x14:conditionalFormatting>
        <x14:conditionalFormatting xmlns:xm="http://schemas.microsoft.com/office/excel/2006/main">
          <x14:cfRule type="cellIs" priority="1263" operator="greaterThanOrEqual" id="{71C3AEFE-BDF7-48A2-A9EB-A6826EA0A1D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4" operator="lessThan" id="{A1F79E43-5FCE-46D3-B179-5AD3505E51A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I889</xm:sqref>
        </x14:conditionalFormatting>
        <x14:conditionalFormatting xmlns:xm="http://schemas.microsoft.com/office/excel/2006/main">
          <x14:cfRule type="cellIs" priority="1265" operator="greaterThanOrEqual" id="{01F19398-A177-4E98-A907-03ABC505C02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6" operator="lessThan" id="{1B83DE0D-D117-4CDD-9AA9-54EFD79EA18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K889</xm:sqref>
        </x14:conditionalFormatting>
        <x14:conditionalFormatting xmlns:xm="http://schemas.microsoft.com/office/excel/2006/main">
          <x14:cfRule type="cellIs" priority="1267" operator="greaterThanOrEqual" id="{EA77F0F3-D569-4B4C-9044-A63E424CFAE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8" operator="lessThan" id="{2F56E3E5-B712-453E-ACAB-20AB4E7B792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M889</xm:sqref>
        </x14:conditionalFormatting>
        <x14:conditionalFormatting xmlns:xm="http://schemas.microsoft.com/office/excel/2006/main">
          <x14:cfRule type="cellIs" priority="1253" operator="lessThan" id="{6EF91E42-77F7-40E2-84DD-19E9526C37D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54" operator="greaterThanOrEqual" id="{7F48893B-6A7B-4D4A-8BC0-AA21C9EFAED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M892</xm:sqref>
        </x14:conditionalFormatting>
        <x14:conditionalFormatting xmlns:xm="http://schemas.microsoft.com/office/excel/2006/main">
          <x14:cfRule type="cellIs" priority="1250" operator="lessThan" id="{D28F3FE1-5E24-404E-8B40-1EE3F44AC6F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51" operator="greaterThanOrEqual" id="{8DD0C530-E63E-4EF1-97AB-121C60A166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M895</xm:sqref>
        </x14:conditionalFormatting>
        <x14:conditionalFormatting xmlns:xm="http://schemas.microsoft.com/office/excel/2006/main">
          <x14:cfRule type="cellIs" priority="1247" operator="lessThan" id="{67CFA313-38A1-4786-9C7E-C9324B749E3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48" operator="greaterThanOrEqual" id="{880FD644-E57D-4A76-BEC0-084174A641C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M898</xm:sqref>
        </x14:conditionalFormatting>
        <x14:conditionalFormatting xmlns:xm="http://schemas.microsoft.com/office/excel/2006/main">
          <x14:cfRule type="cellIs" priority="1244" operator="lessThan" id="{4683279F-A6E7-419E-BB87-CB548ADAD3D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45" operator="greaterThanOrEqual" id="{C9DC8D07-0741-4A6B-A79E-D9CF0681F0B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H901</xm:sqref>
        </x14:conditionalFormatting>
        <x14:conditionalFormatting xmlns:xm="http://schemas.microsoft.com/office/excel/2006/main">
          <x14:cfRule type="cellIs" priority="1230" operator="greaterThanOrEqual" id="{38CDB47F-884F-46FA-8BD4-74811248D08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1" operator="lessThan" id="{40CADCA2-71DC-4519-942C-5D521244C81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C906</xm:sqref>
        </x14:conditionalFormatting>
        <x14:conditionalFormatting xmlns:xm="http://schemas.microsoft.com/office/excel/2006/main">
          <x14:cfRule type="cellIs" priority="1232" operator="greaterThanOrEqual" id="{73A05F4A-767F-4BBF-A16B-4F0E67FF50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3" operator="lessThan" id="{0354A523-74B2-410A-9403-1AD65171BC3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E906</xm:sqref>
        </x14:conditionalFormatting>
        <x14:conditionalFormatting xmlns:xm="http://schemas.microsoft.com/office/excel/2006/main">
          <x14:cfRule type="cellIs" priority="1234" operator="greaterThanOrEqual" id="{3AA20F96-7249-4043-A5A4-669F208BB8F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5" operator="lessThan" id="{A44AC297-2814-44A5-A7E8-AD654A94144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G906</xm:sqref>
        </x14:conditionalFormatting>
        <x14:conditionalFormatting xmlns:xm="http://schemas.microsoft.com/office/excel/2006/main">
          <x14:cfRule type="cellIs" priority="1236" operator="greaterThanOrEqual" id="{D31D967A-F6BC-4B77-B32D-F17FDAC75B7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7" operator="lessThan" id="{A758EA5C-D1CB-49DB-9A4D-1A4899837FE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I906</xm:sqref>
        </x14:conditionalFormatting>
        <x14:conditionalFormatting xmlns:xm="http://schemas.microsoft.com/office/excel/2006/main">
          <x14:cfRule type="cellIs" priority="1238" operator="greaterThanOrEqual" id="{CEA958D8-425B-4A3C-B5EE-198EED09D18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9" operator="lessThan" id="{B363F6EE-2256-4E14-A8ED-8E7258D9AB1D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K906</xm:sqref>
        </x14:conditionalFormatting>
        <x14:conditionalFormatting xmlns:xm="http://schemas.microsoft.com/office/excel/2006/main">
          <x14:cfRule type="cellIs" priority="1240" operator="greaterThanOrEqual" id="{002BDBD3-7715-4292-9BCC-6F6E36536F2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41" operator="lessThan" id="{1333D224-0AF5-4600-AC09-F9CAA32B10A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M906</xm:sqref>
        </x14:conditionalFormatting>
        <x14:conditionalFormatting xmlns:xm="http://schemas.microsoft.com/office/excel/2006/main">
          <x14:cfRule type="cellIs" priority="1226" operator="lessThan" id="{3A80ACA8-37F3-47A3-8D32-2DF2EA5DD88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7" operator="greaterThanOrEqual" id="{3FE223EA-A7D3-408B-8279-F7DF3D96DDB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M909</xm:sqref>
        </x14:conditionalFormatting>
        <x14:conditionalFormatting xmlns:xm="http://schemas.microsoft.com/office/excel/2006/main">
          <x14:cfRule type="cellIs" priority="1223" operator="lessThan" id="{BA6395A9-7ECF-4137-B756-7C7A1382C6A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4" operator="greaterThanOrEqual" id="{BF740212-C2AA-47E5-921F-51B101EB5C9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M912</xm:sqref>
        </x14:conditionalFormatting>
        <x14:conditionalFormatting xmlns:xm="http://schemas.microsoft.com/office/excel/2006/main">
          <x14:cfRule type="cellIs" priority="1220" operator="lessThan" id="{6B7F6878-419A-44D6-B4B9-9B162C39060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1" operator="greaterThanOrEqual" id="{353B35E6-42E5-42FC-A8D9-497CF99E167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M915</xm:sqref>
        </x14:conditionalFormatting>
        <x14:conditionalFormatting xmlns:xm="http://schemas.microsoft.com/office/excel/2006/main">
          <x14:cfRule type="cellIs" priority="1217" operator="lessThan" id="{89C0DF37-1ABC-451B-8C65-F655B8FCFFA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18" operator="greaterThanOrEqual" id="{59F0ADE8-621C-4593-A72E-9F44B246E9A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H918</xm:sqref>
        </x14:conditionalFormatting>
        <x14:conditionalFormatting xmlns:xm="http://schemas.microsoft.com/office/excel/2006/main">
          <x14:cfRule type="cellIs" priority="1203" operator="greaterThanOrEqual" id="{559CC994-DB1F-4108-A745-817965A6C28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4" operator="lessThan" id="{480476F2-EF2E-4592-887C-6C44DCB0653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C923</xm:sqref>
        </x14:conditionalFormatting>
        <x14:conditionalFormatting xmlns:xm="http://schemas.microsoft.com/office/excel/2006/main">
          <x14:cfRule type="cellIs" priority="1205" operator="greaterThanOrEqual" id="{ED74110E-F592-47C8-9DFE-3A145FB8E0F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6" operator="lessThan" id="{84251350-DF76-4067-B1E4-7B3BF3E6367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E923</xm:sqref>
        </x14:conditionalFormatting>
        <x14:conditionalFormatting xmlns:xm="http://schemas.microsoft.com/office/excel/2006/main">
          <x14:cfRule type="cellIs" priority="1207" operator="greaterThanOrEqual" id="{72E6AAEF-AB21-4185-90C5-3F2BEF1359D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8" operator="lessThan" id="{85036346-5135-4C47-BCD3-0E08AF7F963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G923</xm:sqref>
        </x14:conditionalFormatting>
        <x14:conditionalFormatting xmlns:xm="http://schemas.microsoft.com/office/excel/2006/main">
          <x14:cfRule type="cellIs" priority="1209" operator="greaterThanOrEqual" id="{E268B13D-9788-471B-BD89-ACEF54088C0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0" operator="lessThan" id="{2FE97B92-7B0B-4C02-84CE-9930F346196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I923</xm:sqref>
        </x14:conditionalFormatting>
        <x14:conditionalFormatting xmlns:xm="http://schemas.microsoft.com/office/excel/2006/main">
          <x14:cfRule type="cellIs" priority="1211" operator="greaterThanOrEqual" id="{0E4AA621-E1E3-4AD2-95C6-C9F739A8599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2" operator="lessThan" id="{2FBD86C9-5DD5-4B73-8955-63D1C6724F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K923</xm:sqref>
        </x14:conditionalFormatting>
        <x14:conditionalFormatting xmlns:xm="http://schemas.microsoft.com/office/excel/2006/main">
          <x14:cfRule type="cellIs" priority="1213" operator="greaterThanOrEqual" id="{DC4C7E48-E533-4661-850F-88D1DD137B7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4" operator="lessThan" id="{B2729569-BDB7-446D-AA42-F1F412BB798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M923</xm:sqref>
        </x14:conditionalFormatting>
        <x14:conditionalFormatting xmlns:xm="http://schemas.microsoft.com/office/excel/2006/main">
          <x14:cfRule type="cellIs" priority="1199" operator="lessThan" id="{299834DC-B10D-4E3F-B2A8-77775ECB3E9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00" operator="greaterThanOrEqual" id="{B7EF58A8-A20E-4050-A0DE-CFEF5A94317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M926</xm:sqref>
        </x14:conditionalFormatting>
        <x14:conditionalFormatting xmlns:xm="http://schemas.microsoft.com/office/excel/2006/main">
          <x14:cfRule type="cellIs" priority="1196" operator="lessThan" id="{644DCA07-761D-49E9-A78C-984D48646DE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7" operator="greaterThanOrEqual" id="{5B2A70A2-E01A-4211-8E47-594DBE4A0B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M929</xm:sqref>
        </x14:conditionalFormatting>
        <x14:conditionalFormatting xmlns:xm="http://schemas.microsoft.com/office/excel/2006/main">
          <x14:cfRule type="cellIs" priority="1193" operator="lessThan" id="{AF096194-C6B1-476F-A89A-DDDDB0F5F98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4" operator="greaterThanOrEqual" id="{8637211F-8A81-4B4B-80D7-8A0B7FC5D9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M932</xm:sqref>
        </x14:conditionalFormatting>
        <x14:conditionalFormatting xmlns:xm="http://schemas.microsoft.com/office/excel/2006/main">
          <x14:cfRule type="cellIs" priority="1190" operator="lessThan" id="{4A37B94D-A678-4E84-9FF3-BA63F4CCA02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1" operator="greaterThanOrEqual" id="{B841182E-3B0A-410B-B316-1EAD90F5E48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H935</xm:sqref>
        </x14:conditionalFormatting>
        <x14:conditionalFormatting xmlns:xm="http://schemas.microsoft.com/office/excel/2006/main">
          <x14:cfRule type="cellIs" priority="1176" operator="greaterThanOrEqual" id="{071DAADB-BE4D-4CF2-9EA8-2C480E02881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77" operator="lessThan" id="{4AC48776-B40F-4CFE-825F-BD09E7DAA38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C940</xm:sqref>
        </x14:conditionalFormatting>
        <x14:conditionalFormatting xmlns:xm="http://schemas.microsoft.com/office/excel/2006/main">
          <x14:cfRule type="cellIs" priority="1178" operator="greaterThanOrEqual" id="{7A48154E-FE3E-44A1-8356-DF49C0760ED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79" operator="lessThan" id="{77CE25D7-F43E-4B10-A601-52E1BCF6774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E940</xm:sqref>
        </x14:conditionalFormatting>
        <x14:conditionalFormatting xmlns:xm="http://schemas.microsoft.com/office/excel/2006/main">
          <x14:cfRule type="cellIs" priority="1180" operator="greaterThanOrEqual" id="{3F88D845-A424-48D6-A551-BF074678883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1" operator="lessThan" id="{75456FA1-FCC8-43F1-BBA0-E0FBC664AF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G940</xm:sqref>
        </x14:conditionalFormatting>
        <x14:conditionalFormatting xmlns:xm="http://schemas.microsoft.com/office/excel/2006/main">
          <x14:cfRule type="cellIs" priority="1182" operator="greaterThanOrEqual" id="{9BE663BC-C44A-40C6-A736-A3B888CA8B6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3" operator="lessThan" id="{FA75AABF-BBF4-4BE6-8606-FA47398A482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I940</xm:sqref>
        </x14:conditionalFormatting>
        <x14:conditionalFormatting xmlns:xm="http://schemas.microsoft.com/office/excel/2006/main">
          <x14:cfRule type="cellIs" priority="1184" operator="greaterThanOrEqual" id="{10544975-1896-4134-9208-B6CAAAA8680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5" operator="lessThan" id="{F22BD1FC-412E-44E6-9A39-47476F7B344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K940</xm:sqref>
        </x14:conditionalFormatting>
        <x14:conditionalFormatting xmlns:xm="http://schemas.microsoft.com/office/excel/2006/main">
          <x14:cfRule type="cellIs" priority="1186" operator="greaterThanOrEqual" id="{4C173A40-DDEF-45AC-B85A-B4B6C40C1B4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7" operator="lessThan" id="{B6B67EBE-88EF-4F5B-8520-9E5D7184868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M940</xm:sqref>
        </x14:conditionalFormatting>
        <x14:conditionalFormatting xmlns:xm="http://schemas.microsoft.com/office/excel/2006/main">
          <x14:cfRule type="cellIs" priority="1172" operator="lessThan" id="{6BD6368D-79E3-4BC7-8603-BD49931CBD6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3" operator="greaterThanOrEqual" id="{372C3EA7-EA8A-4794-870E-757FF86D33A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M943</xm:sqref>
        </x14:conditionalFormatting>
        <x14:conditionalFormatting xmlns:xm="http://schemas.microsoft.com/office/excel/2006/main">
          <x14:cfRule type="cellIs" priority="1169" operator="lessThan" id="{42CE2FCD-1BD0-4F07-84E2-34FE6FC0AD3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0" operator="greaterThanOrEqual" id="{3D01B966-3C20-4645-990C-8A87FCD8962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M946</xm:sqref>
        </x14:conditionalFormatting>
        <x14:conditionalFormatting xmlns:xm="http://schemas.microsoft.com/office/excel/2006/main">
          <x14:cfRule type="cellIs" priority="1166" operator="lessThan" id="{3372ABB5-1D57-4B4E-8144-891EEDDC49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67" operator="greaterThanOrEqual" id="{095186AC-0D2E-4C53-A628-35F4AE73C2F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M949</xm:sqref>
        </x14:conditionalFormatting>
        <x14:conditionalFormatting xmlns:xm="http://schemas.microsoft.com/office/excel/2006/main">
          <x14:cfRule type="cellIs" priority="1163" operator="lessThan" id="{6C76260F-A4CA-4E8B-9390-83E3243C67E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64" operator="greaterThanOrEqual" id="{4EE15651-484B-4D87-8FB9-0688AE63BB2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H952</xm:sqref>
        </x14:conditionalFormatting>
        <x14:conditionalFormatting xmlns:xm="http://schemas.microsoft.com/office/excel/2006/main">
          <x14:cfRule type="cellIs" priority="1149" operator="greaterThanOrEqual" id="{9A44AFC9-7CED-4920-BC91-974FF419DD6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0" operator="lessThan" id="{54BD1A90-DCA0-4532-A0A4-1B06952CA10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C957</xm:sqref>
        </x14:conditionalFormatting>
        <x14:conditionalFormatting xmlns:xm="http://schemas.microsoft.com/office/excel/2006/main">
          <x14:cfRule type="cellIs" priority="1151" operator="greaterThanOrEqual" id="{2977AABE-9E91-4772-A962-B65D9B6EA48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2" operator="lessThan" id="{FAB196FC-C87D-4420-A7CD-00659AD7FF5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E957</xm:sqref>
        </x14:conditionalFormatting>
        <x14:conditionalFormatting xmlns:xm="http://schemas.microsoft.com/office/excel/2006/main">
          <x14:cfRule type="cellIs" priority="1153" operator="greaterThanOrEqual" id="{9AAC9D7F-482E-4173-B0F2-7E3B95F741E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4" operator="lessThan" id="{9206E8CF-3B7D-4C17-8038-378631958AF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G957</xm:sqref>
        </x14:conditionalFormatting>
        <x14:conditionalFormatting xmlns:xm="http://schemas.microsoft.com/office/excel/2006/main">
          <x14:cfRule type="cellIs" priority="1155" operator="greaterThanOrEqual" id="{68C5E4AE-D223-456B-ACD5-12749694C6B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6" operator="lessThan" id="{BAEC980E-C781-46BA-86C0-D1E533ECE71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I957</xm:sqref>
        </x14:conditionalFormatting>
        <x14:conditionalFormatting xmlns:xm="http://schemas.microsoft.com/office/excel/2006/main">
          <x14:cfRule type="cellIs" priority="1157" operator="greaterThanOrEqual" id="{C1EA5C4B-44C1-41E6-900B-A635F007F3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8" operator="lessThan" id="{829E808B-D1FF-453B-A962-5FD26472D39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K957</xm:sqref>
        </x14:conditionalFormatting>
        <x14:conditionalFormatting xmlns:xm="http://schemas.microsoft.com/office/excel/2006/main">
          <x14:cfRule type="cellIs" priority="1159" operator="greaterThanOrEqual" id="{A8FC765B-E4A8-4D47-B658-C29E3B50A1F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60" operator="lessThan" id="{314C0BC8-38B9-4D6A-9C19-0B6580FB79C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M957</xm:sqref>
        </x14:conditionalFormatting>
        <x14:conditionalFormatting xmlns:xm="http://schemas.microsoft.com/office/excel/2006/main">
          <x14:cfRule type="cellIs" priority="1145" operator="lessThan" id="{196817D3-1159-4C99-8800-8F73AE7CB70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6" operator="greaterThanOrEqual" id="{CE81C02B-A5C5-4806-A6F9-3A0EBFF1CA4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M960</xm:sqref>
        </x14:conditionalFormatting>
        <x14:conditionalFormatting xmlns:xm="http://schemas.microsoft.com/office/excel/2006/main">
          <x14:cfRule type="cellIs" priority="1142" operator="lessThan" id="{E21F36B0-505A-47DF-8925-61A6375807C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3" operator="greaterThanOrEqual" id="{341EA539-4E89-4A64-B65F-62C33E2E2DA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M963</xm:sqref>
        </x14:conditionalFormatting>
        <x14:conditionalFormatting xmlns:xm="http://schemas.microsoft.com/office/excel/2006/main">
          <x14:cfRule type="cellIs" priority="1139" operator="lessThan" id="{068C1F10-E402-4E2C-9DC6-D471236C67B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0" operator="greaterThanOrEqual" id="{474946D0-6937-47A2-B6AD-99C481E341A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M966</xm:sqref>
        </x14:conditionalFormatting>
        <x14:conditionalFormatting xmlns:xm="http://schemas.microsoft.com/office/excel/2006/main">
          <x14:cfRule type="cellIs" priority="1136" operator="lessThan" id="{4048ADC7-36C3-49FE-AD7B-157754BABE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37" operator="greaterThanOrEqual" id="{277BE4C3-B869-45D7-89BF-3531B3D4420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H969</xm:sqref>
        </x14:conditionalFormatting>
        <x14:conditionalFormatting xmlns:xm="http://schemas.microsoft.com/office/excel/2006/main">
          <x14:cfRule type="cellIs" priority="1122" operator="greaterThanOrEqual" id="{69CCF4C0-C2DB-4394-9F8C-DFB7D34442F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3" operator="lessThan" id="{0A06957F-621F-42FD-892B-4E59990D91C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C974</xm:sqref>
        </x14:conditionalFormatting>
        <x14:conditionalFormatting xmlns:xm="http://schemas.microsoft.com/office/excel/2006/main">
          <x14:cfRule type="cellIs" priority="1124" operator="greaterThanOrEqual" id="{137E5821-14BF-412F-BC4E-C4C76A7EE5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5" operator="lessThan" id="{F6C318EA-5EFE-435F-9ABC-BACABDCD4FA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E974</xm:sqref>
        </x14:conditionalFormatting>
        <x14:conditionalFormatting xmlns:xm="http://schemas.microsoft.com/office/excel/2006/main">
          <x14:cfRule type="cellIs" priority="1126" operator="greaterThanOrEqual" id="{F6C75013-3486-4C68-B88D-DF405F80089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7" operator="lessThan" id="{5EF8E37A-1A7F-4A50-9947-BC63782BF9F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G974</xm:sqref>
        </x14:conditionalFormatting>
        <x14:conditionalFormatting xmlns:xm="http://schemas.microsoft.com/office/excel/2006/main">
          <x14:cfRule type="cellIs" priority="1128" operator="greaterThanOrEqual" id="{52334DD2-DE4C-4155-B4B2-09B556EC708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9" operator="lessThan" id="{521DBE2F-5DDE-47D1-AE5F-6C063EC3988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I974</xm:sqref>
        </x14:conditionalFormatting>
        <x14:conditionalFormatting xmlns:xm="http://schemas.microsoft.com/office/excel/2006/main">
          <x14:cfRule type="cellIs" priority="1130" operator="greaterThanOrEqual" id="{EB40C5F6-38E5-4A59-B6BA-F778FB8A93E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31" operator="lessThan" id="{625BBE00-0FF3-469C-A956-94B12FF5DF8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K974</xm:sqref>
        </x14:conditionalFormatting>
        <x14:conditionalFormatting xmlns:xm="http://schemas.microsoft.com/office/excel/2006/main">
          <x14:cfRule type="cellIs" priority="1132" operator="greaterThanOrEqual" id="{15B4B4F5-7B4C-4BC6-BB69-1CDD8F4F010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33" operator="lessThan" id="{62959604-F947-4216-B01C-F5790A93B38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M974</xm:sqref>
        </x14:conditionalFormatting>
        <x14:conditionalFormatting xmlns:xm="http://schemas.microsoft.com/office/excel/2006/main">
          <x14:cfRule type="cellIs" priority="1118" operator="lessThan" id="{485B4EF0-BF31-4324-B118-A08940BBD17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9" operator="greaterThanOrEqual" id="{23E3C618-F469-4A87-8AE6-378C952B7D0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M977</xm:sqref>
        </x14:conditionalFormatting>
        <x14:conditionalFormatting xmlns:xm="http://schemas.microsoft.com/office/excel/2006/main">
          <x14:cfRule type="cellIs" priority="1115" operator="lessThan" id="{03677350-465A-4450-BF09-2319FBA06AA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6" operator="greaterThanOrEqual" id="{1AC27522-F4EC-4A5F-8744-087BD7B6528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M980</xm:sqref>
        </x14:conditionalFormatting>
        <x14:conditionalFormatting xmlns:xm="http://schemas.microsoft.com/office/excel/2006/main">
          <x14:cfRule type="cellIs" priority="1112" operator="lessThan" id="{60048CD0-DD38-4F38-92D8-802FDD3604E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3" operator="greaterThanOrEqual" id="{1B6C5C5D-1141-4069-B53C-8C2A45E570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M983</xm:sqref>
        </x14:conditionalFormatting>
        <x14:conditionalFormatting xmlns:xm="http://schemas.microsoft.com/office/excel/2006/main">
          <x14:cfRule type="cellIs" priority="1109" operator="lessThan" id="{AF2DDEB4-FC50-4E86-A9E5-DDD4DCFCA60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0" operator="greaterThanOrEqual" id="{3D83EAA2-E556-4ECC-96A5-E30CCC23CE7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H986</xm:sqref>
        </x14:conditionalFormatting>
        <x14:conditionalFormatting xmlns:xm="http://schemas.microsoft.com/office/excel/2006/main">
          <x14:cfRule type="cellIs" priority="1095" operator="greaterThanOrEqual" id="{C3B5442B-E5A0-45EF-8EE4-051CF015652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96" operator="lessThan" id="{F9A337D8-F350-4D02-AC3F-4F67A6494E8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C991</xm:sqref>
        </x14:conditionalFormatting>
        <x14:conditionalFormatting xmlns:xm="http://schemas.microsoft.com/office/excel/2006/main">
          <x14:cfRule type="cellIs" priority="1097" operator="greaterThanOrEqual" id="{0049942C-1E8E-4DE6-BB8A-C08049AED1D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98" operator="lessThan" id="{D17C6DC6-6AB9-4208-AE3A-C8110690B84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E991</xm:sqref>
        </x14:conditionalFormatting>
        <x14:conditionalFormatting xmlns:xm="http://schemas.microsoft.com/office/excel/2006/main">
          <x14:cfRule type="cellIs" priority="1099" operator="greaterThanOrEqual" id="{46E1D5F6-E2C2-4E98-AF81-CE924E3937C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0" operator="lessThan" id="{72F46534-109B-4217-A645-9565A1701D0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G991</xm:sqref>
        </x14:conditionalFormatting>
        <x14:conditionalFormatting xmlns:xm="http://schemas.microsoft.com/office/excel/2006/main">
          <x14:cfRule type="cellIs" priority="1101" operator="greaterThanOrEqual" id="{000F61E6-8656-40FF-A5BC-71515282EF7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2" operator="lessThan" id="{3B72A58A-2702-4D00-847B-CF7DE3CE99F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I991</xm:sqref>
        </x14:conditionalFormatting>
        <x14:conditionalFormatting xmlns:xm="http://schemas.microsoft.com/office/excel/2006/main">
          <x14:cfRule type="cellIs" priority="1103" operator="greaterThanOrEqual" id="{4B7D69E5-62B8-458B-8B6F-BE5695DBAF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4" operator="lessThan" id="{E9BD007A-3348-4D07-B627-583AFE13998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K991</xm:sqref>
        </x14:conditionalFormatting>
        <x14:conditionalFormatting xmlns:xm="http://schemas.microsoft.com/office/excel/2006/main">
          <x14:cfRule type="cellIs" priority="1105" operator="greaterThanOrEqual" id="{DD3306A5-76E7-4AEF-BC38-0A99485A2BA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6" operator="lessThan" id="{8D776E7D-9BFE-46C0-B25A-672D8916E4F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M991</xm:sqref>
        </x14:conditionalFormatting>
        <x14:conditionalFormatting xmlns:xm="http://schemas.microsoft.com/office/excel/2006/main">
          <x14:cfRule type="cellIs" priority="1091" operator="lessThan" id="{11CB1529-6055-4500-8B2D-B212136E5EE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92" operator="greaterThanOrEqual" id="{7C51096F-4D23-4237-9BC4-274278698F7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M994</xm:sqref>
        </x14:conditionalFormatting>
        <x14:conditionalFormatting xmlns:xm="http://schemas.microsoft.com/office/excel/2006/main">
          <x14:cfRule type="cellIs" priority="1088" operator="lessThan" id="{06EDA8C3-55B6-46DB-8922-93286FF04A5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9" operator="greaterThanOrEqual" id="{E320308C-6F88-4734-8E8A-545458442B6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M997</xm:sqref>
        </x14:conditionalFormatting>
        <x14:conditionalFormatting xmlns:xm="http://schemas.microsoft.com/office/excel/2006/main">
          <x14:cfRule type="cellIs" priority="1085" operator="lessThan" id="{B2254D9B-EAF0-474D-A003-0530B07ED3C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6" operator="greaterThanOrEqual" id="{66DCFDE8-893A-4956-AA2E-856C1E9DD72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M1000</xm:sqref>
        </x14:conditionalFormatting>
        <x14:conditionalFormatting xmlns:xm="http://schemas.microsoft.com/office/excel/2006/main">
          <x14:cfRule type="cellIs" priority="1082" operator="lessThan" id="{B56C2149-3B93-4F06-8A89-3F4D37E044E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3" operator="greaterThanOrEqual" id="{A07D8A40-7D0A-4105-90EA-307D1F93ED0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H1003</xm:sqref>
        </x14:conditionalFormatting>
        <x14:conditionalFormatting xmlns:xm="http://schemas.microsoft.com/office/excel/2006/main">
          <x14:cfRule type="cellIs" priority="1068" operator="greaterThanOrEqual" id="{F57FD0BA-C162-4F80-9FA1-5D72F146CB4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69" operator="lessThan" id="{35D13857-1F43-435F-89E3-0CA203780FC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C1008</xm:sqref>
        </x14:conditionalFormatting>
        <x14:conditionalFormatting xmlns:xm="http://schemas.microsoft.com/office/excel/2006/main">
          <x14:cfRule type="cellIs" priority="1070" operator="greaterThanOrEqual" id="{1A1EE9E7-8022-44F4-853D-31D956770D6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1" operator="lessThan" id="{69ED5362-4B28-4DE6-9DFE-0A95DB5BCE8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E1008</xm:sqref>
        </x14:conditionalFormatting>
        <x14:conditionalFormatting xmlns:xm="http://schemas.microsoft.com/office/excel/2006/main">
          <x14:cfRule type="cellIs" priority="1072" operator="greaterThanOrEqual" id="{655962D7-C67C-4257-B879-405B16C49AF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3" operator="lessThan" id="{4E17A5C8-485A-45A6-AF8C-F7FC94F00B0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G1008</xm:sqref>
        </x14:conditionalFormatting>
        <x14:conditionalFormatting xmlns:xm="http://schemas.microsoft.com/office/excel/2006/main">
          <x14:cfRule type="cellIs" priority="1074" operator="greaterThanOrEqual" id="{C9D88F5F-F4F8-4456-9569-431877E1FC3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5" operator="lessThan" id="{8C5E17FD-B945-4882-A346-1C9BC3D5F13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I1008</xm:sqref>
        </x14:conditionalFormatting>
        <x14:conditionalFormatting xmlns:xm="http://schemas.microsoft.com/office/excel/2006/main">
          <x14:cfRule type="cellIs" priority="1076" operator="greaterThanOrEqual" id="{A786193A-BA5A-4AB2-9C94-D845E20D679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7" operator="lessThan" id="{03921987-7397-4F1A-8AF9-ECA462BC234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K1008</xm:sqref>
        </x14:conditionalFormatting>
        <x14:conditionalFormatting xmlns:xm="http://schemas.microsoft.com/office/excel/2006/main">
          <x14:cfRule type="cellIs" priority="1078" operator="greaterThanOrEqual" id="{FA73B1E0-4D57-46F5-BD2A-EC8840E24F1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9" operator="lessThan" id="{A7324BD3-F89B-40A5-8D77-D5C0DE76374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M1008</xm:sqref>
        </x14:conditionalFormatting>
        <x14:conditionalFormatting xmlns:xm="http://schemas.microsoft.com/office/excel/2006/main">
          <x14:cfRule type="cellIs" priority="1064" operator="lessThan" id="{2180432E-6A20-41FB-8C8F-3A3ACD98678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65" operator="greaterThanOrEqual" id="{98D7C3EB-D71F-4B57-BE06-4B6A565903C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M1011</xm:sqref>
        </x14:conditionalFormatting>
        <x14:conditionalFormatting xmlns:xm="http://schemas.microsoft.com/office/excel/2006/main">
          <x14:cfRule type="cellIs" priority="1061" operator="lessThan" id="{61C6BFC1-8102-4323-9F81-2482BB01BF2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62" operator="greaterThanOrEqual" id="{89970274-1CD1-4039-A5E3-2CDFB79E0ED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M1014</xm:sqref>
        </x14:conditionalFormatting>
        <x14:conditionalFormatting xmlns:xm="http://schemas.microsoft.com/office/excel/2006/main">
          <x14:cfRule type="cellIs" priority="1058" operator="lessThan" id="{17690B74-E0E5-4CF1-A200-43DC8075AE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59" operator="greaterThanOrEqual" id="{645A6080-310C-4DCB-97BB-9F4431DCB5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M1017</xm:sqref>
        </x14:conditionalFormatting>
        <x14:conditionalFormatting xmlns:xm="http://schemas.microsoft.com/office/excel/2006/main">
          <x14:cfRule type="cellIs" priority="1055" operator="lessThan" id="{1DE223D2-1C89-44E3-8253-766C2E079E7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56" operator="greaterThanOrEqual" id="{F0E9D661-8206-499C-8306-7B634EF6406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H1020</xm:sqref>
        </x14:conditionalFormatting>
        <x14:conditionalFormatting xmlns:xm="http://schemas.microsoft.com/office/excel/2006/main">
          <x14:cfRule type="cellIs" priority="1041" operator="greaterThanOrEqual" id="{7F358566-F08E-467C-A65A-E7888748AE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2" operator="lessThan" id="{428BEA71-5D3D-4177-A925-B9BDDAF871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C1025</xm:sqref>
        </x14:conditionalFormatting>
        <x14:conditionalFormatting xmlns:xm="http://schemas.microsoft.com/office/excel/2006/main">
          <x14:cfRule type="cellIs" priority="1043" operator="greaterThanOrEqual" id="{7B60A2C6-B056-4062-8C11-8AF5045FBC2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4" operator="lessThan" id="{1C967682-B023-451D-B4DF-3D21B61A7AB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E1025</xm:sqref>
        </x14:conditionalFormatting>
        <x14:conditionalFormatting xmlns:xm="http://schemas.microsoft.com/office/excel/2006/main">
          <x14:cfRule type="cellIs" priority="1045" operator="greaterThanOrEqual" id="{A6C83392-A551-4981-9FEE-B0477AF42C9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6" operator="lessThan" id="{13A1E668-F8E9-4636-9EB3-8F8CF89893B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G1025</xm:sqref>
        </x14:conditionalFormatting>
        <x14:conditionalFormatting xmlns:xm="http://schemas.microsoft.com/office/excel/2006/main">
          <x14:cfRule type="cellIs" priority="1047" operator="greaterThanOrEqual" id="{90000579-DCC2-4440-89A4-06EE480C19F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8" operator="lessThan" id="{C4C20E82-3E72-47EF-A435-64AF96C9A32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I1025</xm:sqref>
        </x14:conditionalFormatting>
        <x14:conditionalFormatting xmlns:xm="http://schemas.microsoft.com/office/excel/2006/main">
          <x14:cfRule type="cellIs" priority="1049" operator="greaterThanOrEqual" id="{8B77674D-717A-4FC7-AE0E-BBB89FBEDD8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0" operator="lessThan" id="{754D9B26-A554-4675-8080-3F7E0CF4605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K1025</xm:sqref>
        </x14:conditionalFormatting>
        <x14:conditionalFormatting xmlns:xm="http://schemas.microsoft.com/office/excel/2006/main">
          <x14:cfRule type="cellIs" priority="1051" operator="greaterThanOrEqual" id="{1D1723A4-C2D6-49AC-BD99-C6D45633DFD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2" operator="lessThan" id="{A99A534F-E1D1-4578-806D-FC7A96D02F8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M1025</xm:sqref>
        </x14:conditionalFormatting>
        <x14:conditionalFormatting xmlns:xm="http://schemas.microsoft.com/office/excel/2006/main">
          <x14:cfRule type="cellIs" priority="1037" operator="lessThan" id="{D8FB06FD-8057-4E04-8229-47E199418F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8" operator="greaterThanOrEqual" id="{C8298E24-85B3-4B90-B694-05055C7145A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M1028</xm:sqref>
        </x14:conditionalFormatting>
        <x14:conditionalFormatting xmlns:xm="http://schemas.microsoft.com/office/excel/2006/main">
          <x14:cfRule type="cellIs" priority="1034" operator="lessThan" id="{B1FD118E-EF1E-424F-A363-8671FCE0E40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5" operator="greaterThanOrEqual" id="{D592FC49-B5BF-4D99-A58C-B952A26A58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M1031</xm:sqref>
        </x14:conditionalFormatting>
        <x14:conditionalFormatting xmlns:xm="http://schemas.microsoft.com/office/excel/2006/main">
          <x14:cfRule type="cellIs" priority="1031" operator="lessThan" id="{891BEC9A-58F2-4A1D-ADFF-B516EDB1CA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2" operator="greaterThanOrEqual" id="{30AA74CC-8F79-4F53-8EA5-1A3ABFCFD0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M1034</xm:sqref>
        </x14:conditionalFormatting>
        <x14:conditionalFormatting xmlns:xm="http://schemas.microsoft.com/office/excel/2006/main">
          <x14:cfRule type="cellIs" priority="1028" operator="lessThan" id="{CF589BCA-CE1C-40ED-AE7A-5D7A8F93E6D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29" operator="greaterThanOrEqual" id="{2DA3DB85-C3D9-4ED6-87B8-6FCB18C9E07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H1037</xm:sqref>
        </x14:conditionalFormatting>
        <x14:conditionalFormatting xmlns:xm="http://schemas.microsoft.com/office/excel/2006/main">
          <x14:cfRule type="cellIs" priority="1014" operator="greaterThanOrEqual" id="{3D2042AD-1293-4958-A6E4-CB171E79033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5" operator="lessThan" id="{5CE64206-C60C-47FC-BD51-B42089A8308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C1042</xm:sqref>
        </x14:conditionalFormatting>
        <x14:conditionalFormatting xmlns:xm="http://schemas.microsoft.com/office/excel/2006/main">
          <x14:cfRule type="cellIs" priority="1016" operator="greaterThanOrEqual" id="{101F8DBC-850D-40FA-A31C-8B82A91A542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7" operator="lessThan" id="{130F9BAA-B338-4A5F-9250-03856DB8302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E1042</xm:sqref>
        </x14:conditionalFormatting>
        <x14:conditionalFormatting xmlns:xm="http://schemas.microsoft.com/office/excel/2006/main">
          <x14:cfRule type="cellIs" priority="1018" operator="greaterThanOrEqual" id="{874FE197-3FDC-488B-A7B7-8AB15E00177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9" operator="lessThan" id="{7C01013F-0380-430D-9FD5-BD3084ADF15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G1042</xm:sqref>
        </x14:conditionalFormatting>
        <x14:conditionalFormatting xmlns:xm="http://schemas.microsoft.com/office/excel/2006/main">
          <x14:cfRule type="cellIs" priority="1020" operator="greaterThanOrEqual" id="{696722E1-3508-46EF-99F6-0ADD66E1628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1" operator="lessThan" id="{02B91F07-8E0C-4953-A09E-DC3C8562EDC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I1042</xm:sqref>
        </x14:conditionalFormatting>
        <x14:conditionalFormatting xmlns:xm="http://schemas.microsoft.com/office/excel/2006/main">
          <x14:cfRule type="cellIs" priority="1022" operator="greaterThanOrEqual" id="{9D2E58DA-3468-4D7D-873F-6813E691B8D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3" operator="lessThan" id="{701444B0-5A3E-4B63-B04D-B11C1042C6C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K1042</xm:sqref>
        </x14:conditionalFormatting>
        <x14:conditionalFormatting xmlns:xm="http://schemas.microsoft.com/office/excel/2006/main">
          <x14:cfRule type="cellIs" priority="1024" operator="greaterThanOrEqual" id="{175CAD17-E1F1-4179-8875-45F2829F669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5" operator="lessThan" id="{D110A17A-73F9-4B61-98BE-7D95EABB8BF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M1042</xm:sqref>
        </x14:conditionalFormatting>
        <x14:conditionalFormatting xmlns:xm="http://schemas.microsoft.com/office/excel/2006/main">
          <x14:cfRule type="cellIs" priority="1010" operator="lessThan" id="{8B9A6E93-5461-4548-A776-192AC8EDE5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11" operator="greaterThanOrEqual" id="{F9AF20F9-FA45-4BBE-A916-5D7DDDAA4E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M1045</xm:sqref>
        </x14:conditionalFormatting>
        <x14:conditionalFormatting xmlns:xm="http://schemas.microsoft.com/office/excel/2006/main">
          <x14:cfRule type="cellIs" priority="1007" operator="lessThan" id="{907300EC-585C-4522-B088-FF0C4D91CE3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8" operator="greaterThanOrEqual" id="{91CA5B52-199B-4DD8-94A3-5D880D2D591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M1048</xm:sqref>
        </x14:conditionalFormatting>
        <x14:conditionalFormatting xmlns:xm="http://schemas.microsoft.com/office/excel/2006/main">
          <x14:cfRule type="cellIs" priority="1004" operator="lessThan" id="{8460D963-B441-4D7F-9838-5300285F476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5" operator="greaterThanOrEqual" id="{C7814540-7C6D-424D-A923-184D1E4F9E3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M1051</xm:sqref>
        </x14:conditionalFormatting>
        <x14:conditionalFormatting xmlns:xm="http://schemas.microsoft.com/office/excel/2006/main">
          <x14:cfRule type="cellIs" priority="1001" operator="lessThan" id="{ECDD221B-9274-42D0-ABC5-ADEDE13C699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2" operator="greaterThanOrEqual" id="{5D5C7E54-CF5D-46E6-91AC-1C7F3093286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H1054</xm:sqref>
        </x14:conditionalFormatting>
        <x14:conditionalFormatting xmlns:xm="http://schemas.microsoft.com/office/excel/2006/main">
          <x14:cfRule type="cellIs" priority="987" operator="greaterThanOrEqual" id="{1E07A9AD-532E-4DEC-85FB-31E1E5FF715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88" operator="lessThan" id="{D6D5D439-9FCA-40AC-8F10-17651899C67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C1059</xm:sqref>
        </x14:conditionalFormatting>
        <x14:conditionalFormatting xmlns:xm="http://schemas.microsoft.com/office/excel/2006/main">
          <x14:cfRule type="cellIs" priority="989" operator="greaterThanOrEqual" id="{27AB4C6B-04E2-402B-8FB2-42E7EDA041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0" operator="lessThan" id="{54D767D7-4F01-406F-B5F6-25F4C49862C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E1059</xm:sqref>
        </x14:conditionalFormatting>
        <x14:conditionalFormatting xmlns:xm="http://schemas.microsoft.com/office/excel/2006/main">
          <x14:cfRule type="cellIs" priority="991" operator="greaterThanOrEqual" id="{25EFC088-E850-4085-AECD-1128865E5FC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2" operator="lessThan" id="{05537C18-60DA-4A0A-B56F-A6B07CF2820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G1059</xm:sqref>
        </x14:conditionalFormatting>
        <x14:conditionalFormatting xmlns:xm="http://schemas.microsoft.com/office/excel/2006/main">
          <x14:cfRule type="cellIs" priority="993" operator="greaterThanOrEqual" id="{7189E61A-D84F-4A57-89CC-120BB46B90A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4" operator="lessThan" id="{DBF49C9E-5E8C-4D3E-952F-164BBF59513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I1059</xm:sqref>
        </x14:conditionalFormatting>
        <x14:conditionalFormatting xmlns:xm="http://schemas.microsoft.com/office/excel/2006/main">
          <x14:cfRule type="cellIs" priority="995" operator="greaterThanOrEqual" id="{E7A756BA-7F43-4EE6-8304-C1B6381694F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6" operator="lessThan" id="{F62EB38C-E779-427A-AEEA-27E64D6F87BB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K1059</xm:sqref>
        </x14:conditionalFormatting>
        <x14:conditionalFormatting xmlns:xm="http://schemas.microsoft.com/office/excel/2006/main">
          <x14:cfRule type="cellIs" priority="997" operator="greaterThanOrEqual" id="{3C6515AF-0EDE-4A4A-A844-F1335AB4997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8" operator="lessThan" id="{66C8BAF7-46BC-4290-B201-BCAE69D0295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M1059</xm:sqref>
        </x14:conditionalFormatting>
        <x14:conditionalFormatting xmlns:xm="http://schemas.microsoft.com/office/excel/2006/main">
          <x14:cfRule type="cellIs" priority="983" operator="lessThan" id="{7DA3BC02-A693-45B7-99E1-F950540E159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84" operator="greaterThanOrEqual" id="{731CC643-8E2B-4E5E-9356-2B5F9E3820B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M1062</xm:sqref>
        </x14:conditionalFormatting>
        <x14:conditionalFormatting xmlns:xm="http://schemas.microsoft.com/office/excel/2006/main">
          <x14:cfRule type="cellIs" priority="980" operator="lessThan" id="{44994A4A-317E-4E1A-8B93-8ECA9C7CD98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81" operator="greaterThanOrEqual" id="{C4C9ECAA-2422-4641-8C6A-EF1696BF7E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M1065</xm:sqref>
        </x14:conditionalFormatting>
        <x14:conditionalFormatting xmlns:xm="http://schemas.microsoft.com/office/excel/2006/main">
          <x14:cfRule type="cellIs" priority="977" operator="lessThan" id="{5BEE116C-83DA-48FF-B0F0-7BB2A3A11C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78" operator="greaterThanOrEqual" id="{5F18758E-2D8B-470C-B317-3A6ED644374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M1068</xm:sqref>
        </x14:conditionalFormatting>
        <x14:conditionalFormatting xmlns:xm="http://schemas.microsoft.com/office/excel/2006/main">
          <x14:cfRule type="cellIs" priority="974" operator="lessThan" id="{3EECD37B-7B82-452D-804D-C6BC8A976B6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75" operator="greaterThanOrEqual" id="{C2F452FF-3E99-4711-9C6B-D05E947F02D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H1071</xm:sqref>
        </x14:conditionalFormatting>
        <x14:conditionalFormatting xmlns:xm="http://schemas.microsoft.com/office/excel/2006/main">
          <x14:cfRule type="cellIs" priority="960" operator="greaterThanOrEqual" id="{12B024F6-0707-4C09-885A-BFD4428DAFE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1" operator="lessThan" id="{F1AFA7ED-92F4-400C-933F-4B1805AFDAE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C1076</xm:sqref>
        </x14:conditionalFormatting>
        <x14:conditionalFormatting xmlns:xm="http://schemas.microsoft.com/office/excel/2006/main">
          <x14:cfRule type="cellIs" priority="962" operator="greaterThanOrEqual" id="{8585594D-3AF9-4D24-82DF-22657C902D9C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3" operator="lessThan" id="{8971AE46-5E20-4D03-8BB5-80472738CEC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E1076</xm:sqref>
        </x14:conditionalFormatting>
        <x14:conditionalFormatting xmlns:xm="http://schemas.microsoft.com/office/excel/2006/main">
          <x14:cfRule type="cellIs" priority="964" operator="greaterThanOrEqual" id="{5CFE7317-9BA1-4611-AB21-AE2F37724CC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5" operator="lessThan" id="{D975BD20-4322-47AE-8487-2D6810FC940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G1076</xm:sqref>
        </x14:conditionalFormatting>
        <x14:conditionalFormatting xmlns:xm="http://schemas.microsoft.com/office/excel/2006/main">
          <x14:cfRule type="cellIs" priority="966" operator="greaterThanOrEqual" id="{A42246B2-FD5C-4809-A387-B14AEE859D8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7" operator="lessThan" id="{2B9D30A8-73FB-4212-96CA-0D058836032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I1076</xm:sqref>
        </x14:conditionalFormatting>
        <x14:conditionalFormatting xmlns:xm="http://schemas.microsoft.com/office/excel/2006/main">
          <x14:cfRule type="cellIs" priority="968" operator="greaterThanOrEqual" id="{3BFC8B1F-250C-42EF-BBEC-9988A056C62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9" operator="lessThan" id="{D1FC7336-820E-4EAD-984A-AF4AC1E41F1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K1076</xm:sqref>
        </x14:conditionalFormatting>
        <x14:conditionalFormatting xmlns:xm="http://schemas.microsoft.com/office/excel/2006/main">
          <x14:cfRule type="cellIs" priority="970" operator="greaterThanOrEqual" id="{D8713367-B474-40A6-B47B-4AB5CFD07FF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71" operator="lessThan" id="{5852F789-677E-46DA-8CD9-94F08A4DD91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M1076</xm:sqref>
        </x14:conditionalFormatting>
        <x14:conditionalFormatting xmlns:xm="http://schemas.microsoft.com/office/excel/2006/main">
          <x14:cfRule type="cellIs" priority="956" operator="lessThan" id="{48E23EF9-18D1-462D-B61A-FD471A8E6B3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7" operator="greaterThanOrEqual" id="{6A94C640-E9E3-4B14-85AA-B0355469F6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M1079</xm:sqref>
        </x14:conditionalFormatting>
        <x14:conditionalFormatting xmlns:xm="http://schemas.microsoft.com/office/excel/2006/main">
          <x14:cfRule type="cellIs" priority="953" operator="lessThan" id="{66A7BEC5-242F-45B5-BF29-F1B1D40A2C9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4" operator="greaterThanOrEqual" id="{5D9F8264-D76A-4099-8FAA-83CBDFA2A29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M1082</xm:sqref>
        </x14:conditionalFormatting>
        <x14:conditionalFormatting xmlns:xm="http://schemas.microsoft.com/office/excel/2006/main">
          <x14:cfRule type="cellIs" priority="950" operator="lessThan" id="{3B1D30D1-C70D-446D-A476-537BD53884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1" operator="greaterThanOrEqual" id="{A0BD735F-2EB6-4B08-84A0-3C2C9EEFB71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M1085</xm:sqref>
        </x14:conditionalFormatting>
        <x14:conditionalFormatting xmlns:xm="http://schemas.microsoft.com/office/excel/2006/main">
          <x14:cfRule type="cellIs" priority="947" operator="lessThan" id="{E9E5975F-5920-4AF5-996B-C08060CB6C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48" operator="greaterThanOrEqual" id="{633B7940-C01C-4CC8-9F5B-5F7C6506E57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H1088</xm:sqref>
        </x14:conditionalFormatting>
        <x14:conditionalFormatting xmlns:xm="http://schemas.microsoft.com/office/excel/2006/main">
          <x14:cfRule type="cellIs" priority="933" operator="greaterThanOrEqual" id="{54668D8D-EA1B-4E78-ADF7-CD35EB34A06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4" operator="lessThan" id="{7F7DA517-0009-4015-8E85-C8CA154EC12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C1093</xm:sqref>
        </x14:conditionalFormatting>
        <x14:conditionalFormatting xmlns:xm="http://schemas.microsoft.com/office/excel/2006/main">
          <x14:cfRule type="cellIs" priority="935" operator="greaterThanOrEqual" id="{589CA139-B02E-4479-9804-46F584A939C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6" operator="lessThan" id="{4411D5B1-9459-488A-BCD3-210E752F1CD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E1093</xm:sqref>
        </x14:conditionalFormatting>
        <x14:conditionalFormatting xmlns:xm="http://schemas.microsoft.com/office/excel/2006/main">
          <x14:cfRule type="cellIs" priority="937" operator="greaterThanOrEqual" id="{F1B62252-230F-4553-913A-BCD12B37473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8" operator="lessThan" id="{B82CD413-3F4F-43C0-912C-2DC43482440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G1093</xm:sqref>
        </x14:conditionalFormatting>
        <x14:conditionalFormatting xmlns:xm="http://schemas.microsoft.com/office/excel/2006/main">
          <x14:cfRule type="cellIs" priority="939" operator="greaterThanOrEqual" id="{2292E18E-4012-4E22-81E2-F7270E2610D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0" operator="lessThan" id="{E6E0E817-1185-494D-A040-F5ED06A5039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I1093</xm:sqref>
        </x14:conditionalFormatting>
        <x14:conditionalFormatting xmlns:xm="http://schemas.microsoft.com/office/excel/2006/main">
          <x14:cfRule type="cellIs" priority="941" operator="greaterThanOrEqual" id="{68B6F2BC-7589-4B9E-BBC3-949D7856D1A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2" operator="lessThan" id="{BE44DBAE-8C02-489E-83CB-74BE5637311B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K1093</xm:sqref>
        </x14:conditionalFormatting>
        <x14:conditionalFormatting xmlns:xm="http://schemas.microsoft.com/office/excel/2006/main">
          <x14:cfRule type="cellIs" priority="943" operator="greaterThanOrEqual" id="{E93E6E26-1BC9-4B7D-8C09-1C9BD4441C8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4" operator="lessThan" id="{2907DCEA-559F-4580-BA9B-330DA62CB96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M1093</xm:sqref>
        </x14:conditionalFormatting>
        <x14:conditionalFormatting xmlns:xm="http://schemas.microsoft.com/office/excel/2006/main">
          <x14:cfRule type="cellIs" priority="929" operator="lessThan" id="{70209338-02E5-4BB6-8BDC-96654D7E6B4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30" operator="greaterThanOrEqual" id="{58A6F4B5-AC61-4DE8-8007-C22D7ECCEC4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M1096</xm:sqref>
        </x14:conditionalFormatting>
        <x14:conditionalFormatting xmlns:xm="http://schemas.microsoft.com/office/excel/2006/main">
          <x14:cfRule type="cellIs" priority="926" operator="lessThan" id="{BEE7086E-F95D-4682-A2A6-387CD78CB19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7" operator="greaterThanOrEqual" id="{166D8433-0133-496E-86D2-3A5F14A3B4E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M1099</xm:sqref>
        </x14:conditionalFormatting>
        <x14:conditionalFormatting xmlns:xm="http://schemas.microsoft.com/office/excel/2006/main">
          <x14:cfRule type="cellIs" priority="923" operator="lessThan" id="{7E6A336E-92C1-4E7E-A4C8-8B46232065C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4" operator="greaterThanOrEqual" id="{50DE5459-3718-4A9E-B446-EC88AE5E22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M1102</xm:sqref>
        </x14:conditionalFormatting>
        <x14:conditionalFormatting xmlns:xm="http://schemas.microsoft.com/office/excel/2006/main">
          <x14:cfRule type="cellIs" priority="920" operator="lessThan" id="{5C35FD1A-D266-4BCC-94D9-46092D8AA4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1" operator="greaterThanOrEqual" id="{D9BE707F-E3D0-4EE4-9B1D-0AE9DD1CB1C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H1105</xm:sqref>
        </x14:conditionalFormatting>
        <x14:conditionalFormatting xmlns:xm="http://schemas.microsoft.com/office/excel/2006/main">
          <x14:cfRule type="cellIs" priority="906" operator="greaterThanOrEqual" id="{59ED5BE4-FD5D-4758-A972-4104ABBF57B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07" operator="lessThan" id="{8FC9401F-FE89-4F76-8C78-EEC528DE70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C1110</xm:sqref>
        </x14:conditionalFormatting>
        <x14:conditionalFormatting xmlns:xm="http://schemas.microsoft.com/office/excel/2006/main">
          <x14:cfRule type="cellIs" priority="908" operator="greaterThanOrEqual" id="{38F2FF97-4557-4B54-B75D-B63B218B6D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09" operator="lessThan" id="{EDC3186D-D2D5-43B6-B276-611BFB21FB5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E1110</xm:sqref>
        </x14:conditionalFormatting>
        <x14:conditionalFormatting xmlns:xm="http://schemas.microsoft.com/office/excel/2006/main">
          <x14:cfRule type="cellIs" priority="910" operator="greaterThanOrEqual" id="{C5D9309A-B0D9-4DA8-8A31-EE9E2AC3754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1" operator="lessThan" id="{9EFDF4F3-4EBB-40EC-8AAF-88BF0F33995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G1110</xm:sqref>
        </x14:conditionalFormatting>
        <x14:conditionalFormatting xmlns:xm="http://schemas.microsoft.com/office/excel/2006/main">
          <x14:cfRule type="cellIs" priority="912" operator="greaterThanOrEqual" id="{99B86B51-7C40-495C-AE1B-78E5097B1D9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3" operator="lessThan" id="{D4B482D7-5520-4F4A-BC7A-754B0C434FB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I1110</xm:sqref>
        </x14:conditionalFormatting>
        <x14:conditionalFormatting xmlns:xm="http://schemas.microsoft.com/office/excel/2006/main">
          <x14:cfRule type="cellIs" priority="914" operator="greaterThanOrEqual" id="{DDAB8882-C41C-48EB-BCA9-FCEE658B9D9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5" operator="lessThan" id="{13631ABA-95BD-4988-8A5A-B87AEEF4036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K1110</xm:sqref>
        </x14:conditionalFormatting>
        <x14:conditionalFormatting xmlns:xm="http://schemas.microsoft.com/office/excel/2006/main">
          <x14:cfRule type="cellIs" priority="916" operator="greaterThanOrEqual" id="{D746A0D5-DA05-479B-8C8F-847229B3F9D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7" operator="lessThan" id="{4E398D32-D253-4235-978D-23C42A5FFE1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M1110</xm:sqref>
        </x14:conditionalFormatting>
        <x14:conditionalFormatting xmlns:xm="http://schemas.microsoft.com/office/excel/2006/main">
          <x14:cfRule type="cellIs" priority="902" operator="lessThan" id="{62EEADB8-4E19-4586-8972-CB8003AEFB0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3" operator="greaterThanOrEqual" id="{0A2B1522-9E83-490E-8BF2-49885DC1E67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M1113</xm:sqref>
        </x14:conditionalFormatting>
        <x14:conditionalFormatting xmlns:xm="http://schemas.microsoft.com/office/excel/2006/main">
          <x14:cfRule type="cellIs" priority="899" operator="lessThan" id="{A1CB43E6-082F-42D1-A634-D972F15802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0" operator="greaterThanOrEqual" id="{43C851DF-A5E2-4295-A2B7-6F0DAD479A3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M1116</xm:sqref>
        </x14:conditionalFormatting>
        <x14:conditionalFormatting xmlns:xm="http://schemas.microsoft.com/office/excel/2006/main">
          <x14:cfRule type="cellIs" priority="896" operator="lessThan" id="{465796C9-E1FE-472C-8E02-1BD71B6A6A2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97" operator="greaterThanOrEqual" id="{69E5061D-1BC8-4744-AC79-AE72AB0117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M1119</xm:sqref>
        </x14:conditionalFormatting>
        <x14:conditionalFormatting xmlns:xm="http://schemas.microsoft.com/office/excel/2006/main">
          <x14:cfRule type="cellIs" priority="893" operator="lessThan" id="{BD68CC81-3A32-4656-B7D4-290E538564E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94" operator="greaterThanOrEqual" id="{4EEEF730-EA91-465F-9039-D7C7A81E696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H1122</xm:sqref>
        </x14:conditionalFormatting>
        <x14:conditionalFormatting xmlns:xm="http://schemas.microsoft.com/office/excel/2006/main">
          <x14:cfRule type="cellIs" priority="879" operator="greaterThanOrEqual" id="{388A99A9-45A0-4559-952C-D83D03A6891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0" operator="lessThan" id="{341FA47E-46AF-43AC-A8A2-8FEF588F221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C1127</xm:sqref>
        </x14:conditionalFormatting>
        <x14:conditionalFormatting xmlns:xm="http://schemas.microsoft.com/office/excel/2006/main">
          <x14:cfRule type="cellIs" priority="881" operator="greaterThanOrEqual" id="{FC890C92-6390-43FE-A8F2-478D92212B7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2" operator="lessThan" id="{238F0A8E-1CAB-48CC-9256-D6A897EB0DC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E1127</xm:sqref>
        </x14:conditionalFormatting>
        <x14:conditionalFormatting xmlns:xm="http://schemas.microsoft.com/office/excel/2006/main">
          <x14:cfRule type="cellIs" priority="883" operator="greaterThanOrEqual" id="{3AC68F4B-2693-43FD-AD0C-EB1CE18A2F0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4" operator="lessThan" id="{D88B2BE4-F02E-40A9-AA6A-488ED03B01D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G1127</xm:sqref>
        </x14:conditionalFormatting>
        <x14:conditionalFormatting xmlns:xm="http://schemas.microsoft.com/office/excel/2006/main">
          <x14:cfRule type="cellIs" priority="885" operator="greaterThanOrEqual" id="{29DB45BA-D85E-418A-B552-BA6A81720AC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6" operator="lessThan" id="{9F2944CC-4B53-48A3-BDB2-9271CD6002E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I1127</xm:sqref>
        </x14:conditionalFormatting>
        <x14:conditionalFormatting xmlns:xm="http://schemas.microsoft.com/office/excel/2006/main">
          <x14:cfRule type="cellIs" priority="887" operator="greaterThanOrEqual" id="{320ACD0B-02A8-4946-BA3A-C4A8006A48A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8" operator="lessThan" id="{BC74C3D8-4009-4928-841F-9E3BB25941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K1127</xm:sqref>
        </x14:conditionalFormatting>
        <x14:conditionalFormatting xmlns:xm="http://schemas.microsoft.com/office/excel/2006/main">
          <x14:cfRule type="cellIs" priority="889" operator="greaterThanOrEqual" id="{C7DC7511-2626-4C2C-AA76-5BCD8AE7DB8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90" operator="lessThan" id="{0FFC28F5-9618-466E-AC06-277E2006BC8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M1127</xm:sqref>
        </x14:conditionalFormatting>
        <x14:conditionalFormatting xmlns:xm="http://schemas.microsoft.com/office/excel/2006/main">
          <x14:cfRule type="cellIs" priority="875" operator="lessThan" id="{8C29DB44-0F2F-47FD-91EA-E4C76084D96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6" operator="greaterThanOrEqual" id="{38E64924-0964-4CD3-A782-3B826E9F64D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M1130</xm:sqref>
        </x14:conditionalFormatting>
        <x14:conditionalFormatting xmlns:xm="http://schemas.microsoft.com/office/excel/2006/main">
          <x14:cfRule type="cellIs" priority="872" operator="lessThan" id="{99B3FD85-52C0-42A0-8171-728E60C37DE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3" operator="greaterThanOrEqual" id="{C4829237-4E5C-4B3A-AA80-A4282690416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M1133</xm:sqref>
        </x14:conditionalFormatting>
        <x14:conditionalFormatting xmlns:xm="http://schemas.microsoft.com/office/excel/2006/main">
          <x14:cfRule type="cellIs" priority="869" operator="lessThan" id="{5C4D47EC-2C13-4D00-A78E-1E0CF9E8A60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0" operator="greaterThanOrEqual" id="{378F85D0-6FF3-432A-B40C-21270F4F56A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M1136</xm:sqref>
        </x14:conditionalFormatting>
        <x14:conditionalFormatting xmlns:xm="http://schemas.microsoft.com/office/excel/2006/main">
          <x14:cfRule type="cellIs" priority="866" operator="lessThan" id="{18E8FC24-4E19-49F0-A4A0-9F868B691AF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67" operator="greaterThanOrEqual" id="{3D0549A1-9E71-4146-8B1A-CF10E3E10A3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H1139</xm:sqref>
        </x14:conditionalFormatting>
        <x14:conditionalFormatting xmlns:xm="http://schemas.microsoft.com/office/excel/2006/main">
          <x14:cfRule type="cellIs" priority="852" operator="greaterThanOrEqual" id="{D086D4C9-54C4-4DF7-A902-E05B49EE1B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3" operator="lessThan" id="{8BD76FBA-D01F-4363-B234-57C5838250F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C1144</xm:sqref>
        </x14:conditionalFormatting>
        <x14:conditionalFormatting xmlns:xm="http://schemas.microsoft.com/office/excel/2006/main">
          <x14:cfRule type="cellIs" priority="854" operator="greaterThanOrEqual" id="{84E4348D-4A8A-486E-BD5C-B6B2C1FAC3A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5" operator="lessThan" id="{385EA0A7-30C7-42C1-96C2-1E919FD57EF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E1144</xm:sqref>
        </x14:conditionalFormatting>
        <x14:conditionalFormatting xmlns:xm="http://schemas.microsoft.com/office/excel/2006/main">
          <x14:cfRule type="cellIs" priority="856" operator="greaterThanOrEqual" id="{49EE8307-800A-4C21-9104-0B5BCF0AEF7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7" operator="lessThan" id="{C3EF48AC-3543-45C5-9AE6-502B85E55FC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G1144</xm:sqref>
        </x14:conditionalFormatting>
        <x14:conditionalFormatting xmlns:xm="http://schemas.microsoft.com/office/excel/2006/main">
          <x14:cfRule type="cellIs" priority="858" operator="greaterThanOrEqual" id="{0F64DD17-94FF-46A9-BDCB-B6782FCBA9F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9" operator="lessThan" id="{3BA589DF-5CBE-43E0-93B6-CF6F8C7B888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I1144</xm:sqref>
        </x14:conditionalFormatting>
        <x14:conditionalFormatting xmlns:xm="http://schemas.microsoft.com/office/excel/2006/main">
          <x14:cfRule type="cellIs" priority="860" operator="greaterThanOrEqual" id="{809E6782-ABEB-4B99-A2EF-A942E13FCD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61" operator="lessThan" id="{E640768F-BAA3-4BCE-AC79-D15B9671416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K1144</xm:sqref>
        </x14:conditionalFormatting>
        <x14:conditionalFormatting xmlns:xm="http://schemas.microsoft.com/office/excel/2006/main">
          <x14:cfRule type="cellIs" priority="862" operator="greaterThanOrEqual" id="{0EC518DC-1BEF-4ADA-8ADF-A0458DEF785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63" operator="lessThan" id="{D5A9D711-7321-45F1-9078-719EBED4FE2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M1144</xm:sqref>
        </x14:conditionalFormatting>
        <x14:conditionalFormatting xmlns:xm="http://schemas.microsoft.com/office/excel/2006/main">
          <x14:cfRule type="cellIs" priority="848" operator="lessThan" id="{D0126F76-89D9-41E7-9472-A77BFBC965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9" operator="greaterThanOrEqual" id="{58C8D679-91BA-4C3C-90D3-242C677C595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M1147</xm:sqref>
        </x14:conditionalFormatting>
        <x14:conditionalFormatting xmlns:xm="http://schemas.microsoft.com/office/excel/2006/main">
          <x14:cfRule type="cellIs" priority="845" operator="lessThan" id="{BC9235B1-9F4E-418F-BDE3-685E87BE15F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6" operator="greaterThanOrEqual" id="{B3916B19-977F-4E3C-935F-073CA71CE9A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M1150</xm:sqref>
        </x14:conditionalFormatting>
        <x14:conditionalFormatting xmlns:xm="http://schemas.microsoft.com/office/excel/2006/main">
          <x14:cfRule type="cellIs" priority="842" operator="lessThan" id="{5B7F4A76-8E5C-42ED-A6D1-BF8C7D4360C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3" operator="greaterThanOrEqual" id="{E2DAD393-5101-4A16-8591-82369D55AE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M1153</xm:sqref>
        </x14:conditionalFormatting>
        <x14:conditionalFormatting xmlns:xm="http://schemas.microsoft.com/office/excel/2006/main">
          <x14:cfRule type="cellIs" priority="839" operator="lessThan" id="{0CFDE2ED-AB7E-44DC-81B1-5B42BB5BDFE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0" operator="greaterThanOrEqual" id="{6005EA34-621B-410F-916D-07F377C0FE6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H1156</xm:sqref>
        </x14:conditionalFormatting>
        <x14:conditionalFormatting xmlns:xm="http://schemas.microsoft.com/office/excel/2006/main">
          <x14:cfRule type="cellIs" priority="825" operator="greaterThanOrEqual" id="{FAF34FB7-3A53-4A2D-8201-3D3329D8224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26" operator="lessThan" id="{FC97274C-413E-40B2-B971-BF306D7AEF1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C1161</xm:sqref>
        </x14:conditionalFormatting>
        <x14:conditionalFormatting xmlns:xm="http://schemas.microsoft.com/office/excel/2006/main">
          <x14:cfRule type="cellIs" priority="827" operator="greaterThanOrEqual" id="{C8B2E6C3-DC8F-465E-A54E-6F30937A4EF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28" operator="lessThan" id="{BCF0300D-3278-41A7-A296-A477E73ADDF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E1161</xm:sqref>
        </x14:conditionalFormatting>
        <x14:conditionalFormatting xmlns:xm="http://schemas.microsoft.com/office/excel/2006/main">
          <x14:cfRule type="cellIs" priority="829" operator="greaterThanOrEqual" id="{7BDA5EDD-6BFA-4BD8-A640-D4E9F4E7ECD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0" operator="lessThan" id="{E7FF429C-04FA-454E-9670-AD9D41B4912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G1161</xm:sqref>
        </x14:conditionalFormatting>
        <x14:conditionalFormatting xmlns:xm="http://schemas.microsoft.com/office/excel/2006/main">
          <x14:cfRule type="cellIs" priority="831" operator="greaterThanOrEqual" id="{C28E2674-0CF2-40C5-81E4-3E32B71F9B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2" operator="lessThan" id="{971E703F-72F7-4B52-812D-32483A700AB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I1161</xm:sqref>
        </x14:conditionalFormatting>
        <x14:conditionalFormatting xmlns:xm="http://schemas.microsoft.com/office/excel/2006/main">
          <x14:cfRule type="cellIs" priority="833" operator="greaterThanOrEqual" id="{DB029BF8-986A-4C55-92EC-5F262F944B0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4" operator="lessThan" id="{6508BF84-71DC-47F5-A2E9-EE6731028CC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K1161</xm:sqref>
        </x14:conditionalFormatting>
        <x14:conditionalFormatting xmlns:xm="http://schemas.microsoft.com/office/excel/2006/main">
          <x14:cfRule type="cellIs" priority="835" operator="greaterThanOrEqual" id="{8D9E9764-40A5-4FE8-A348-6CF6870ED96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6" operator="lessThan" id="{6E50BFA0-855E-4E8C-8D22-0E9FB238514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M1161</xm:sqref>
        </x14:conditionalFormatting>
        <x14:conditionalFormatting xmlns:xm="http://schemas.microsoft.com/office/excel/2006/main">
          <x14:cfRule type="cellIs" priority="821" operator="lessThan" id="{1FCF98E9-B2D8-4123-979B-DFB8256251C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22" operator="greaterThanOrEqual" id="{1F61BE30-A265-447C-9B38-2C1B9E0745A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M1164</xm:sqref>
        </x14:conditionalFormatting>
        <x14:conditionalFormatting xmlns:xm="http://schemas.microsoft.com/office/excel/2006/main">
          <x14:cfRule type="cellIs" priority="818" operator="lessThan" id="{CB0A2598-28D5-4B7C-8A3D-42A632B91FD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9" operator="greaterThanOrEqual" id="{E82284C1-C38C-4983-BFD2-DBB4055DA50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M1167</xm:sqref>
        </x14:conditionalFormatting>
        <x14:conditionalFormatting xmlns:xm="http://schemas.microsoft.com/office/excel/2006/main">
          <x14:cfRule type="cellIs" priority="815" operator="lessThan" id="{B60B774D-C878-4F5B-A239-241509ADB26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6" operator="greaterThanOrEqual" id="{DD891F38-9F1C-482C-BF85-59710344871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M1170</xm:sqref>
        </x14:conditionalFormatting>
        <x14:conditionalFormatting xmlns:xm="http://schemas.microsoft.com/office/excel/2006/main">
          <x14:cfRule type="cellIs" priority="812" operator="lessThan" id="{BADDEB9E-D3E9-4838-86B3-6EEE14F931F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3" operator="greaterThanOrEqual" id="{DDC9D678-F967-4731-BCB8-44406503116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H1173</xm:sqref>
        </x14:conditionalFormatting>
        <x14:conditionalFormatting xmlns:xm="http://schemas.microsoft.com/office/excel/2006/main">
          <x14:cfRule type="cellIs" priority="798" operator="greaterThanOrEqual" id="{EBD94C0D-CF3F-4885-AC00-12AB5093DA9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99" operator="lessThan" id="{B9E647B5-FE8D-407A-BA63-EE980F3351F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C1178</xm:sqref>
        </x14:conditionalFormatting>
        <x14:conditionalFormatting xmlns:xm="http://schemas.microsoft.com/office/excel/2006/main">
          <x14:cfRule type="cellIs" priority="800" operator="greaterThanOrEqual" id="{276D1A55-FD41-4720-A488-1DA59CC231E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1" operator="lessThan" id="{41732C4E-94DF-4C3C-89DD-6564B718A1D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E1178</xm:sqref>
        </x14:conditionalFormatting>
        <x14:conditionalFormatting xmlns:xm="http://schemas.microsoft.com/office/excel/2006/main">
          <x14:cfRule type="cellIs" priority="802" operator="greaterThanOrEqual" id="{A5C319E9-E06F-42A9-AA96-C04F0566CE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3" operator="lessThan" id="{5243927A-61A3-47DC-B2B9-7AD3AE3591E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G1178</xm:sqref>
        </x14:conditionalFormatting>
        <x14:conditionalFormatting xmlns:xm="http://schemas.microsoft.com/office/excel/2006/main">
          <x14:cfRule type="cellIs" priority="804" operator="greaterThanOrEqual" id="{5AF58EC1-4713-4874-97C4-DD420FA0F4A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5" operator="lessThan" id="{BE7C30F3-0E8E-46B7-8B49-4CDA390D4CE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I1178</xm:sqref>
        </x14:conditionalFormatting>
        <x14:conditionalFormatting xmlns:xm="http://schemas.microsoft.com/office/excel/2006/main">
          <x14:cfRule type="cellIs" priority="806" operator="greaterThanOrEqual" id="{0DFF4AD5-71FB-4F52-8A75-4AE7E2527A3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7" operator="lessThan" id="{3671120F-98E9-44DF-BFE4-6180479D10D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K1178</xm:sqref>
        </x14:conditionalFormatting>
        <x14:conditionalFormatting xmlns:xm="http://schemas.microsoft.com/office/excel/2006/main">
          <x14:cfRule type="cellIs" priority="808" operator="greaterThanOrEqual" id="{DAE80623-0844-44C3-B96A-D5EF97EED56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9" operator="lessThan" id="{85A4FC96-ADF9-4E43-B7F8-A4E127D6644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M1178</xm:sqref>
        </x14:conditionalFormatting>
        <x14:conditionalFormatting xmlns:xm="http://schemas.microsoft.com/office/excel/2006/main">
          <x14:cfRule type="cellIs" priority="794" operator="lessThan" id="{728BF5DD-A566-4541-A480-4E1C95F8691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95" operator="greaterThanOrEqual" id="{28828BCA-6089-4AAB-A96C-60BF04D4633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M1181</xm:sqref>
        </x14:conditionalFormatting>
        <x14:conditionalFormatting xmlns:xm="http://schemas.microsoft.com/office/excel/2006/main">
          <x14:cfRule type="cellIs" priority="791" operator="lessThan" id="{36C9F747-4540-40BA-AC10-4D445AEECA0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92" operator="greaterThanOrEqual" id="{3FAB925F-C500-4963-A1E8-4443D75E9E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M1184</xm:sqref>
        </x14:conditionalFormatting>
        <x14:conditionalFormatting xmlns:xm="http://schemas.microsoft.com/office/excel/2006/main">
          <x14:cfRule type="cellIs" priority="788" operator="lessThan" id="{3FF46D2D-1473-4645-9D87-0F1677A7A36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89" operator="greaterThanOrEqual" id="{ED36A679-B5FE-4997-967F-4F9E862B729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M1187</xm:sqref>
        </x14:conditionalFormatting>
        <x14:conditionalFormatting xmlns:xm="http://schemas.microsoft.com/office/excel/2006/main">
          <x14:cfRule type="cellIs" priority="785" operator="lessThan" id="{ADEC8D75-9B27-4E45-96D3-23E65249A91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86" operator="greaterThanOrEqual" id="{2C9DC65F-298D-4B7B-83BC-E65AAEA96A1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H1190</xm:sqref>
        </x14:conditionalFormatting>
        <x14:conditionalFormatting xmlns:xm="http://schemas.microsoft.com/office/excel/2006/main">
          <x14:cfRule type="cellIs" priority="771" operator="greaterThanOrEqual" id="{91CAC475-5F89-45C3-8508-4B64657523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2" operator="lessThan" id="{20C7171B-32E6-488B-B5AA-EE1B1D35F00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C1195</xm:sqref>
        </x14:conditionalFormatting>
        <x14:conditionalFormatting xmlns:xm="http://schemas.microsoft.com/office/excel/2006/main">
          <x14:cfRule type="cellIs" priority="773" operator="greaterThanOrEqual" id="{8B73ACF6-B64C-4C7E-BB32-65B1222FC78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4" operator="lessThan" id="{28260983-2C29-447E-895D-CF2C87292ED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E1195</xm:sqref>
        </x14:conditionalFormatting>
        <x14:conditionalFormatting xmlns:xm="http://schemas.microsoft.com/office/excel/2006/main">
          <x14:cfRule type="cellIs" priority="775" operator="greaterThanOrEqual" id="{2D906BC3-5AC8-47AE-83BE-20177E87F9A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6" operator="lessThan" id="{9DBAE510-D2DD-4939-AB15-50AB05BA981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G1195</xm:sqref>
        </x14:conditionalFormatting>
        <x14:conditionalFormatting xmlns:xm="http://schemas.microsoft.com/office/excel/2006/main">
          <x14:cfRule type="cellIs" priority="777" operator="greaterThanOrEqual" id="{3CB1C09C-DCA5-4398-B107-F04C71EC50C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8" operator="lessThan" id="{38F66A75-E38E-4173-89D5-B07F941641D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I1195</xm:sqref>
        </x14:conditionalFormatting>
        <x14:conditionalFormatting xmlns:xm="http://schemas.microsoft.com/office/excel/2006/main">
          <x14:cfRule type="cellIs" priority="779" operator="greaterThanOrEqual" id="{236AEC27-95A6-477B-A27C-534AC1FE931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0" operator="lessThan" id="{9A80F8F6-3C25-4752-BC19-EE2BC11E50A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K1195</xm:sqref>
        </x14:conditionalFormatting>
        <x14:conditionalFormatting xmlns:xm="http://schemas.microsoft.com/office/excel/2006/main">
          <x14:cfRule type="cellIs" priority="781" operator="greaterThanOrEqual" id="{14189F6D-8377-496C-ABEE-1562CFC921E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2" operator="lessThan" id="{486EC955-75DF-4BF4-B3C1-944C25E7D8A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M1195</xm:sqref>
        </x14:conditionalFormatting>
        <x14:conditionalFormatting xmlns:xm="http://schemas.microsoft.com/office/excel/2006/main">
          <x14:cfRule type="cellIs" priority="767" operator="lessThan" id="{973B7D1F-1267-44DE-8652-8CCA92010E7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8" operator="greaterThanOrEqual" id="{1D536CF7-E710-46D3-AC49-3ED88A4A199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M1198</xm:sqref>
        </x14:conditionalFormatting>
        <x14:conditionalFormatting xmlns:xm="http://schemas.microsoft.com/office/excel/2006/main">
          <x14:cfRule type="cellIs" priority="764" operator="lessThan" id="{929BD5D9-0491-4366-BA5A-D542C632648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5" operator="greaterThanOrEqual" id="{13FA3BDC-59DC-4A57-BC4B-2525DA1AF1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M1201</xm:sqref>
        </x14:conditionalFormatting>
        <x14:conditionalFormatting xmlns:xm="http://schemas.microsoft.com/office/excel/2006/main">
          <x14:cfRule type="cellIs" priority="761" operator="lessThan" id="{ED4F33C3-B4C7-4BBF-B1B9-20C9B83D9FB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2" operator="greaterThanOrEqual" id="{239F0DAF-1641-4C62-A48F-290FD5BF2F8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M1204</xm:sqref>
        </x14:conditionalFormatting>
        <x14:conditionalFormatting xmlns:xm="http://schemas.microsoft.com/office/excel/2006/main">
          <x14:cfRule type="cellIs" priority="758" operator="lessThan" id="{E605B008-F3EE-4CB8-AF5A-9FF8ACE89F4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59" operator="greaterThanOrEqual" id="{58B9FBFF-5399-45D7-B574-924449FF923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H1207</xm:sqref>
        </x14:conditionalFormatting>
        <x14:conditionalFormatting xmlns:xm="http://schemas.microsoft.com/office/excel/2006/main">
          <x14:cfRule type="cellIs" priority="744" operator="greaterThanOrEqual" id="{089BF5C7-9DDC-434D-AE61-15110E65065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5" operator="lessThan" id="{F31CFF7F-525E-456B-ABFC-ADCA06AEB15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C1212</xm:sqref>
        </x14:conditionalFormatting>
        <x14:conditionalFormatting xmlns:xm="http://schemas.microsoft.com/office/excel/2006/main">
          <x14:cfRule type="cellIs" priority="746" operator="greaterThanOrEqual" id="{3BC0DD29-DD2E-463B-AEEA-11651E341F7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7" operator="lessThan" id="{F49A6366-5772-4C48-8DB6-19D6978ECA1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E1212</xm:sqref>
        </x14:conditionalFormatting>
        <x14:conditionalFormatting xmlns:xm="http://schemas.microsoft.com/office/excel/2006/main">
          <x14:cfRule type="cellIs" priority="748" operator="greaterThanOrEqual" id="{C83FCCE5-B902-4BF9-BC16-C1F92321F1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9" operator="lessThan" id="{1C70C432-71B3-402A-93FE-744B7591C85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G1212</xm:sqref>
        </x14:conditionalFormatting>
        <x14:conditionalFormatting xmlns:xm="http://schemas.microsoft.com/office/excel/2006/main">
          <x14:cfRule type="cellIs" priority="750" operator="greaterThanOrEqual" id="{62E7B5A6-4C64-491B-B296-DB063BB75DF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1" operator="lessThan" id="{B015CD8A-9407-4025-90C4-EF80DC0DB20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I1212</xm:sqref>
        </x14:conditionalFormatting>
        <x14:conditionalFormatting xmlns:xm="http://schemas.microsoft.com/office/excel/2006/main">
          <x14:cfRule type="cellIs" priority="752" operator="greaterThanOrEqual" id="{73E05915-CC98-4749-9723-6158C6C48F6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3" operator="lessThan" id="{9AF23996-4C90-42B1-9B8C-93EF60C0F4B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K1212</xm:sqref>
        </x14:conditionalFormatting>
        <x14:conditionalFormatting xmlns:xm="http://schemas.microsoft.com/office/excel/2006/main">
          <x14:cfRule type="cellIs" priority="754" operator="greaterThanOrEqual" id="{077BAF93-4B89-4A68-AAEF-37823786EEA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5" operator="lessThan" id="{6026B0ED-55B8-450F-8077-F00853E3B29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M1212</xm:sqref>
        </x14:conditionalFormatting>
        <x14:conditionalFormatting xmlns:xm="http://schemas.microsoft.com/office/excel/2006/main">
          <x14:cfRule type="cellIs" priority="740" operator="lessThan" id="{2CD3486F-902E-4F82-9058-7353746D66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41" operator="greaterThanOrEqual" id="{64AE1B7F-B30F-43DA-886F-D887ECE388F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M1215</xm:sqref>
        </x14:conditionalFormatting>
        <x14:conditionalFormatting xmlns:xm="http://schemas.microsoft.com/office/excel/2006/main">
          <x14:cfRule type="cellIs" priority="737" operator="lessThan" id="{3DB50844-537D-44AA-9A79-BE8A863382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8" operator="greaterThanOrEqual" id="{4F1292F1-2E33-4E3F-9EE7-E527E3B30E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M1218</xm:sqref>
        </x14:conditionalFormatting>
        <x14:conditionalFormatting xmlns:xm="http://schemas.microsoft.com/office/excel/2006/main">
          <x14:cfRule type="cellIs" priority="734" operator="lessThan" id="{A2A96917-0C88-4225-BDA3-CF59A1FBF8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5" operator="greaterThanOrEqual" id="{C2846689-928F-41FC-84D0-36FB6E87784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M1221</xm:sqref>
        </x14:conditionalFormatting>
        <x14:conditionalFormatting xmlns:xm="http://schemas.microsoft.com/office/excel/2006/main">
          <x14:cfRule type="cellIs" priority="731" operator="lessThan" id="{3DEB7C53-4E16-45D3-B126-1CAFD5007E6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2" operator="greaterThanOrEqual" id="{763300FF-05B1-44EC-96D6-F3515439131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H1224</xm:sqref>
        </x14:conditionalFormatting>
        <x14:conditionalFormatting xmlns:xm="http://schemas.microsoft.com/office/excel/2006/main">
          <x14:cfRule type="cellIs" priority="717" operator="greaterThanOrEqual" id="{6D0D7911-194F-403B-A0F8-27F1B454817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18" operator="lessThan" id="{FAAC724A-3DC5-4727-BB46-1B5BC4F33A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C1229</xm:sqref>
        </x14:conditionalFormatting>
        <x14:conditionalFormatting xmlns:xm="http://schemas.microsoft.com/office/excel/2006/main">
          <x14:cfRule type="cellIs" priority="719" operator="greaterThanOrEqual" id="{2A759778-A9C3-48D0-8187-A27D7FD522A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0" operator="lessThan" id="{6D33AE91-9702-4480-864A-E36D56C1601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E1229</xm:sqref>
        </x14:conditionalFormatting>
        <x14:conditionalFormatting xmlns:xm="http://schemas.microsoft.com/office/excel/2006/main">
          <x14:cfRule type="cellIs" priority="721" operator="greaterThanOrEqual" id="{4FFDE2F5-34B0-4D04-80A9-B4B38DF89F0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2" operator="lessThan" id="{52311F52-80A6-41C8-A2FB-FF2787FA76D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G1229</xm:sqref>
        </x14:conditionalFormatting>
        <x14:conditionalFormatting xmlns:xm="http://schemas.microsoft.com/office/excel/2006/main">
          <x14:cfRule type="cellIs" priority="723" operator="greaterThanOrEqual" id="{5D5BBFE0-14DA-4AB8-9285-898552145E5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4" operator="lessThan" id="{1D37FF1B-94D9-4727-867E-71C736B02FC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I1229</xm:sqref>
        </x14:conditionalFormatting>
        <x14:conditionalFormatting xmlns:xm="http://schemas.microsoft.com/office/excel/2006/main">
          <x14:cfRule type="cellIs" priority="725" operator="greaterThanOrEqual" id="{0AF3A353-3475-486D-8F32-EB045F8D11D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6" operator="lessThan" id="{F13BBE1F-2159-4089-9593-E5CBDD1E4FCD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K1229</xm:sqref>
        </x14:conditionalFormatting>
        <x14:conditionalFormatting xmlns:xm="http://schemas.microsoft.com/office/excel/2006/main">
          <x14:cfRule type="cellIs" priority="727" operator="greaterThanOrEqual" id="{A4BCE6AF-2922-4E1D-9C53-774E65F061B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8" operator="lessThan" id="{D9C6E7D2-8E42-40A8-BBBD-113E9514B0C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M1229</xm:sqref>
        </x14:conditionalFormatting>
        <x14:conditionalFormatting xmlns:xm="http://schemas.microsoft.com/office/excel/2006/main">
          <x14:cfRule type="cellIs" priority="713" operator="lessThan" id="{149F3C96-E507-4326-93AE-EF8602B9D03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14" operator="greaterThanOrEqual" id="{5C3251B9-ED12-4C4F-A272-A8150875FE3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M1232</xm:sqref>
        </x14:conditionalFormatting>
        <x14:conditionalFormatting xmlns:xm="http://schemas.microsoft.com/office/excel/2006/main">
          <x14:cfRule type="cellIs" priority="710" operator="lessThan" id="{E412DD03-F1E1-43AE-BD4C-A4BA6FD682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11" operator="greaterThanOrEqual" id="{421F8B51-7761-4F3A-9AF9-596AA6ECBD4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M1235</xm:sqref>
        </x14:conditionalFormatting>
        <x14:conditionalFormatting xmlns:xm="http://schemas.microsoft.com/office/excel/2006/main">
          <x14:cfRule type="cellIs" priority="707" operator="lessThan" id="{0FEDEB17-0B83-4AD8-AF06-FCE7043FB6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08" operator="greaterThanOrEqual" id="{B8EC0CDC-8713-48C5-A4A2-93C2A129B0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M1238</xm:sqref>
        </x14:conditionalFormatting>
        <x14:conditionalFormatting xmlns:xm="http://schemas.microsoft.com/office/excel/2006/main">
          <x14:cfRule type="cellIs" priority="704" operator="lessThan" id="{F7730E57-DC79-4EAF-8FE7-7B52ACFDBF8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05" operator="greaterThanOrEqual" id="{F7E20F15-2821-493F-B8FE-17646519A0C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H1241</xm:sqref>
        </x14:conditionalFormatting>
        <x14:conditionalFormatting xmlns:xm="http://schemas.microsoft.com/office/excel/2006/main">
          <x14:cfRule type="cellIs" priority="690" operator="greaterThanOrEqual" id="{8B52510B-6327-429D-AD89-F0C048CF6EF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1" operator="lessThan" id="{E1E7073A-1FDE-4013-9FCA-1AF1B356C38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C1246</xm:sqref>
        </x14:conditionalFormatting>
        <x14:conditionalFormatting xmlns:xm="http://schemas.microsoft.com/office/excel/2006/main">
          <x14:cfRule type="cellIs" priority="692" operator="greaterThanOrEqual" id="{3FC41686-AA69-4A8C-BCC5-A5F4C51F714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3" operator="lessThan" id="{5BF3B263-7D36-4130-81AC-999D6080F34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E1246</xm:sqref>
        </x14:conditionalFormatting>
        <x14:conditionalFormatting xmlns:xm="http://schemas.microsoft.com/office/excel/2006/main">
          <x14:cfRule type="cellIs" priority="694" operator="greaterThanOrEqual" id="{60476112-27F5-4B89-89B1-BECE5B23CCE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5" operator="lessThan" id="{C817BFF8-01B1-44B5-BF26-9EB7739D014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G1246</xm:sqref>
        </x14:conditionalFormatting>
        <x14:conditionalFormatting xmlns:xm="http://schemas.microsoft.com/office/excel/2006/main">
          <x14:cfRule type="cellIs" priority="696" operator="greaterThanOrEqual" id="{3C4D769E-D3C5-4032-B2DF-63373EAAADB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7" operator="lessThan" id="{77EF2027-D18A-4B14-AC87-0354639B2D7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I1246</xm:sqref>
        </x14:conditionalFormatting>
        <x14:conditionalFormatting xmlns:xm="http://schemas.microsoft.com/office/excel/2006/main">
          <x14:cfRule type="cellIs" priority="698" operator="greaterThanOrEqual" id="{094B6DE6-8B77-469F-A652-AC7DE8E7F70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9" operator="lessThan" id="{D5E8F9B5-732A-4273-A6DC-52477730A8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K1246</xm:sqref>
        </x14:conditionalFormatting>
        <x14:conditionalFormatting xmlns:xm="http://schemas.microsoft.com/office/excel/2006/main">
          <x14:cfRule type="cellIs" priority="700" operator="greaterThanOrEqual" id="{E089EA0A-0211-4A61-A326-CE1E58AA486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01" operator="lessThan" id="{F0514D87-5AB8-46DF-946C-98E17AC7C88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M1246</xm:sqref>
        </x14:conditionalFormatting>
        <x14:conditionalFormatting xmlns:xm="http://schemas.microsoft.com/office/excel/2006/main">
          <x14:cfRule type="cellIs" priority="686" operator="lessThan" id="{2F627B12-7EE5-4EF2-99D8-C2CF477B5D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7" operator="greaterThanOrEqual" id="{0B7EC042-2E3F-4B85-A44A-C42E29C657B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M1249</xm:sqref>
        </x14:conditionalFormatting>
        <x14:conditionalFormatting xmlns:xm="http://schemas.microsoft.com/office/excel/2006/main">
          <x14:cfRule type="cellIs" priority="683" operator="lessThan" id="{DB71A97A-A9AC-48B6-8180-3D402739890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4" operator="greaterThanOrEqual" id="{4897EB67-B819-4C07-8D51-1296CF30C35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M1252</xm:sqref>
        </x14:conditionalFormatting>
        <x14:conditionalFormatting xmlns:xm="http://schemas.microsoft.com/office/excel/2006/main">
          <x14:cfRule type="cellIs" priority="680" operator="lessThan" id="{4F123ED1-0414-4287-B777-1CE91C15F6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1" operator="greaterThanOrEqual" id="{12DE88B2-A1D0-4565-B723-B3451525B6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M1255</xm:sqref>
        </x14:conditionalFormatting>
        <x14:conditionalFormatting xmlns:xm="http://schemas.microsoft.com/office/excel/2006/main">
          <x14:cfRule type="cellIs" priority="677" operator="lessThan" id="{AC33F04E-7354-4527-B176-A626219DF66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78" operator="greaterThanOrEqual" id="{DAFD9822-B188-4437-850D-F28FD8438CA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H1258</xm:sqref>
        </x14:conditionalFormatting>
        <x14:conditionalFormatting xmlns:xm="http://schemas.microsoft.com/office/excel/2006/main">
          <x14:cfRule type="cellIs" priority="663" operator="greaterThanOrEqual" id="{B580058A-8265-4DD0-BBA5-4786AFC05A0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4" operator="lessThan" id="{3135213D-1FF6-41FB-82DE-ED88C566464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C1263</xm:sqref>
        </x14:conditionalFormatting>
        <x14:conditionalFormatting xmlns:xm="http://schemas.microsoft.com/office/excel/2006/main">
          <x14:cfRule type="cellIs" priority="665" operator="greaterThanOrEqual" id="{84B3492F-831A-4F6E-A86E-FC1446AB538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6" operator="lessThan" id="{3BE80DC1-C0D1-4136-8A6D-22E8A3E5706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E1263</xm:sqref>
        </x14:conditionalFormatting>
        <x14:conditionalFormatting xmlns:xm="http://schemas.microsoft.com/office/excel/2006/main">
          <x14:cfRule type="cellIs" priority="667" operator="greaterThanOrEqual" id="{580CC0FF-DE4A-4EE8-BC98-FD30B3B04A6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8" operator="lessThan" id="{A7D488C1-9AAE-41F9-A305-B4021050249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G1263</xm:sqref>
        </x14:conditionalFormatting>
        <x14:conditionalFormatting xmlns:xm="http://schemas.microsoft.com/office/excel/2006/main">
          <x14:cfRule type="cellIs" priority="669" operator="greaterThanOrEqual" id="{D75E8418-89E5-4CAA-B503-38097479E7E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0" operator="lessThan" id="{72492EB6-101C-4234-BB4C-6CCF35255FC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I1263</xm:sqref>
        </x14:conditionalFormatting>
        <x14:conditionalFormatting xmlns:xm="http://schemas.microsoft.com/office/excel/2006/main">
          <x14:cfRule type="cellIs" priority="671" operator="greaterThanOrEqual" id="{28CBF114-2356-4A00-804D-7CC50D88DE8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2" operator="lessThan" id="{A214A2B4-5173-4641-8908-85AA2624BF1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K1263</xm:sqref>
        </x14:conditionalFormatting>
        <x14:conditionalFormatting xmlns:xm="http://schemas.microsoft.com/office/excel/2006/main">
          <x14:cfRule type="cellIs" priority="673" operator="greaterThanOrEqual" id="{14C9D9E9-80D7-4D8C-AF66-B506B7960CD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4" operator="lessThan" id="{5D139043-125F-4FCD-BB9C-6087C6AD141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M1263</xm:sqref>
        </x14:conditionalFormatting>
        <x14:conditionalFormatting xmlns:xm="http://schemas.microsoft.com/office/excel/2006/main">
          <x14:cfRule type="cellIs" priority="659" operator="lessThan" id="{BD548969-FBC0-48C0-9A2C-288036D6BA4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60" operator="greaterThanOrEqual" id="{3120E649-B9CD-4A99-9D05-8BAB533EE70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M1266</xm:sqref>
        </x14:conditionalFormatting>
        <x14:conditionalFormatting xmlns:xm="http://schemas.microsoft.com/office/excel/2006/main">
          <x14:cfRule type="cellIs" priority="656" operator="lessThan" id="{094B6040-3F39-4589-926D-963DE1A77B3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7" operator="greaterThanOrEqual" id="{BEFED20A-D9EE-4CAB-A200-14B18CEC48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M1269</xm:sqref>
        </x14:conditionalFormatting>
        <x14:conditionalFormatting xmlns:xm="http://schemas.microsoft.com/office/excel/2006/main">
          <x14:cfRule type="cellIs" priority="653" operator="lessThan" id="{19BFCA1E-34D7-4BAD-AEC8-D32A3F6EB2B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4" operator="greaterThanOrEqual" id="{A0868C97-1D53-4851-BDF4-74C2878C48C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M1272</xm:sqref>
        </x14:conditionalFormatting>
        <x14:conditionalFormatting xmlns:xm="http://schemas.microsoft.com/office/excel/2006/main">
          <x14:cfRule type="cellIs" priority="650" operator="lessThan" id="{F0D097CE-5C2E-4184-80BA-8AE9B1B32B7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1" operator="greaterThanOrEqual" id="{A019D271-76DD-4A64-8DCE-216CB7F5ED4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H1275</xm:sqref>
        </x14:conditionalFormatting>
        <x14:conditionalFormatting xmlns:xm="http://schemas.microsoft.com/office/excel/2006/main">
          <x14:cfRule type="cellIs" priority="636" operator="greaterThanOrEqual" id="{F0AC161C-D1F6-49CA-9649-321B103018F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37" operator="lessThan" id="{96C42BE2-2A96-485B-9890-AFF3240FD6A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C1280</xm:sqref>
        </x14:conditionalFormatting>
        <x14:conditionalFormatting xmlns:xm="http://schemas.microsoft.com/office/excel/2006/main">
          <x14:cfRule type="cellIs" priority="638" operator="greaterThanOrEqual" id="{E74ACD01-8178-44B2-8FB0-59609C90327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39" operator="lessThan" id="{2DD9D985-5CDF-4958-B496-83D8EE49CE5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E1280</xm:sqref>
        </x14:conditionalFormatting>
        <x14:conditionalFormatting xmlns:xm="http://schemas.microsoft.com/office/excel/2006/main">
          <x14:cfRule type="cellIs" priority="640" operator="greaterThanOrEqual" id="{3AE8E3D7-8B53-4D22-BBDB-FD15AD91D41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1" operator="lessThan" id="{7EF3B459-C803-4D5D-824C-848F6D47E1B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G1280</xm:sqref>
        </x14:conditionalFormatting>
        <x14:conditionalFormatting xmlns:xm="http://schemas.microsoft.com/office/excel/2006/main">
          <x14:cfRule type="cellIs" priority="642" operator="greaterThanOrEqual" id="{24A0614C-D7A5-41DA-AA9F-BC579351B33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3" operator="lessThan" id="{642496A6-C1C6-49C3-9671-80769B0579D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I1280</xm:sqref>
        </x14:conditionalFormatting>
        <x14:conditionalFormatting xmlns:xm="http://schemas.microsoft.com/office/excel/2006/main">
          <x14:cfRule type="cellIs" priority="644" operator="greaterThanOrEqual" id="{5D8C2F2B-78FD-4A0F-917F-8BA0885CD18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5" operator="lessThan" id="{7C642CF2-AD2E-4F49-B30F-3A38A99C0A8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K1280</xm:sqref>
        </x14:conditionalFormatting>
        <x14:conditionalFormatting xmlns:xm="http://schemas.microsoft.com/office/excel/2006/main">
          <x14:cfRule type="cellIs" priority="646" operator="greaterThanOrEqual" id="{93D6768A-B79A-41B6-A59A-C4E9BCE0B44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7" operator="lessThan" id="{1AD2206D-E720-4974-82D4-E7A7E8BCCFF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M1280</xm:sqref>
        </x14:conditionalFormatting>
        <x14:conditionalFormatting xmlns:xm="http://schemas.microsoft.com/office/excel/2006/main">
          <x14:cfRule type="cellIs" priority="632" operator="lessThan" id="{E60B0D34-B654-43C3-981E-7099854DB47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3" operator="greaterThanOrEqual" id="{2676B42E-F813-4F35-B97E-C7701AAA542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M1283</xm:sqref>
        </x14:conditionalFormatting>
        <x14:conditionalFormatting xmlns:xm="http://schemas.microsoft.com/office/excel/2006/main">
          <x14:cfRule type="cellIs" priority="629" operator="lessThan" id="{3B366DE2-9604-436A-838F-B7F9F31F303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0" operator="greaterThanOrEqual" id="{58869218-B0E1-4AD1-A696-01CC09F82EB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M1286</xm:sqref>
        </x14:conditionalFormatting>
        <x14:conditionalFormatting xmlns:xm="http://schemas.microsoft.com/office/excel/2006/main">
          <x14:cfRule type="cellIs" priority="626" operator="lessThan" id="{08F2E842-DA3E-48C4-B6CB-52D7E4680D8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27" operator="greaterThanOrEqual" id="{E20957DB-7740-40D8-8156-75D6045C016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M1289</xm:sqref>
        </x14:conditionalFormatting>
        <x14:conditionalFormatting xmlns:xm="http://schemas.microsoft.com/office/excel/2006/main">
          <x14:cfRule type="cellIs" priority="623" operator="lessThan" id="{F674840B-7A9E-4C97-B37B-91EFE33F0C4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24" operator="greaterThanOrEqual" id="{D14A1B34-DD13-4279-B7F4-3DBF95C9A29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H1292</xm:sqref>
        </x14:conditionalFormatting>
        <x14:conditionalFormatting xmlns:xm="http://schemas.microsoft.com/office/excel/2006/main">
          <x14:cfRule type="cellIs" priority="609" operator="greaterThanOrEqual" id="{59C4F6F4-D9A7-4BC8-A55E-CB75111F499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0" operator="lessThan" id="{3CCC9149-25A3-4AED-8C00-A9ED3706B6C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C1297</xm:sqref>
        </x14:conditionalFormatting>
        <x14:conditionalFormatting xmlns:xm="http://schemas.microsoft.com/office/excel/2006/main">
          <x14:cfRule type="cellIs" priority="611" operator="greaterThanOrEqual" id="{5BEE805E-C35D-4FFD-9E9C-551925B08F3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2" operator="lessThan" id="{A7D6E5A6-C90C-4174-B403-3CEC88615A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E1297</xm:sqref>
        </x14:conditionalFormatting>
        <x14:conditionalFormatting xmlns:xm="http://schemas.microsoft.com/office/excel/2006/main">
          <x14:cfRule type="cellIs" priority="613" operator="greaterThanOrEqual" id="{03C87EB3-54E1-4E76-8C73-79282CBCACF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4" operator="lessThan" id="{75749003-218A-443A-A3AD-C3118DD6B90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G1297</xm:sqref>
        </x14:conditionalFormatting>
        <x14:conditionalFormatting xmlns:xm="http://schemas.microsoft.com/office/excel/2006/main">
          <x14:cfRule type="cellIs" priority="615" operator="greaterThanOrEqual" id="{4D613543-BF8B-4ACA-BDE7-29A5812396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6" operator="lessThan" id="{9869FF34-C447-48FA-AD42-39B9E828595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I1297</xm:sqref>
        </x14:conditionalFormatting>
        <x14:conditionalFormatting xmlns:xm="http://schemas.microsoft.com/office/excel/2006/main">
          <x14:cfRule type="cellIs" priority="617" operator="greaterThanOrEqual" id="{5C59D6F8-4A13-4114-9DEA-577E6F3DE3E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8" operator="lessThan" id="{531673A6-CB62-4667-B710-F7C85E68CB5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K1297</xm:sqref>
        </x14:conditionalFormatting>
        <x14:conditionalFormatting xmlns:xm="http://schemas.microsoft.com/office/excel/2006/main">
          <x14:cfRule type="cellIs" priority="619" operator="greaterThanOrEqual" id="{1CB15E38-5997-4CED-B331-ED33702F33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20" operator="lessThan" id="{F356E4F6-42D8-4DED-B7DB-F265B9F5EF9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M1297</xm:sqref>
        </x14:conditionalFormatting>
        <x14:conditionalFormatting xmlns:xm="http://schemas.microsoft.com/office/excel/2006/main">
          <x14:cfRule type="cellIs" priority="605" operator="lessThan" id="{A7CC46A3-E019-4C68-9900-3B6FFE92566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6" operator="greaterThanOrEqual" id="{15CAE0A3-E7AE-4EC0-B236-47583DE3D0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M1300</xm:sqref>
        </x14:conditionalFormatting>
        <x14:conditionalFormatting xmlns:xm="http://schemas.microsoft.com/office/excel/2006/main">
          <x14:cfRule type="cellIs" priority="602" operator="lessThan" id="{6CA67537-D01A-4BBC-A31B-9EBB5F3249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3" operator="greaterThanOrEqual" id="{28A455CB-C162-478D-A93E-A309EC26134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M1303</xm:sqref>
        </x14:conditionalFormatting>
        <x14:conditionalFormatting xmlns:xm="http://schemas.microsoft.com/office/excel/2006/main">
          <x14:cfRule type="cellIs" priority="599" operator="lessThan" id="{E8BF8BF7-5D40-426F-A243-0BBF5EC6685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0" operator="greaterThanOrEqual" id="{DAD71AF2-9169-400E-9D57-CC999BB7F5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M1306</xm:sqref>
        </x14:conditionalFormatting>
        <x14:conditionalFormatting xmlns:xm="http://schemas.microsoft.com/office/excel/2006/main">
          <x14:cfRule type="cellIs" priority="596" operator="lessThan" id="{5AD56584-3965-46B2-BA2C-AE520D7D68B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97" operator="greaterThanOrEqual" id="{081562FE-69CE-4FEF-A9B1-5BF8B895B1E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H1309</xm:sqref>
        </x14:conditionalFormatting>
        <x14:conditionalFormatting xmlns:xm="http://schemas.microsoft.com/office/excel/2006/main">
          <x14:cfRule type="cellIs" priority="582" operator="greaterThanOrEqual" id="{3A655DAD-258E-458E-AF84-67861E83D5E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3" operator="lessThan" id="{A3C78805-6ED4-449E-AB8F-1AE641785FC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C1314</xm:sqref>
        </x14:conditionalFormatting>
        <x14:conditionalFormatting xmlns:xm="http://schemas.microsoft.com/office/excel/2006/main">
          <x14:cfRule type="cellIs" priority="584" operator="greaterThanOrEqual" id="{CD6B5A5B-131A-4223-8029-C4FAB552F31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5" operator="lessThan" id="{73218BB8-D3C4-47FE-907A-83E89E42B2F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E1314</xm:sqref>
        </x14:conditionalFormatting>
        <x14:conditionalFormatting xmlns:xm="http://schemas.microsoft.com/office/excel/2006/main">
          <x14:cfRule type="cellIs" priority="586" operator="greaterThanOrEqual" id="{E064B638-124B-40AC-8BAF-11ED84168FEA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7" operator="lessThan" id="{A2F8D9D0-8AA9-4F6D-A19E-163869E8151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G1314</xm:sqref>
        </x14:conditionalFormatting>
        <x14:conditionalFormatting xmlns:xm="http://schemas.microsoft.com/office/excel/2006/main">
          <x14:cfRule type="cellIs" priority="588" operator="greaterThanOrEqual" id="{53E96941-2689-498E-B5CE-F323D6ECA8A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9" operator="lessThan" id="{1209C6C3-4D67-493F-988F-516FEE35C2E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I1314</xm:sqref>
        </x14:conditionalFormatting>
        <x14:conditionalFormatting xmlns:xm="http://schemas.microsoft.com/office/excel/2006/main">
          <x14:cfRule type="cellIs" priority="590" operator="greaterThanOrEqual" id="{2347BDE3-5786-4068-9F84-A4D6933549A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91" operator="lessThan" id="{7D554EFB-3F1D-4F81-8FC6-986B26CC6D8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K1314</xm:sqref>
        </x14:conditionalFormatting>
        <x14:conditionalFormatting xmlns:xm="http://schemas.microsoft.com/office/excel/2006/main">
          <x14:cfRule type="cellIs" priority="592" operator="greaterThanOrEqual" id="{4BBA03F4-4594-4BC1-A817-0089F0DE5C8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93" operator="lessThan" id="{998AC891-A2C8-4FE4-AB7F-09BA2577924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M1314</xm:sqref>
        </x14:conditionalFormatting>
        <x14:conditionalFormatting xmlns:xm="http://schemas.microsoft.com/office/excel/2006/main">
          <x14:cfRule type="cellIs" priority="578" operator="lessThan" id="{3900600F-2943-42C1-A8D9-BDE20D66FF3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9" operator="greaterThanOrEqual" id="{CBF24105-401B-45A5-9629-DB4DECDD45F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M1317</xm:sqref>
        </x14:conditionalFormatting>
        <x14:conditionalFormatting xmlns:xm="http://schemas.microsoft.com/office/excel/2006/main">
          <x14:cfRule type="cellIs" priority="575" operator="lessThan" id="{EBF41DD9-8B30-482E-8647-1C6BC417957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6" operator="greaterThanOrEqual" id="{5249D152-8621-4BA9-B1F1-F27309993E4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M1320</xm:sqref>
        </x14:conditionalFormatting>
        <x14:conditionalFormatting xmlns:xm="http://schemas.microsoft.com/office/excel/2006/main">
          <x14:cfRule type="cellIs" priority="572" operator="lessThan" id="{36FF418D-949D-4E68-A291-21EABCEEA9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3" operator="greaterThanOrEqual" id="{11E6A3EA-58BD-4B16-947B-4526B3B4F21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M1323</xm:sqref>
        </x14:conditionalFormatting>
        <x14:conditionalFormatting xmlns:xm="http://schemas.microsoft.com/office/excel/2006/main">
          <x14:cfRule type="cellIs" priority="569" operator="lessThan" id="{E0B2E89C-81E3-4FF6-B581-8424ABA08AE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0" operator="greaterThanOrEqual" id="{0B9E3E21-E9D0-4616-8534-CC25CCFA82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H1326</xm:sqref>
        </x14:conditionalFormatting>
        <x14:conditionalFormatting xmlns:xm="http://schemas.microsoft.com/office/excel/2006/main">
          <x14:cfRule type="cellIs" priority="555" operator="greaterThanOrEqual" id="{5C7A6B8A-4AB6-4A6E-A255-8ACC96248A3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56" operator="lessThan" id="{C09E17F8-1F3B-40AA-9EFD-0C9670EB120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C1331</xm:sqref>
        </x14:conditionalFormatting>
        <x14:conditionalFormatting xmlns:xm="http://schemas.microsoft.com/office/excel/2006/main">
          <x14:cfRule type="cellIs" priority="557" operator="greaterThanOrEqual" id="{FFE21FE7-ABF4-4B80-92FC-84A0DE04071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58" operator="lessThan" id="{FA4E072F-CDA1-48C8-A867-DF8F51AA0D5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E1331</xm:sqref>
        </x14:conditionalFormatting>
        <x14:conditionalFormatting xmlns:xm="http://schemas.microsoft.com/office/excel/2006/main">
          <x14:cfRule type="cellIs" priority="559" operator="greaterThanOrEqual" id="{FCD60851-9950-4CB3-850A-545936FF952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0" operator="lessThan" id="{14836977-EFDF-48E6-A28E-CD12692B0BF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G1331</xm:sqref>
        </x14:conditionalFormatting>
        <x14:conditionalFormatting xmlns:xm="http://schemas.microsoft.com/office/excel/2006/main">
          <x14:cfRule type="cellIs" priority="561" operator="greaterThanOrEqual" id="{3F6A5A65-DA3B-46A6-BD31-CAB5AD32AFE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2" operator="lessThan" id="{4D0A7B12-6B48-4B9E-884D-3F597539674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I1331</xm:sqref>
        </x14:conditionalFormatting>
        <x14:conditionalFormatting xmlns:xm="http://schemas.microsoft.com/office/excel/2006/main">
          <x14:cfRule type="cellIs" priority="563" operator="greaterThanOrEqual" id="{92D9FBEE-BB58-4F65-86A1-85680CC9D20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4" operator="lessThan" id="{359FDF85-12B4-424F-A12E-4E332BB66E3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K1331</xm:sqref>
        </x14:conditionalFormatting>
        <x14:conditionalFormatting xmlns:xm="http://schemas.microsoft.com/office/excel/2006/main">
          <x14:cfRule type="cellIs" priority="565" operator="greaterThanOrEqual" id="{4FFFEAA8-A789-497D-BE56-5787571C95F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6" operator="lessThan" id="{70FBC151-AD0A-40C6-BB0B-829D6E5F1D7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M1331</xm:sqref>
        </x14:conditionalFormatting>
        <x14:conditionalFormatting xmlns:xm="http://schemas.microsoft.com/office/excel/2006/main">
          <x14:cfRule type="cellIs" priority="551" operator="lessThan" id="{B6453055-E00B-4CBE-A22B-896852649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52" operator="greaterThanOrEqual" id="{0108FA2E-5194-46F3-B96A-8C6EE45A112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M1334</xm:sqref>
        </x14:conditionalFormatting>
        <x14:conditionalFormatting xmlns:xm="http://schemas.microsoft.com/office/excel/2006/main">
          <x14:cfRule type="cellIs" priority="548" operator="lessThan" id="{18143CE6-B0FD-4244-82D5-2E60E877F76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9" operator="greaterThanOrEqual" id="{6D24EE3B-D145-4DF0-A2DD-8B44B8D1704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M1337</xm:sqref>
        </x14:conditionalFormatting>
        <x14:conditionalFormatting xmlns:xm="http://schemas.microsoft.com/office/excel/2006/main">
          <x14:cfRule type="cellIs" priority="545" operator="lessThan" id="{9962EEAC-064D-4764-8347-AA002A6EB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6" operator="greaterThanOrEqual" id="{936D402C-2828-4E38-902F-73FD159B2F5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M1340</xm:sqref>
        </x14:conditionalFormatting>
        <x14:conditionalFormatting xmlns:xm="http://schemas.microsoft.com/office/excel/2006/main">
          <x14:cfRule type="cellIs" priority="542" operator="lessThan" id="{ED2FB2FA-1B29-4C4F-ABDB-F4AE84DF07B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3" operator="greaterThanOrEqual" id="{8A17B2F3-B261-4413-9771-A270D58ECF1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H1343</xm:sqref>
        </x14:conditionalFormatting>
        <x14:conditionalFormatting xmlns:xm="http://schemas.microsoft.com/office/excel/2006/main">
          <x14:cfRule type="cellIs" priority="528" operator="greaterThanOrEqual" id="{28EDA121-2FCB-4E04-B8F2-B9631E5982B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29" operator="lessThan" id="{70896E40-42F3-4879-B5F3-600387309A3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C1348</xm:sqref>
        </x14:conditionalFormatting>
        <x14:conditionalFormatting xmlns:xm="http://schemas.microsoft.com/office/excel/2006/main">
          <x14:cfRule type="cellIs" priority="530" operator="greaterThanOrEqual" id="{7123A43F-35AD-4BB9-B1E5-0B81A811F6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1" operator="lessThan" id="{C2850A5C-0BD2-4AB3-9CD2-449CE702BF3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E1348</xm:sqref>
        </x14:conditionalFormatting>
        <x14:conditionalFormatting xmlns:xm="http://schemas.microsoft.com/office/excel/2006/main">
          <x14:cfRule type="cellIs" priority="532" operator="greaterThanOrEqual" id="{8E4268E8-44B5-4E3E-A15D-36ADFBC6755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3" operator="lessThan" id="{DC2087C2-E9ED-4791-9F6E-36A461BBC76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G1348</xm:sqref>
        </x14:conditionalFormatting>
        <x14:conditionalFormatting xmlns:xm="http://schemas.microsoft.com/office/excel/2006/main">
          <x14:cfRule type="cellIs" priority="534" operator="greaterThanOrEqual" id="{28EB810B-8CF2-4E03-BC3A-40181FB5A2A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5" operator="lessThan" id="{2732BACD-72D8-4CED-BD1D-DE7EE6D3C2F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I1348</xm:sqref>
        </x14:conditionalFormatting>
        <x14:conditionalFormatting xmlns:xm="http://schemas.microsoft.com/office/excel/2006/main">
          <x14:cfRule type="cellIs" priority="536" operator="greaterThanOrEqual" id="{50D5364B-C912-4478-BBC5-49512BCA155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7" operator="lessThan" id="{07B67A2B-926F-4F0E-A63A-7A84AA3FBDE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K1348</xm:sqref>
        </x14:conditionalFormatting>
        <x14:conditionalFormatting xmlns:xm="http://schemas.microsoft.com/office/excel/2006/main">
          <x14:cfRule type="cellIs" priority="538" operator="greaterThanOrEqual" id="{A34691A6-A5D1-427B-8DD9-C4D0F57FBDF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9" operator="lessThan" id="{A6A220FF-69FC-44B7-83C0-470FEEF8A0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M1348</xm:sqref>
        </x14:conditionalFormatting>
        <x14:conditionalFormatting xmlns:xm="http://schemas.microsoft.com/office/excel/2006/main">
          <x14:cfRule type="cellIs" priority="524" operator="lessThan" id="{220D3F9D-AF12-40D0-AC5E-A13A72EE00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25" operator="greaterThanOrEqual" id="{308B7D39-9553-4797-BCB5-98DE6CA6D7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M1351</xm:sqref>
        </x14:conditionalFormatting>
        <x14:conditionalFormatting xmlns:xm="http://schemas.microsoft.com/office/excel/2006/main">
          <x14:cfRule type="cellIs" priority="521" operator="lessThan" id="{2311A778-7500-4A1B-97C9-5D975E6146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22" operator="greaterThanOrEqual" id="{A393DB96-53E4-4A47-B83C-52EB01B84D8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M1354</xm:sqref>
        </x14:conditionalFormatting>
        <x14:conditionalFormatting xmlns:xm="http://schemas.microsoft.com/office/excel/2006/main">
          <x14:cfRule type="cellIs" priority="518" operator="lessThan" id="{9BD7EE65-8075-4C92-A067-2DB1A78AF3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19" operator="greaterThanOrEqual" id="{F3BFAE26-E2F8-42E5-ADF6-6672DFBAA4F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M1357</xm:sqref>
        </x14:conditionalFormatting>
        <x14:conditionalFormatting xmlns:xm="http://schemas.microsoft.com/office/excel/2006/main">
          <x14:cfRule type="cellIs" priority="515" operator="lessThan" id="{BAC06374-DB00-4C1C-8166-DCA260B3C7B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16" operator="greaterThanOrEqual" id="{FD174159-3CE0-48CB-BF0E-534DD77E093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H1360</xm:sqref>
        </x14:conditionalFormatting>
        <x14:conditionalFormatting xmlns:xm="http://schemas.microsoft.com/office/excel/2006/main">
          <x14:cfRule type="cellIs" priority="501" operator="greaterThanOrEqual" id="{D47F93AE-AB94-4063-8FF2-F2202D6934C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2" operator="lessThan" id="{8C999F22-DC71-490F-906D-0262FF59076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C1365</xm:sqref>
        </x14:conditionalFormatting>
        <x14:conditionalFormatting xmlns:xm="http://schemas.microsoft.com/office/excel/2006/main">
          <x14:cfRule type="cellIs" priority="503" operator="greaterThanOrEqual" id="{4AE99698-494D-4F16-A44B-FD939E1AB05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4" operator="lessThan" id="{FEAE0428-AFF4-42B0-8682-AEA20E90720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E1365</xm:sqref>
        </x14:conditionalFormatting>
        <x14:conditionalFormatting xmlns:xm="http://schemas.microsoft.com/office/excel/2006/main">
          <x14:cfRule type="cellIs" priority="505" operator="greaterThanOrEqual" id="{0D12CD04-BE25-49CA-A208-BD8926D3AD0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6" operator="lessThan" id="{17A0483A-0BF2-4AA0-A4AB-C194AF12BD0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G1365</xm:sqref>
        </x14:conditionalFormatting>
        <x14:conditionalFormatting xmlns:xm="http://schemas.microsoft.com/office/excel/2006/main">
          <x14:cfRule type="cellIs" priority="507" operator="greaterThanOrEqual" id="{564BBA1C-1F4D-4326-B3AE-602CDCBC60E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8" operator="lessThan" id="{4F8A050C-7B6E-45DB-9697-9B3BA6448E1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I1365</xm:sqref>
        </x14:conditionalFormatting>
        <x14:conditionalFormatting xmlns:xm="http://schemas.microsoft.com/office/excel/2006/main">
          <x14:cfRule type="cellIs" priority="509" operator="greaterThanOrEqual" id="{430D6072-044F-4E0E-80ED-D3646511401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0" operator="lessThan" id="{F3A07307-8F2A-44BD-97B9-40BBA8FFAB8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K1365</xm:sqref>
        </x14:conditionalFormatting>
        <x14:conditionalFormatting xmlns:xm="http://schemas.microsoft.com/office/excel/2006/main">
          <x14:cfRule type="cellIs" priority="511" operator="greaterThanOrEqual" id="{D2B1D232-4CEF-405D-88B5-788AF65B1CB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2" operator="lessThan" id="{8D4E4F1B-8A4B-4EEC-9DCA-75B6F533DB9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M1365</xm:sqref>
        </x14:conditionalFormatting>
        <x14:conditionalFormatting xmlns:xm="http://schemas.microsoft.com/office/excel/2006/main">
          <x14:cfRule type="cellIs" priority="497" operator="lessThan" id="{C9CD693F-3DB2-4416-98F1-3215F6B42A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8" operator="greaterThanOrEqual" id="{37300D31-EDC4-41DA-A3ED-7DBB98020FE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M1368</xm:sqref>
        </x14:conditionalFormatting>
        <x14:conditionalFormatting xmlns:xm="http://schemas.microsoft.com/office/excel/2006/main">
          <x14:cfRule type="cellIs" priority="494" operator="lessThan" id="{047393A2-406A-43C5-9DC0-1A9EE135E5B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5" operator="greaterThanOrEqual" id="{5C4023CC-5D81-49AD-BC8B-C2A718116D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M1371</xm:sqref>
        </x14:conditionalFormatting>
        <x14:conditionalFormatting xmlns:xm="http://schemas.microsoft.com/office/excel/2006/main">
          <x14:cfRule type="cellIs" priority="491" operator="lessThan" id="{FF99A7EA-C3D8-40BD-82A7-0F442ED917D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2" operator="greaterThanOrEqual" id="{7A77C8C2-67A9-4614-BA59-D4513044651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M1374</xm:sqref>
        </x14:conditionalFormatting>
        <x14:conditionalFormatting xmlns:xm="http://schemas.microsoft.com/office/excel/2006/main">
          <x14:cfRule type="cellIs" priority="488" operator="lessThan" id="{033190D3-26E1-43C8-ABA4-5B6D7D74264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89" operator="greaterThanOrEqual" id="{8ED8576D-E1E9-4A58-8208-F6706EA4D93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H1377</xm:sqref>
        </x14:conditionalFormatting>
        <x14:conditionalFormatting xmlns:xm="http://schemas.microsoft.com/office/excel/2006/main">
          <x14:cfRule type="cellIs" priority="474" operator="greaterThanOrEqual" id="{FD1E3BBE-5823-4AC9-8EC5-365DE1E2324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5" operator="lessThan" id="{EFEE0CD1-1993-4859-B16A-ABD3145ABB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C1382</xm:sqref>
        </x14:conditionalFormatting>
        <x14:conditionalFormatting xmlns:xm="http://schemas.microsoft.com/office/excel/2006/main">
          <x14:cfRule type="cellIs" priority="476" operator="greaterThanOrEqual" id="{84C78818-A4F0-4269-AEBB-9F467FCA55A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7" operator="lessThan" id="{C5CF95A5-B8CB-4E2C-B476-FC2F3996AC3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E1382</xm:sqref>
        </x14:conditionalFormatting>
        <x14:conditionalFormatting xmlns:xm="http://schemas.microsoft.com/office/excel/2006/main">
          <x14:cfRule type="cellIs" priority="478" operator="greaterThanOrEqual" id="{A92750E6-ABA9-4A0A-9487-D9C8E7F99C5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9" operator="lessThan" id="{1C135641-B2C7-4A92-8A2C-C412F5063C3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G1382</xm:sqref>
        </x14:conditionalFormatting>
        <x14:conditionalFormatting xmlns:xm="http://schemas.microsoft.com/office/excel/2006/main">
          <x14:cfRule type="cellIs" priority="480" operator="greaterThanOrEqual" id="{3CA82609-AB68-42C2-A261-2B311A0439D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1" operator="lessThan" id="{D14FF916-E36F-4161-9206-91A39421403B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I1382</xm:sqref>
        </x14:conditionalFormatting>
        <x14:conditionalFormatting xmlns:xm="http://schemas.microsoft.com/office/excel/2006/main">
          <x14:cfRule type="cellIs" priority="482" operator="greaterThanOrEqual" id="{4AC1CE0F-D43B-4A8F-8E29-BEACE2F90AD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3" operator="lessThan" id="{2E8517A0-2FFA-4244-9C27-8A9409379D6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K1382</xm:sqref>
        </x14:conditionalFormatting>
        <x14:conditionalFormatting xmlns:xm="http://schemas.microsoft.com/office/excel/2006/main">
          <x14:cfRule type="cellIs" priority="484" operator="greaterThanOrEqual" id="{F1B05BF9-D892-428B-A1F7-658D0A4AA1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5" operator="lessThan" id="{22FBF46F-D0CB-43B5-9540-1D005F9357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M1382</xm:sqref>
        </x14:conditionalFormatting>
        <x14:conditionalFormatting xmlns:xm="http://schemas.microsoft.com/office/excel/2006/main">
          <x14:cfRule type="cellIs" priority="470" operator="lessThan" id="{E3AA6A95-1C7B-441F-AAE7-54002A716CD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71" operator="greaterThanOrEqual" id="{78AE9F0B-ADC7-486D-9DF2-818DB38EC83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M1385</xm:sqref>
        </x14:conditionalFormatting>
        <x14:conditionalFormatting xmlns:xm="http://schemas.microsoft.com/office/excel/2006/main">
          <x14:cfRule type="cellIs" priority="467" operator="lessThan" id="{8A1265C9-DA06-4304-8B3D-D4CFB82418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8" operator="greaterThanOrEqual" id="{4EA8260B-AC78-4CFA-B6BE-0C56BE56E92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M1388</xm:sqref>
        </x14:conditionalFormatting>
        <x14:conditionalFormatting xmlns:xm="http://schemas.microsoft.com/office/excel/2006/main">
          <x14:cfRule type="cellIs" priority="464" operator="lessThan" id="{AB634525-A57E-4F0C-A84E-912FA1054D8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5" operator="greaterThanOrEqual" id="{CD11485C-DAEC-46B5-BE38-A496F07EE67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M1391</xm:sqref>
        </x14:conditionalFormatting>
        <x14:conditionalFormatting xmlns:xm="http://schemas.microsoft.com/office/excel/2006/main">
          <x14:cfRule type="cellIs" priority="461" operator="lessThan" id="{5E237B80-7EAB-4A7E-A873-CDCD04E78AD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2" operator="greaterThanOrEqual" id="{941D3177-5E6B-4DB1-B971-D164E577E658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H1394</xm:sqref>
        </x14:conditionalFormatting>
        <x14:conditionalFormatting xmlns:xm="http://schemas.microsoft.com/office/excel/2006/main">
          <x14:cfRule type="cellIs" priority="447" operator="greaterThanOrEqual" id="{913490C1-662D-4AB8-8CA0-0DDD1F15C72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48" operator="lessThan" id="{2CA7F22E-2FA2-44A6-8135-4A874D2864B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C1399</xm:sqref>
        </x14:conditionalFormatting>
        <x14:conditionalFormatting xmlns:xm="http://schemas.microsoft.com/office/excel/2006/main">
          <x14:cfRule type="cellIs" priority="449" operator="greaterThanOrEqual" id="{C4B238D8-6682-4AC4-8D5D-FEC820DDBC8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0" operator="lessThan" id="{C33D67B1-9477-4D2D-AD5F-86878491E85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E1399</xm:sqref>
        </x14:conditionalFormatting>
        <x14:conditionalFormatting xmlns:xm="http://schemas.microsoft.com/office/excel/2006/main">
          <x14:cfRule type="cellIs" priority="451" operator="greaterThanOrEqual" id="{B7C79753-0935-40BF-982D-09EF07D48EF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2" operator="lessThan" id="{44D7D6C2-66DF-4345-BF22-D091AC97818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G1399</xm:sqref>
        </x14:conditionalFormatting>
        <x14:conditionalFormatting xmlns:xm="http://schemas.microsoft.com/office/excel/2006/main">
          <x14:cfRule type="cellIs" priority="453" operator="greaterThanOrEqual" id="{90E61CF5-31D3-482B-8E9D-BA776F1070D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4" operator="lessThan" id="{A24C25E4-9FC4-45A2-B617-2D0BBD2F351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I1399</xm:sqref>
        </x14:conditionalFormatting>
        <x14:conditionalFormatting xmlns:xm="http://schemas.microsoft.com/office/excel/2006/main">
          <x14:cfRule type="cellIs" priority="455" operator="greaterThanOrEqual" id="{93B47A8F-F7C1-4CA9-BAE9-D5D1C1534D6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6" operator="lessThan" id="{A8A3D692-7479-45ED-83B1-6324E70F1D5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K1399</xm:sqref>
        </x14:conditionalFormatting>
        <x14:conditionalFormatting xmlns:xm="http://schemas.microsoft.com/office/excel/2006/main">
          <x14:cfRule type="cellIs" priority="457" operator="greaterThanOrEqual" id="{922317A0-78C6-4E97-AD29-FBB42441A3C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8" operator="lessThan" id="{05B73AE2-01F1-47CB-9DF8-E7554CC4CD2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M1399</xm:sqref>
        </x14:conditionalFormatting>
        <x14:conditionalFormatting xmlns:xm="http://schemas.microsoft.com/office/excel/2006/main">
          <x14:cfRule type="cellIs" priority="443" operator="lessThan" id="{EA47A9B1-9638-4895-9AFD-127AD96AF52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44" operator="greaterThanOrEqual" id="{527EE42E-F134-42CD-B769-8AEFBF2D115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M1402</xm:sqref>
        </x14:conditionalFormatting>
        <x14:conditionalFormatting xmlns:xm="http://schemas.microsoft.com/office/excel/2006/main">
          <x14:cfRule type="cellIs" priority="440" operator="lessThan" id="{955F83AA-2EAE-4007-8D16-E4CBADB1065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41" operator="greaterThanOrEqual" id="{AE4A487D-B121-421F-905E-010D043A836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M1405</xm:sqref>
        </x14:conditionalFormatting>
        <x14:conditionalFormatting xmlns:xm="http://schemas.microsoft.com/office/excel/2006/main">
          <x14:cfRule type="cellIs" priority="437" operator="lessThan" id="{30B42763-FEFA-450E-9A9E-E210C904E72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38" operator="greaterThanOrEqual" id="{6D201353-DACE-4D4E-8142-5BD228B6613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M1408</xm:sqref>
        </x14:conditionalFormatting>
        <x14:conditionalFormatting xmlns:xm="http://schemas.microsoft.com/office/excel/2006/main">
          <x14:cfRule type="cellIs" priority="434" operator="lessThan" id="{874C2756-3297-4D59-BC68-E19A09ED971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35" operator="greaterThanOrEqual" id="{52A4A186-4D19-4B2A-8C2A-CED38DB0999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H1411</xm:sqref>
        </x14:conditionalFormatting>
        <x14:conditionalFormatting xmlns:xm="http://schemas.microsoft.com/office/excel/2006/main">
          <x14:cfRule type="cellIs" priority="420" operator="greaterThanOrEqual" id="{60CDC1AC-F0FD-48DB-8B66-29F5870102C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1" operator="lessThan" id="{99E370C9-CEA4-4235-BD07-C692715FAD7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C1416</xm:sqref>
        </x14:conditionalFormatting>
        <x14:conditionalFormatting xmlns:xm="http://schemas.microsoft.com/office/excel/2006/main">
          <x14:cfRule type="cellIs" priority="422" operator="greaterThanOrEqual" id="{5F391457-B540-4C3C-9543-73F316798A6C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3" operator="lessThan" id="{177CA3F6-83D9-4716-B528-97E90D4E477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E1416</xm:sqref>
        </x14:conditionalFormatting>
        <x14:conditionalFormatting xmlns:xm="http://schemas.microsoft.com/office/excel/2006/main">
          <x14:cfRule type="cellIs" priority="424" operator="greaterThanOrEqual" id="{7B18E0FE-CD3D-43B4-8554-F5FB847E847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5" operator="lessThan" id="{E9DB5FF9-2A95-4817-8E3D-DEF9CA19C5D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G1416</xm:sqref>
        </x14:conditionalFormatting>
        <x14:conditionalFormatting xmlns:xm="http://schemas.microsoft.com/office/excel/2006/main">
          <x14:cfRule type="cellIs" priority="426" operator="greaterThanOrEqual" id="{932232E9-6EB9-461D-8827-CDA2270EBBD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7" operator="lessThan" id="{F20DF234-0653-46EE-B109-027362FC775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I1416</xm:sqref>
        </x14:conditionalFormatting>
        <x14:conditionalFormatting xmlns:xm="http://schemas.microsoft.com/office/excel/2006/main">
          <x14:cfRule type="cellIs" priority="428" operator="greaterThanOrEqual" id="{8EE92A16-2D6F-45B6-A081-352856E4B71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9" operator="lessThan" id="{45670252-9B06-42FE-A684-CFAAA63A04A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K1416</xm:sqref>
        </x14:conditionalFormatting>
        <x14:conditionalFormatting xmlns:xm="http://schemas.microsoft.com/office/excel/2006/main">
          <x14:cfRule type="cellIs" priority="430" operator="greaterThanOrEqual" id="{6F578EBD-B5D4-4F50-9838-879790F49F6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31" operator="lessThan" id="{7DC87302-DDCD-4CA8-85E3-5C37E6E3976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M1416</xm:sqref>
        </x14:conditionalFormatting>
        <x14:conditionalFormatting xmlns:xm="http://schemas.microsoft.com/office/excel/2006/main">
          <x14:cfRule type="cellIs" priority="416" operator="lessThan" id="{9F59222F-D3F2-4A11-9076-2897C2C6153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7" operator="greaterThanOrEqual" id="{65428A44-5F1E-41EB-BD2A-03FEE88C7C4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M1419</xm:sqref>
        </x14:conditionalFormatting>
        <x14:conditionalFormatting xmlns:xm="http://schemas.microsoft.com/office/excel/2006/main">
          <x14:cfRule type="cellIs" priority="413" operator="lessThan" id="{297376DA-85D8-4AC3-A491-854220A1C61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4" operator="greaterThanOrEqual" id="{DE7AE301-75F3-41DD-BFA0-7F8318C0226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M1422</xm:sqref>
        </x14:conditionalFormatting>
        <x14:conditionalFormatting xmlns:xm="http://schemas.microsoft.com/office/excel/2006/main">
          <x14:cfRule type="cellIs" priority="410" operator="lessThan" id="{6334A391-395E-4CB5-AA2C-2B56AECBC25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1" operator="greaterThanOrEqual" id="{23FFE91D-4297-4AF3-A7C2-E8F3EDFAAB8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M1425</xm:sqref>
        </x14:conditionalFormatting>
        <x14:conditionalFormatting xmlns:xm="http://schemas.microsoft.com/office/excel/2006/main">
          <x14:cfRule type="cellIs" priority="407" operator="lessThan" id="{6FFCA212-4A07-4F89-89DD-E9924CECE34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08" operator="greaterThanOrEqual" id="{5F12A495-4363-43A1-A2BB-0C2B5F06D86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H1428</xm:sqref>
        </x14:conditionalFormatting>
        <x14:conditionalFormatting xmlns:xm="http://schemas.microsoft.com/office/excel/2006/main">
          <x14:cfRule type="cellIs" priority="393" operator="greaterThanOrEqual" id="{CB30E55D-B439-4823-80CB-D4ABFA7681D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4" operator="lessThan" id="{71C72F2B-DAEF-4C45-98E7-CCD9503ABCE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C1433</xm:sqref>
        </x14:conditionalFormatting>
        <x14:conditionalFormatting xmlns:xm="http://schemas.microsoft.com/office/excel/2006/main">
          <x14:cfRule type="cellIs" priority="395" operator="greaterThanOrEqual" id="{65268E75-2233-4875-87EA-8485C7A166D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6" operator="lessThan" id="{30F537D1-4BBA-41B4-B837-2BFCA9FACF4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E1433</xm:sqref>
        </x14:conditionalFormatting>
        <x14:conditionalFormatting xmlns:xm="http://schemas.microsoft.com/office/excel/2006/main">
          <x14:cfRule type="cellIs" priority="397" operator="greaterThanOrEqual" id="{0308452B-BEA0-40D1-ADAC-A413E88994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8" operator="lessThan" id="{64643C18-D9F0-42E5-A0AE-0ACBCC10B82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G1433</xm:sqref>
        </x14:conditionalFormatting>
        <x14:conditionalFormatting xmlns:xm="http://schemas.microsoft.com/office/excel/2006/main">
          <x14:cfRule type="cellIs" priority="399" operator="greaterThanOrEqual" id="{D6778956-5A40-49B0-B7C3-84E3DF1398F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0" operator="lessThan" id="{B25AF652-A19A-4C5A-9E5E-DA3D7271FD2B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I1433</xm:sqref>
        </x14:conditionalFormatting>
        <x14:conditionalFormatting xmlns:xm="http://schemas.microsoft.com/office/excel/2006/main">
          <x14:cfRule type="cellIs" priority="401" operator="greaterThanOrEqual" id="{1E047AB7-9AF1-4824-9C2C-9F4E49B78AC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2" operator="lessThan" id="{D879B8CD-3319-4BFC-B3F6-AFCD15FA584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K1433</xm:sqref>
        </x14:conditionalFormatting>
        <x14:conditionalFormatting xmlns:xm="http://schemas.microsoft.com/office/excel/2006/main">
          <x14:cfRule type="cellIs" priority="403" operator="greaterThanOrEqual" id="{F05A7674-7918-4992-93B8-3E63476C6E2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4" operator="lessThan" id="{F4550C2D-3E70-4A8A-9C41-88987AA5840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M1433</xm:sqref>
        </x14:conditionalFormatting>
        <x14:conditionalFormatting xmlns:xm="http://schemas.microsoft.com/office/excel/2006/main">
          <x14:cfRule type="cellIs" priority="389" operator="lessThan" id="{6501AC20-0AF2-4E2A-9C6D-42042921C91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90" operator="greaterThanOrEqual" id="{4941BEED-C56C-417B-8C27-0782FC6F5E8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M1436</xm:sqref>
        </x14:conditionalFormatting>
        <x14:conditionalFormatting xmlns:xm="http://schemas.microsoft.com/office/excel/2006/main">
          <x14:cfRule type="cellIs" priority="386" operator="lessThan" id="{D9341642-CB3C-4459-9D06-B193AC9396D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7" operator="greaterThanOrEqual" id="{9AD72B00-76AA-456F-AF2B-7570ECE1D7F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M1439</xm:sqref>
        </x14:conditionalFormatting>
        <x14:conditionalFormatting xmlns:xm="http://schemas.microsoft.com/office/excel/2006/main">
          <x14:cfRule type="cellIs" priority="383" operator="lessThan" id="{AC0E6A82-8D6E-41A1-8F51-39227B10B83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4" operator="greaterThanOrEqual" id="{96005D11-BE7A-4921-B70A-30130B731C2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M1442</xm:sqref>
        </x14:conditionalFormatting>
        <x14:conditionalFormatting xmlns:xm="http://schemas.microsoft.com/office/excel/2006/main">
          <x14:cfRule type="cellIs" priority="380" operator="lessThan" id="{61179DFD-38F9-476E-919A-E977A43557C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1" operator="greaterThanOrEqual" id="{8D1781B7-461D-4163-95BE-F055B1B431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H1445</xm:sqref>
        </x14:conditionalFormatting>
        <x14:conditionalFormatting xmlns:xm="http://schemas.microsoft.com/office/excel/2006/main">
          <x14:cfRule type="cellIs" priority="366" operator="greaterThanOrEqual" id="{494BFB3A-8F03-4995-820F-DC973B9960D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67" operator="lessThan" id="{3999FF08-3533-40DB-9211-05E35479050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C1450</xm:sqref>
        </x14:conditionalFormatting>
        <x14:conditionalFormatting xmlns:xm="http://schemas.microsoft.com/office/excel/2006/main">
          <x14:cfRule type="cellIs" priority="368" operator="greaterThanOrEqual" id="{3F313BF8-7409-4D52-B7D5-07195594F16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69" operator="lessThan" id="{4ED197E4-6C32-4369-9C55-05E427F6269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E1450</xm:sqref>
        </x14:conditionalFormatting>
        <x14:conditionalFormatting xmlns:xm="http://schemas.microsoft.com/office/excel/2006/main">
          <x14:cfRule type="cellIs" priority="370" operator="greaterThanOrEqual" id="{E2EF416E-3B14-4BD1-A0CE-91BF134C012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1" operator="lessThan" id="{6E2D2278-3974-4994-932B-6413BC89A21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G1450</xm:sqref>
        </x14:conditionalFormatting>
        <x14:conditionalFormatting xmlns:xm="http://schemas.microsoft.com/office/excel/2006/main">
          <x14:cfRule type="cellIs" priority="372" operator="greaterThanOrEqual" id="{8C429106-2D7A-4915-9A9A-8E62065EBC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3" operator="lessThan" id="{62FD9DCD-B1D3-4B7B-9601-7325B50706F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I1450</xm:sqref>
        </x14:conditionalFormatting>
        <x14:conditionalFormatting xmlns:xm="http://schemas.microsoft.com/office/excel/2006/main">
          <x14:cfRule type="cellIs" priority="374" operator="greaterThanOrEqual" id="{EE8E79FA-A214-4711-BFCB-C72371ED6BA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5" operator="lessThan" id="{8D4D09B0-4CC6-41F3-8ABF-2EB7B5CCB71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K1450</xm:sqref>
        </x14:conditionalFormatting>
        <x14:conditionalFormatting xmlns:xm="http://schemas.microsoft.com/office/excel/2006/main">
          <x14:cfRule type="cellIs" priority="376" operator="greaterThanOrEqual" id="{ED172775-7055-4921-ABE3-52E333CBF7F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7" operator="lessThan" id="{08AF6D4D-C2DB-4653-B20A-3BF20A3BF6F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M1450</xm:sqref>
        </x14:conditionalFormatting>
        <x14:conditionalFormatting xmlns:xm="http://schemas.microsoft.com/office/excel/2006/main">
          <x14:cfRule type="cellIs" priority="362" operator="lessThan" id="{3276D8B4-2A8A-4724-B28E-9A1A6A5A5DE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3" operator="greaterThanOrEqual" id="{A8D4EFF5-57A6-4D42-9751-E48DF5D7FE2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M1453</xm:sqref>
        </x14:conditionalFormatting>
        <x14:conditionalFormatting xmlns:xm="http://schemas.microsoft.com/office/excel/2006/main">
          <x14:cfRule type="cellIs" priority="359" operator="lessThan" id="{ADE16CD8-4717-447F-945A-4787FED5E1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0" operator="greaterThanOrEqual" id="{4793960F-A14D-48C7-99D7-86C46B89637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M1456</xm:sqref>
        </x14:conditionalFormatting>
        <x14:conditionalFormatting xmlns:xm="http://schemas.microsoft.com/office/excel/2006/main">
          <x14:cfRule type="cellIs" priority="356" operator="lessThan" id="{B4789759-B127-4579-ABE9-C201F12600B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57" operator="greaterThanOrEqual" id="{98B6A172-B986-4455-92D7-82DA4B2F486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M1459</xm:sqref>
        </x14:conditionalFormatting>
        <x14:conditionalFormatting xmlns:xm="http://schemas.microsoft.com/office/excel/2006/main">
          <x14:cfRule type="cellIs" priority="353" operator="lessThan" id="{216EB72A-A6FF-4B54-875F-DEADC433260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54" operator="greaterThanOrEqual" id="{77B5C7F5-5583-4417-8B19-DAF1468DA0E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H1462</xm:sqref>
        </x14:conditionalFormatting>
        <x14:conditionalFormatting xmlns:xm="http://schemas.microsoft.com/office/excel/2006/main">
          <x14:cfRule type="cellIs" priority="339" operator="greaterThanOrEqual" id="{913F6192-0AAA-46EE-9613-65266FD4D46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0" operator="lessThan" id="{AF595393-2B27-4CA6-9E8B-DE87DDADFA0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C1467</xm:sqref>
        </x14:conditionalFormatting>
        <x14:conditionalFormatting xmlns:xm="http://schemas.microsoft.com/office/excel/2006/main">
          <x14:cfRule type="cellIs" priority="341" operator="greaterThanOrEqual" id="{EB71DB1C-4AD2-42E5-A4B0-0486FB92B2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2" operator="lessThan" id="{33E26D24-DAA3-4437-83A6-242D3E27ACD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E1467</xm:sqref>
        </x14:conditionalFormatting>
        <x14:conditionalFormatting xmlns:xm="http://schemas.microsoft.com/office/excel/2006/main">
          <x14:cfRule type="cellIs" priority="343" operator="greaterThanOrEqual" id="{79410FB6-F809-4414-B5E4-81F7D077D45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4" operator="lessThan" id="{C765E424-9E43-46C4-85D4-3C98BFBAF7E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G1467</xm:sqref>
        </x14:conditionalFormatting>
        <x14:conditionalFormatting xmlns:xm="http://schemas.microsoft.com/office/excel/2006/main">
          <x14:cfRule type="cellIs" priority="345" operator="greaterThanOrEqual" id="{9873DA5C-C370-4369-B616-4D08023DA6B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6" operator="lessThan" id="{D3A655DB-9EE9-44F4-A648-AC53FD0B466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I1467</xm:sqref>
        </x14:conditionalFormatting>
        <x14:conditionalFormatting xmlns:xm="http://schemas.microsoft.com/office/excel/2006/main">
          <x14:cfRule type="cellIs" priority="347" operator="greaterThanOrEqual" id="{A1F6961C-3EA2-4DB8-9CCB-CAB21EC0B2D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8" operator="lessThan" id="{A76C0942-8447-45AF-BAAB-7CCC638D08A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K1467</xm:sqref>
        </x14:conditionalFormatting>
        <x14:conditionalFormatting xmlns:xm="http://schemas.microsoft.com/office/excel/2006/main">
          <x14:cfRule type="cellIs" priority="349" operator="greaterThanOrEqual" id="{AC160B61-3FEB-4C1B-B265-3EAE8F27E7A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50" operator="lessThan" id="{D0753E12-E28D-409D-9DDD-05B570533AF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M1467</xm:sqref>
        </x14:conditionalFormatting>
        <x14:conditionalFormatting xmlns:xm="http://schemas.microsoft.com/office/excel/2006/main">
          <x14:cfRule type="cellIs" priority="335" operator="lessThan" id="{DCD711A1-79A5-4AC4-A7E6-7E7C377D91B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6" operator="greaterThanOrEqual" id="{8E722183-77B5-4977-B602-DE5DFF44AC9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M1470</xm:sqref>
        </x14:conditionalFormatting>
        <x14:conditionalFormatting xmlns:xm="http://schemas.microsoft.com/office/excel/2006/main">
          <x14:cfRule type="cellIs" priority="332" operator="lessThan" id="{2B48497C-05A5-46E8-9E62-41725E9F835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3" operator="greaterThanOrEqual" id="{A58850E2-B804-45B6-9BD0-D79756DA98E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M1473</xm:sqref>
        </x14:conditionalFormatting>
        <x14:conditionalFormatting xmlns:xm="http://schemas.microsoft.com/office/excel/2006/main">
          <x14:cfRule type="cellIs" priority="329" operator="lessThan" id="{3C8FC31D-5D28-4374-93F9-E40C5C195A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0" operator="greaterThanOrEqual" id="{10B02906-4A85-43F2-B92D-16E0D3BDC0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M1476</xm:sqref>
        </x14:conditionalFormatting>
        <x14:conditionalFormatting xmlns:xm="http://schemas.microsoft.com/office/excel/2006/main">
          <x14:cfRule type="cellIs" priority="326" operator="lessThan" id="{5BBD7E92-35F4-4BE4-912E-BE9EF9B24FF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27" operator="greaterThanOrEqual" id="{CC1E295F-A7FB-43EA-B3CC-8046A92B70C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H1479</xm:sqref>
        </x14:conditionalFormatting>
        <x14:conditionalFormatting xmlns:xm="http://schemas.microsoft.com/office/excel/2006/main">
          <x14:cfRule type="cellIs" priority="312" operator="greaterThanOrEqual" id="{80671421-90F1-4FD4-A6E7-FBD7891C81D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3" operator="lessThan" id="{309A53B6-6E3D-4BDA-B479-739306B58F7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C1484</xm:sqref>
        </x14:conditionalFormatting>
        <x14:conditionalFormatting xmlns:xm="http://schemas.microsoft.com/office/excel/2006/main">
          <x14:cfRule type="cellIs" priority="314" operator="greaterThanOrEqual" id="{186F15E5-5D38-4869-B698-B794562B2A9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5" operator="lessThan" id="{909898CB-AE44-4E5E-9539-926F4E9A3B2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E1484</xm:sqref>
        </x14:conditionalFormatting>
        <x14:conditionalFormatting xmlns:xm="http://schemas.microsoft.com/office/excel/2006/main">
          <x14:cfRule type="cellIs" priority="316" operator="greaterThanOrEqual" id="{7B16AC3D-D3E7-4873-B978-BF47C45CBBD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7" operator="lessThan" id="{E5D5FCB3-9C3D-4426-8A9C-9FD0408CC94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G1484</xm:sqref>
        </x14:conditionalFormatting>
        <x14:conditionalFormatting xmlns:xm="http://schemas.microsoft.com/office/excel/2006/main">
          <x14:cfRule type="cellIs" priority="318" operator="greaterThanOrEqual" id="{1F79510E-1246-422C-A516-8C0F9470139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9" operator="lessThan" id="{5E76CD7B-1BC9-4EB0-8CEF-5796F67FB26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I1484</xm:sqref>
        </x14:conditionalFormatting>
        <x14:conditionalFormatting xmlns:xm="http://schemas.microsoft.com/office/excel/2006/main">
          <x14:cfRule type="cellIs" priority="320" operator="greaterThanOrEqual" id="{F8834DDD-596B-4822-8E44-A9692908D8D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21" operator="lessThan" id="{B355B6A3-9DF0-4B55-A692-21D07A2E7E2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K1484</xm:sqref>
        </x14:conditionalFormatting>
        <x14:conditionalFormatting xmlns:xm="http://schemas.microsoft.com/office/excel/2006/main">
          <x14:cfRule type="cellIs" priority="322" operator="greaterThanOrEqual" id="{29656E74-B4D6-4760-A6CE-AA1E4161F69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23" operator="lessThan" id="{BEE9F074-801C-4523-AB61-13E1487EDF5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M1484</xm:sqref>
        </x14:conditionalFormatting>
        <x14:conditionalFormatting xmlns:xm="http://schemas.microsoft.com/office/excel/2006/main">
          <x14:cfRule type="cellIs" priority="308" operator="lessThan" id="{AA12156D-3846-45AD-9886-A9E7635CAA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9" operator="greaterThanOrEqual" id="{540F1D66-86C0-47EF-BC9E-4A27E2A6CA1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M1487</xm:sqref>
        </x14:conditionalFormatting>
        <x14:conditionalFormatting xmlns:xm="http://schemas.microsoft.com/office/excel/2006/main">
          <x14:cfRule type="cellIs" priority="305" operator="lessThan" id="{C28FDFFD-BB33-4372-91B5-1358B0D37DE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6" operator="greaterThanOrEqual" id="{4129446A-044D-4353-99A9-C660B0E52CE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M1490</xm:sqref>
        </x14:conditionalFormatting>
        <x14:conditionalFormatting xmlns:xm="http://schemas.microsoft.com/office/excel/2006/main">
          <x14:cfRule type="cellIs" priority="302" operator="lessThan" id="{A0DC76DC-A155-4632-8069-916C111BCB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3" operator="greaterThanOrEqual" id="{3FF776D8-1CAF-4327-8F7D-AA26A65926D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M1493</xm:sqref>
        </x14:conditionalFormatting>
        <x14:conditionalFormatting xmlns:xm="http://schemas.microsoft.com/office/excel/2006/main">
          <x14:cfRule type="cellIs" priority="299" operator="lessThan" id="{8019946C-DCFE-423A-9720-4157B5DFE18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0" operator="greaterThanOrEqual" id="{13CAFEF7-4A61-4E4E-8E3A-F736A9459E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H1496</xm:sqref>
        </x14:conditionalFormatting>
        <x14:conditionalFormatting xmlns:xm="http://schemas.microsoft.com/office/excel/2006/main">
          <x14:cfRule type="cellIs" priority="285" operator="greaterThanOrEqual" id="{5F721CC4-A503-4BA2-95B6-92F4AAE8100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86" operator="lessThan" id="{6D189477-D482-49D9-AA26-91256803212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C1501</xm:sqref>
        </x14:conditionalFormatting>
        <x14:conditionalFormatting xmlns:xm="http://schemas.microsoft.com/office/excel/2006/main">
          <x14:cfRule type="cellIs" priority="287" operator="greaterThanOrEqual" id="{4D8EE257-6175-4E7A-AED2-D25E082BDF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88" operator="lessThan" id="{8C74155E-6BF7-4940-90C6-6B7781F4129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E1501</xm:sqref>
        </x14:conditionalFormatting>
        <x14:conditionalFormatting xmlns:xm="http://schemas.microsoft.com/office/excel/2006/main">
          <x14:cfRule type="cellIs" priority="289" operator="greaterThanOrEqual" id="{33FCA206-4FDD-48AE-988B-96B87112A5A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0" operator="lessThan" id="{39A67939-7F91-4B70-BEB5-E4772FA6D9C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G1501</xm:sqref>
        </x14:conditionalFormatting>
        <x14:conditionalFormatting xmlns:xm="http://schemas.microsoft.com/office/excel/2006/main">
          <x14:cfRule type="cellIs" priority="291" operator="greaterThanOrEqual" id="{DDF0C498-4692-47E9-8ED4-DDDF27500D0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2" operator="lessThan" id="{CC7D2A0C-B558-4D14-B091-757204C3E0A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I1501</xm:sqref>
        </x14:conditionalFormatting>
        <x14:conditionalFormatting xmlns:xm="http://schemas.microsoft.com/office/excel/2006/main">
          <x14:cfRule type="cellIs" priority="293" operator="greaterThanOrEqual" id="{44D00FC2-8B7A-4E51-AAAD-1046147F5CE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4" operator="lessThan" id="{E9A79E67-AFCA-4CEB-AB8D-D7EB7256F23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K1501</xm:sqref>
        </x14:conditionalFormatting>
        <x14:conditionalFormatting xmlns:xm="http://schemas.microsoft.com/office/excel/2006/main">
          <x14:cfRule type="cellIs" priority="295" operator="greaterThanOrEqual" id="{2BB11507-61D1-4C74-AAA5-1203AE8BC6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6" operator="lessThan" id="{9B5ABDAB-BFD1-4290-9535-F64F2DA0431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M1501</xm:sqref>
        </x14:conditionalFormatting>
        <x14:conditionalFormatting xmlns:xm="http://schemas.microsoft.com/office/excel/2006/main">
          <x14:cfRule type="cellIs" priority="281" operator="lessThan" id="{8C0FD25B-8571-4BB3-9B04-EE5D666A5F1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82" operator="greaterThanOrEqual" id="{DED3C070-46ED-4FF6-8E6E-9AF4FE70566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M1504</xm:sqref>
        </x14:conditionalFormatting>
        <x14:conditionalFormatting xmlns:xm="http://schemas.microsoft.com/office/excel/2006/main">
          <x14:cfRule type="cellIs" priority="278" operator="lessThan" id="{BDE2A3D8-CE21-480F-9756-C76013BDC67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9" operator="greaterThanOrEqual" id="{F0B9840B-6B8A-4016-A8C8-CFF05543920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M1507</xm:sqref>
        </x14:conditionalFormatting>
        <x14:conditionalFormatting xmlns:xm="http://schemas.microsoft.com/office/excel/2006/main">
          <x14:cfRule type="cellIs" priority="275" operator="lessThan" id="{9155020C-B03B-4A6E-814D-E12A875D4A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6" operator="greaterThanOrEqual" id="{804121D9-232F-4CE2-848A-86516DA6981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M1510</xm:sqref>
        </x14:conditionalFormatting>
        <x14:conditionalFormatting xmlns:xm="http://schemas.microsoft.com/office/excel/2006/main">
          <x14:cfRule type="cellIs" priority="272" operator="lessThan" id="{D2A7654B-2679-47E6-AB23-980FFF2FD9D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3" operator="greaterThanOrEqual" id="{0146B500-4DFF-4CE5-A767-FD8F6DBCA89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H1513</xm:sqref>
        </x14:conditionalFormatting>
        <x14:conditionalFormatting xmlns:xm="http://schemas.microsoft.com/office/excel/2006/main">
          <x14:cfRule type="cellIs" priority="258" operator="greaterThanOrEqual" id="{C60791D7-EC74-4498-8329-61E50A4B3DC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9" operator="lessThan" id="{6B5ABF6C-0639-4F3A-82FD-C4D52C9BAF9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C1518</xm:sqref>
        </x14:conditionalFormatting>
        <x14:conditionalFormatting xmlns:xm="http://schemas.microsoft.com/office/excel/2006/main">
          <x14:cfRule type="cellIs" priority="260" operator="greaterThanOrEqual" id="{8447327F-86F1-437B-B076-6F16D2BB4FF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" operator="lessThan" id="{646EB382-CB20-4E5E-9800-7BC7D3E74BA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E1518</xm:sqref>
        </x14:conditionalFormatting>
        <x14:conditionalFormatting xmlns:xm="http://schemas.microsoft.com/office/excel/2006/main">
          <x14:cfRule type="cellIs" priority="262" operator="greaterThanOrEqual" id="{85BE2B1E-7EAB-4D23-ADC0-8B4B6639857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" operator="lessThan" id="{201925B9-C448-4947-B27C-0F2E9D2C551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G1518</xm:sqref>
        </x14:conditionalFormatting>
        <x14:conditionalFormatting xmlns:xm="http://schemas.microsoft.com/office/excel/2006/main">
          <x14:cfRule type="cellIs" priority="264" operator="greaterThanOrEqual" id="{FBDB6741-8BCB-4269-BC81-A94D8E9C9F5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5" operator="lessThan" id="{A852EAB7-2155-4600-874C-9E4D609E4B8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I1518</xm:sqref>
        </x14:conditionalFormatting>
        <x14:conditionalFormatting xmlns:xm="http://schemas.microsoft.com/office/excel/2006/main">
          <x14:cfRule type="cellIs" priority="266" operator="greaterThanOrEqual" id="{2C4FAE06-A09A-420A-A528-4728E57477E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7" operator="lessThan" id="{35DB8B71-3C3D-48ED-9805-1B181DA3E5B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K1518</xm:sqref>
        </x14:conditionalFormatting>
        <x14:conditionalFormatting xmlns:xm="http://schemas.microsoft.com/office/excel/2006/main">
          <x14:cfRule type="cellIs" priority="268" operator="greaterThanOrEqual" id="{3EEDB697-2A68-44E4-B8F7-6D85CB114C6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" operator="lessThan" id="{F73DEF61-1821-4A16-92DC-69C34DE204A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M1518</xm:sqref>
        </x14:conditionalFormatting>
        <x14:conditionalFormatting xmlns:xm="http://schemas.microsoft.com/office/excel/2006/main">
          <x14:cfRule type="cellIs" priority="254" operator="lessThan" id="{1054FA49-A7E5-4C69-8FD2-E38A479CB7D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5" operator="greaterThanOrEqual" id="{E51B62CC-4333-4FD2-8AD6-6E42568D5EE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M1521</xm:sqref>
        </x14:conditionalFormatting>
        <x14:conditionalFormatting xmlns:xm="http://schemas.microsoft.com/office/excel/2006/main">
          <x14:cfRule type="cellIs" priority="251" operator="lessThan" id="{DB624818-DFAE-4925-8D5D-F6FD337AF40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" operator="greaterThanOrEqual" id="{CBD916A7-AA84-4F5A-AA9C-0B4D8DA2B3F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M1524</xm:sqref>
        </x14:conditionalFormatting>
        <x14:conditionalFormatting xmlns:xm="http://schemas.microsoft.com/office/excel/2006/main">
          <x14:cfRule type="cellIs" priority="248" operator="lessThan" id="{7DEF6059-6A4F-4AE5-8FEC-A3574D21E1F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" operator="greaterThanOrEqual" id="{8684B246-8446-49EE-BBA3-F724EC4D07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M1527</xm:sqref>
        </x14:conditionalFormatting>
        <x14:conditionalFormatting xmlns:xm="http://schemas.microsoft.com/office/excel/2006/main">
          <x14:cfRule type="cellIs" priority="245" operator="lessThan" id="{2418FBF9-C3A1-4AC0-A390-DD1E1A8D5BF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" operator="greaterThanOrEqual" id="{68EB7684-6594-4CA9-8B2F-70AA61692BF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H1530</xm:sqref>
        </x14:conditionalFormatting>
        <x14:conditionalFormatting xmlns:xm="http://schemas.microsoft.com/office/excel/2006/main">
          <x14:cfRule type="cellIs" priority="231" operator="greaterThanOrEqual" id="{B5CD003A-AD52-462D-B29F-FA33F623FA4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2" operator="lessThan" id="{096C0B6F-2BEA-4563-AE80-54DA80D4A7B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C1535</xm:sqref>
        </x14:conditionalFormatting>
        <x14:conditionalFormatting xmlns:xm="http://schemas.microsoft.com/office/excel/2006/main">
          <x14:cfRule type="cellIs" priority="233" operator="greaterThanOrEqual" id="{3B9FD180-F4DC-4698-A16E-B8C3EF21176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" operator="lessThan" id="{622499C4-1BBE-4374-9872-5EDC41E8F49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E1535</xm:sqref>
        </x14:conditionalFormatting>
        <x14:conditionalFormatting xmlns:xm="http://schemas.microsoft.com/office/excel/2006/main">
          <x14:cfRule type="cellIs" priority="235" operator="greaterThanOrEqual" id="{FF1F1510-96FA-43C7-96B4-2C288582E19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" operator="lessThan" id="{D5D72EEF-0D75-46F6-9EDE-95BA2119F3E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G1535</xm:sqref>
        </x14:conditionalFormatting>
        <x14:conditionalFormatting xmlns:xm="http://schemas.microsoft.com/office/excel/2006/main">
          <x14:cfRule type="cellIs" priority="237" operator="greaterThanOrEqual" id="{18E61E96-C603-436C-9752-46F4952DA39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8" operator="lessThan" id="{1E3AA515-6909-49B9-800C-A6279AA98FF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I1535</xm:sqref>
        </x14:conditionalFormatting>
        <x14:conditionalFormatting xmlns:xm="http://schemas.microsoft.com/office/excel/2006/main">
          <x14:cfRule type="cellIs" priority="239" operator="greaterThanOrEqual" id="{2A039A1C-16EB-4ADB-804B-89024C5ED6C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" operator="lessThan" id="{5AFB072F-5A7E-42D1-9B04-3CDCE8BA29C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K1535</xm:sqref>
        </x14:conditionalFormatting>
        <x14:conditionalFormatting xmlns:xm="http://schemas.microsoft.com/office/excel/2006/main">
          <x14:cfRule type="cellIs" priority="241" operator="greaterThanOrEqual" id="{8C68AFF2-ED00-4FFB-A800-579D413291A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" operator="lessThan" id="{6CC110D8-828F-46D6-9755-3F3F67E2B7E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M1535</xm:sqref>
        </x14:conditionalFormatting>
        <x14:conditionalFormatting xmlns:xm="http://schemas.microsoft.com/office/excel/2006/main">
          <x14:cfRule type="cellIs" priority="227" operator="lessThan" id="{A06A9922-E63D-4103-83E7-F76DB8DEB8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8" operator="greaterThanOrEqual" id="{35E7EC3C-975B-4D47-97DA-7DD040F64A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M1538</xm:sqref>
        </x14:conditionalFormatting>
        <x14:conditionalFormatting xmlns:xm="http://schemas.microsoft.com/office/excel/2006/main">
          <x14:cfRule type="cellIs" priority="224" operator="lessThan" id="{FA0653CA-9F80-43FB-85F6-EACC3679F73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" operator="greaterThanOrEqual" id="{FECED585-31E1-4C1B-B10A-D588011C3B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M1541</xm:sqref>
        </x14:conditionalFormatting>
        <x14:conditionalFormatting xmlns:xm="http://schemas.microsoft.com/office/excel/2006/main">
          <x14:cfRule type="cellIs" priority="221" operator="lessThan" id="{69351545-FEB2-4A46-A64D-21EAD1A4B25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" operator="greaterThanOrEqual" id="{7FD71940-D637-4708-ADB3-0999398E765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M1544</xm:sqref>
        </x14:conditionalFormatting>
        <x14:conditionalFormatting xmlns:xm="http://schemas.microsoft.com/office/excel/2006/main">
          <x14:cfRule type="cellIs" priority="218" operator="lessThan" id="{956CA628-FED3-463A-9D85-A41969817CC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" operator="greaterThanOrEqual" id="{A16035AE-1F1C-4A79-B6DC-5AC971A71AB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H1547</xm:sqref>
        </x14:conditionalFormatting>
        <x14:conditionalFormatting xmlns:xm="http://schemas.microsoft.com/office/excel/2006/main">
          <x14:cfRule type="cellIs" priority="204" operator="greaterThanOrEqual" id="{CD31E064-CC9B-48CE-89CD-4B6A20A7F9B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5" operator="lessThan" id="{54F859D6-6CF2-4228-9D21-E4C64D8015F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C1552</xm:sqref>
        </x14:conditionalFormatting>
        <x14:conditionalFormatting xmlns:xm="http://schemas.microsoft.com/office/excel/2006/main">
          <x14:cfRule type="cellIs" priority="206" operator="greaterThanOrEqual" id="{A1BC2F30-9F3B-4C3D-98EA-51F5B501444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" operator="lessThan" id="{A30CA919-3D36-4FCD-A226-24AF07263FF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E1552</xm:sqref>
        </x14:conditionalFormatting>
        <x14:conditionalFormatting xmlns:xm="http://schemas.microsoft.com/office/excel/2006/main">
          <x14:cfRule type="cellIs" priority="208" operator="greaterThanOrEqual" id="{3FE5B65B-D2B7-4A1C-BF06-856DE2BD694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" operator="lessThan" id="{9B6A6A59-C62A-463A-8676-B8FC31C4CA9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G1552</xm:sqref>
        </x14:conditionalFormatting>
        <x14:conditionalFormatting xmlns:xm="http://schemas.microsoft.com/office/excel/2006/main">
          <x14:cfRule type="cellIs" priority="210" operator="greaterThanOrEqual" id="{30430B74-6564-4D63-9E63-CA07BA4EEBC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1" operator="lessThan" id="{57B47F80-C999-4595-A3FA-19CD3F0F0C4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I1552</xm:sqref>
        </x14:conditionalFormatting>
        <x14:conditionalFormatting xmlns:xm="http://schemas.microsoft.com/office/excel/2006/main">
          <x14:cfRule type="cellIs" priority="212" operator="greaterThanOrEqual" id="{8476DF88-F5AF-4B38-8026-C8E1333730C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" operator="lessThan" id="{B0BFA800-D32E-4BE3-8E86-8A3F87E2D93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K1552</xm:sqref>
        </x14:conditionalFormatting>
        <x14:conditionalFormatting xmlns:xm="http://schemas.microsoft.com/office/excel/2006/main">
          <x14:cfRule type="cellIs" priority="214" operator="greaterThanOrEqual" id="{65290B05-ABB1-4182-9B69-0AE97C97C38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" operator="lessThan" id="{E06EC1F0-AFCC-4C00-B7E3-144F6E5C3DB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M1552</xm:sqref>
        </x14:conditionalFormatting>
        <x14:conditionalFormatting xmlns:xm="http://schemas.microsoft.com/office/excel/2006/main">
          <x14:cfRule type="cellIs" priority="200" operator="lessThan" id="{7C478D84-97AD-4C40-AD87-8071923215F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1" operator="greaterThanOrEqual" id="{C55DE401-19AA-42D2-B729-4977BFAD6C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M1555</xm:sqref>
        </x14:conditionalFormatting>
        <x14:conditionalFormatting xmlns:xm="http://schemas.microsoft.com/office/excel/2006/main">
          <x14:cfRule type="cellIs" priority="197" operator="lessThan" id="{BC06E38B-CAA8-4D91-AFD7-4E2B73AF51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" operator="greaterThanOrEqual" id="{3AD38726-1E5A-4E05-8105-9D862194FC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M1558</xm:sqref>
        </x14:conditionalFormatting>
        <x14:conditionalFormatting xmlns:xm="http://schemas.microsoft.com/office/excel/2006/main">
          <x14:cfRule type="cellIs" priority="194" operator="lessThan" id="{B7533733-830B-44CB-AEE2-A5B163A798B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" operator="greaterThanOrEqual" id="{7451A3AC-0B9A-400D-805F-219B937C6EE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M1561</xm:sqref>
        </x14:conditionalFormatting>
        <x14:conditionalFormatting xmlns:xm="http://schemas.microsoft.com/office/excel/2006/main">
          <x14:cfRule type="cellIs" priority="191" operator="lessThan" id="{E88FB700-6238-424D-8806-989454AB905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" operator="greaterThanOrEqual" id="{29648936-FBD9-4B0A-A970-9374D3DF8FC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H1564</xm:sqref>
        </x14:conditionalFormatting>
        <x14:conditionalFormatting xmlns:xm="http://schemas.microsoft.com/office/excel/2006/main">
          <x14:cfRule type="cellIs" priority="177" operator="greaterThanOrEqual" id="{3DE293DC-D0CE-4611-A1C1-A64352B757A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8" operator="lessThan" id="{84E67A34-0722-4A87-8941-E7F591FB07C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C1569</xm:sqref>
        </x14:conditionalFormatting>
        <x14:conditionalFormatting xmlns:xm="http://schemas.microsoft.com/office/excel/2006/main">
          <x14:cfRule type="cellIs" priority="179" operator="greaterThanOrEqual" id="{E320C635-3A56-4035-B36D-1489FCAA8EE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" operator="lessThan" id="{DC081B28-E35E-486F-9D10-737643B5F8C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E1569</xm:sqref>
        </x14:conditionalFormatting>
        <x14:conditionalFormatting xmlns:xm="http://schemas.microsoft.com/office/excel/2006/main">
          <x14:cfRule type="cellIs" priority="181" operator="greaterThanOrEqual" id="{A629AAE3-3027-47F7-961D-CDD62FA43A5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" operator="lessThan" id="{4AA37E29-BB0A-46AA-85FB-7F9587E3449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G1569</xm:sqref>
        </x14:conditionalFormatting>
        <x14:conditionalFormatting xmlns:xm="http://schemas.microsoft.com/office/excel/2006/main">
          <x14:cfRule type="cellIs" priority="183" operator="greaterThanOrEqual" id="{9C4F4C8B-6025-49F7-AB7F-1C466024A11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4" operator="lessThan" id="{3239FE65-8079-420B-BF98-2D1B078B627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I1569</xm:sqref>
        </x14:conditionalFormatting>
        <x14:conditionalFormatting xmlns:xm="http://schemas.microsoft.com/office/excel/2006/main">
          <x14:cfRule type="cellIs" priority="185" operator="greaterThanOrEqual" id="{FFD492A4-3018-4F75-B973-44534D4A5C4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" operator="lessThan" id="{B38241B1-4C86-49A3-BB4E-A0A94157E50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K1569</xm:sqref>
        </x14:conditionalFormatting>
        <x14:conditionalFormatting xmlns:xm="http://schemas.microsoft.com/office/excel/2006/main">
          <x14:cfRule type="cellIs" priority="187" operator="greaterThanOrEqual" id="{EF946046-BE2A-4494-9E2F-4D44B86B0D6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" operator="lessThan" id="{22248520-5657-4F2F-8A7F-782A1E016C9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M1569</xm:sqref>
        </x14:conditionalFormatting>
        <x14:conditionalFormatting xmlns:xm="http://schemas.microsoft.com/office/excel/2006/main">
          <x14:cfRule type="cellIs" priority="173" operator="lessThan" id="{AEEC971E-8AEE-4FB5-BB92-1876543B6D6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4" operator="greaterThanOrEqual" id="{C422CA7B-CD94-4C1F-AD78-56F22C79B85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M1572</xm:sqref>
        </x14:conditionalFormatting>
        <x14:conditionalFormatting xmlns:xm="http://schemas.microsoft.com/office/excel/2006/main">
          <x14:cfRule type="cellIs" priority="170" operator="lessThan" id="{F3622275-57C0-44D8-906B-6279CD18445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" operator="greaterThanOrEqual" id="{4181F8FE-17A1-4A21-8C2F-FC0975AD723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M1575</xm:sqref>
        </x14:conditionalFormatting>
        <x14:conditionalFormatting xmlns:xm="http://schemas.microsoft.com/office/excel/2006/main">
          <x14:cfRule type="cellIs" priority="167" operator="lessThan" id="{964F313C-A7DC-43EF-8B24-44628E7C47C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" operator="greaterThanOrEqual" id="{3AB5CD18-A323-4946-8056-32CCC320340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M1578</xm:sqref>
        </x14:conditionalFormatting>
        <x14:conditionalFormatting xmlns:xm="http://schemas.microsoft.com/office/excel/2006/main">
          <x14:cfRule type="cellIs" priority="164" operator="lessThan" id="{7CE40993-E73E-4B50-A0DA-5D254C3669F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" operator="greaterThanOrEqual" id="{951DB69C-C73D-4F65-8605-C8BEE6985C0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H1581</xm:sqref>
        </x14:conditionalFormatting>
        <x14:conditionalFormatting xmlns:xm="http://schemas.microsoft.com/office/excel/2006/main">
          <x14:cfRule type="cellIs" priority="150" operator="greaterThanOrEqual" id="{80605A13-BC64-449C-9A4E-E60CEA2609C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1" operator="lessThan" id="{44D9FD7A-5480-4D7D-B368-6828FC6756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C1586</xm:sqref>
        </x14:conditionalFormatting>
        <x14:conditionalFormatting xmlns:xm="http://schemas.microsoft.com/office/excel/2006/main">
          <x14:cfRule type="cellIs" priority="152" operator="greaterThanOrEqual" id="{BC345A95-B1A3-4908-BEB2-B5C6C6E24D1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" operator="lessThan" id="{0FF5F787-C8D0-4837-83A2-F68C5423ED7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E1586</xm:sqref>
        </x14:conditionalFormatting>
        <x14:conditionalFormatting xmlns:xm="http://schemas.microsoft.com/office/excel/2006/main">
          <x14:cfRule type="cellIs" priority="154" operator="greaterThanOrEqual" id="{BF8A1D86-7A44-4391-BE6F-C1EE53220EE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" operator="lessThan" id="{7C1CA0F0-3A08-48C0-A516-02567686536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G1586</xm:sqref>
        </x14:conditionalFormatting>
        <x14:conditionalFormatting xmlns:xm="http://schemas.microsoft.com/office/excel/2006/main">
          <x14:cfRule type="cellIs" priority="156" operator="greaterThanOrEqual" id="{BF2AED55-71B0-4089-B528-35992858F68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7" operator="lessThan" id="{14E87DA1-B478-4725-AE2A-A107D7D17B2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I1586</xm:sqref>
        </x14:conditionalFormatting>
        <x14:conditionalFormatting xmlns:xm="http://schemas.microsoft.com/office/excel/2006/main">
          <x14:cfRule type="cellIs" priority="158" operator="greaterThanOrEqual" id="{4A67A787-C647-468A-BD8D-496278AFAD7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" operator="lessThan" id="{DAE9FCBA-37CF-46B0-8ED0-2DC52A79D08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K1586</xm:sqref>
        </x14:conditionalFormatting>
        <x14:conditionalFormatting xmlns:xm="http://schemas.microsoft.com/office/excel/2006/main">
          <x14:cfRule type="cellIs" priority="160" operator="greaterThanOrEqual" id="{36958DC0-D59A-46A5-87D2-F8065AD7F9D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" operator="lessThan" id="{3A98E4DF-A224-404D-A5E9-F8A1C49DA07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M1586</xm:sqref>
        </x14:conditionalFormatting>
        <x14:conditionalFormatting xmlns:xm="http://schemas.microsoft.com/office/excel/2006/main">
          <x14:cfRule type="cellIs" priority="146" operator="lessThan" id="{8D63F3F8-AC0F-4DB3-985D-BD4896C0027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7" operator="greaterThanOrEqual" id="{EAA4EF7E-23B5-4BCD-95C0-7B8D4395FCD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M1589</xm:sqref>
        </x14:conditionalFormatting>
        <x14:conditionalFormatting xmlns:xm="http://schemas.microsoft.com/office/excel/2006/main">
          <x14:cfRule type="cellIs" priority="143" operator="lessThan" id="{32C22668-306E-4E82-AA9D-C91E7D1263D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" operator="greaterThanOrEqual" id="{DE28B3B0-C04F-4663-97F8-F26C31F836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M1592</xm:sqref>
        </x14:conditionalFormatting>
        <x14:conditionalFormatting xmlns:xm="http://schemas.microsoft.com/office/excel/2006/main">
          <x14:cfRule type="cellIs" priority="140" operator="lessThan" id="{EB2C1839-80AE-4849-B9DC-6CC4DD12D60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" operator="greaterThanOrEqual" id="{90A40C8B-84BE-41B0-A386-53C78B47828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M1595</xm:sqref>
        </x14:conditionalFormatting>
        <x14:conditionalFormatting xmlns:xm="http://schemas.microsoft.com/office/excel/2006/main">
          <x14:cfRule type="cellIs" priority="137" operator="lessThan" id="{BD18D212-DE29-4FBF-8ADC-70EB906E215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" operator="greaterThanOrEqual" id="{F42F17FC-C6A0-46D5-AFC5-7717F8CA4DE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H1598</xm:sqref>
        </x14:conditionalFormatting>
        <x14:conditionalFormatting xmlns:xm="http://schemas.microsoft.com/office/excel/2006/main">
          <x14:cfRule type="cellIs" priority="123" operator="greaterThanOrEqual" id="{A2900816-F07E-478F-821C-DA0067D1D0F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4" operator="lessThan" id="{C9CC7975-D131-4C4D-880A-1469ED76AC0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C1603</xm:sqref>
        </x14:conditionalFormatting>
        <x14:conditionalFormatting xmlns:xm="http://schemas.microsoft.com/office/excel/2006/main">
          <x14:cfRule type="cellIs" priority="125" operator="greaterThanOrEqual" id="{B0653C45-23A9-4AB9-8067-2DB4381DDC1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" operator="lessThan" id="{B9CAE39E-1B19-4076-9756-A7CABB7CF65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E1603</xm:sqref>
        </x14:conditionalFormatting>
        <x14:conditionalFormatting xmlns:xm="http://schemas.microsoft.com/office/excel/2006/main">
          <x14:cfRule type="cellIs" priority="127" operator="greaterThanOrEqual" id="{8DC9CEE7-B657-4ABD-A201-E3DE76D0454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" operator="lessThan" id="{FA610E7B-1068-4B9B-86D9-886C0F81846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G1603</xm:sqref>
        </x14:conditionalFormatting>
        <x14:conditionalFormatting xmlns:xm="http://schemas.microsoft.com/office/excel/2006/main">
          <x14:cfRule type="cellIs" priority="129" operator="greaterThanOrEqual" id="{FA9588D3-920B-47DD-837B-BD17B2D5CCA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0" operator="lessThan" id="{6D11FF60-F339-4EBB-89FB-69F0B0578B2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I1603</xm:sqref>
        </x14:conditionalFormatting>
        <x14:conditionalFormatting xmlns:xm="http://schemas.microsoft.com/office/excel/2006/main">
          <x14:cfRule type="cellIs" priority="131" operator="greaterThanOrEqual" id="{B56C32EB-1ABB-4614-BD5A-D3BB5B7D42D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" operator="lessThan" id="{79E38D39-E0A6-4557-A952-61C48B2B69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K1603</xm:sqref>
        </x14:conditionalFormatting>
        <x14:conditionalFormatting xmlns:xm="http://schemas.microsoft.com/office/excel/2006/main">
          <x14:cfRule type="cellIs" priority="133" operator="greaterThanOrEqual" id="{BD451D92-DE70-466C-A568-991443CA828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" operator="lessThan" id="{426FFAF4-E463-441F-9C04-E5C355700E4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M1603</xm:sqref>
        </x14:conditionalFormatting>
        <x14:conditionalFormatting xmlns:xm="http://schemas.microsoft.com/office/excel/2006/main">
          <x14:cfRule type="cellIs" priority="119" operator="lessThan" id="{B13A72EB-985F-45DA-BD6C-C2F5363EBB1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0" operator="greaterThanOrEqual" id="{C0B76EA6-59A3-4857-9C9A-EDD2E371B08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M1606</xm:sqref>
        </x14:conditionalFormatting>
        <x14:conditionalFormatting xmlns:xm="http://schemas.microsoft.com/office/excel/2006/main">
          <x14:cfRule type="cellIs" priority="116" operator="lessThan" id="{100E4AA9-3735-4A9F-9164-E4590162E19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" operator="greaterThanOrEqual" id="{371A97B1-EB00-428F-A357-3C73BECBA04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M1609</xm:sqref>
        </x14:conditionalFormatting>
        <x14:conditionalFormatting xmlns:xm="http://schemas.microsoft.com/office/excel/2006/main">
          <x14:cfRule type="cellIs" priority="113" operator="lessThan" id="{0F90B2E5-3C54-416B-8889-E95C95F789B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" operator="greaterThanOrEqual" id="{44C214FA-9295-4A8E-B0D0-817CAF60A4A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M1612</xm:sqref>
        </x14:conditionalFormatting>
        <x14:conditionalFormatting xmlns:xm="http://schemas.microsoft.com/office/excel/2006/main">
          <x14:cfRule type="cellIs" priority="110" operator="lessThan" id="{7FEB091F-8A32-4D72-8E00-30F9CAD4D19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" operator="greaterThanOrEqual" id="{7382106E-3824-4E14-B612-613F579CA24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H1615</xm:sqref>
        </x14:conditionalFormatting>
        <x14:conditionalFormatting xmlns:xm="http://schemas.microsoft.com/office/excel/2006/main">
          <x14:cfRule type="cellIs" priority="96" operator="greaterThanOrEqual" id="{90DA2F70-7F38-404A-A090-39B03673FE0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7" operator="lessThan" id="{40D266A6-FAC0-4582-AEAE-D12614F0A62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C1620</xm:sqref>
        </x14:conditionalFormatting>
        <x14:conditionalFormatting xmlns:xm="http://schemas.microsoft.com/office/excel/2006/main">
          <x14:cfRule type="cellIs" priority="98" operator="greaterThanOrEqual" id="{ABF0A11B-A560-4197-AE6F-942A29ACE62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" operator="lessThan" id="{9F5DAAB1-5905-4302-AD71-2C6D2E24B59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E1620</xm:sqref>
        </x14:conditionalFormatting>
        <x14:conditionalFormatting xmlns:xm="http://schemas.microsoft.com/office/excel/2006/main">
          <x14:cfRule type="cellIs" priority="100" operator="greaterThanOrEqual" id="{DCBA30A8-DA24-4B90-98DE-2703D5BAD07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" operator="lessThan" id="{BE4EFAB3-DB06-4EC8-98D6-3E054A97474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G1620</xm:sqref>
        </x14:conditionalFormatting>
        <x14:conditionalFormatting xmlns:xm="http://schemas.microsoft.com/office/excel/2006/main">
          <x14:cfRule type="cellIs" priority="102" operator="greaterThanOrEqual" id="{BD586DD4-2E99-461A-BDBC-A392A855E26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3" operator="lessThan" id="{6ED0763C-B6E9-40A1-B09B-FB3B4AF2EAF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I1620</xm:sqref>
        </x14:conditionalFormatting>
        <x14:conditionalFormatting xmlns:xm="http://schemas.microsoft.com/office/excel/2006/main">
          <x14:cfRule type="cellIs" priority="104" operator="greaterThanOrEqual" id="{BC9DA799-6495-4F44-8637-7366A41EF6B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" operator="lessThan" id="{8CAE98F5-FD42-458E-ADC2-4B5C59B3289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K1620</xm:sqref>
        </x14:conditionalFormatting>
        <x14:conditionalFormatting xmlns:xm="http://schemas.microsoft.com/office/excel/2006/main">
          <x14:cfRule type="cellIs" priority="106" operator="greaterThanOrEqual" id="{03C4E187-BA67-4FBB-8A0E-F07B9E9BB72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" operator="lessThan" id="{3DC80B7E-59E8-47FE-9EB2-BA5222F2F55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M1620</xm:sqref>
        </x14:conditionalFormatting>
        <x14:conditionalFormatting xmlns:xm="http://schemas.microsoft.com/office/excel/2006/main">
          <x14:cfRule type="cellIs" priority="92" operator="lessThan" id="{6224ED28-D112-45A5-80D2-61073B89A90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3" operator="greaterThanOrEqual" id="{F1F2BA7E-B7C6-41E9-88D9-3C6ADB50B6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M1623</xm:sqref>
        </x14:conditionalFormatting>
        <x14:conditionalFormatting xmlns:xm="http://schemas.microsoft.com/office/excel/2006/main">
          <x14:cfRule type="cellIs" priority="89" operator="lessThan" id="{64D8F649-D1A3-49FB-B08C-005F424B66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" operator="greaterThanOrEqual" id="{240B1529-6DE1-4579-8B7C-B0ECDB78EFA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M1626</xm:sqref>
        </x14:conditionalFormatting>
        <x14:conditionalFormatting xmlns:xm="http://schemas.microsoft.com/office/excel/2006/main">
          <x14:cfRule type="cellIs" priority="86" operator="lessThan" id="{5CA059CF-27F6-409E-8CB5-AC7A199D85E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" operator="greaterThanOrEqual" id="{CC5A0648-75CE-4D06-88AE-810DACDC29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M1629</xm:sqref>
        </x14:conditionalFormatting>
        <x14:conditionalFormatting xmlns:xm="http://schemas.microsoft.com/office/excel/2006/main">
          <x14:cfRule type="cellIs" priority="83" operator="lessThan" id="{5131B590-ADEA-4CAD-AA91-0649C1AF5CB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" operator="greaterThanOrEqual" id="{EFAA709E-E2A9-4E92-9CE8-1D91E9BCDF9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H1632</xm:sqref>
        </x14:conditionalFormatting>
        <x14:conditionalFormatting xmlns:xm="http://schemas.microsoft.com/office/excel/2006/main">
          <x14:cfRule type="cellIs" priority="69" operator="greaterThanOrEqual" id="{F637A921-7B77-4959-BE34-3E12A83EFA1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0" operator="lessThan" id="{23F0A4DA-2DF1-4F64-A25D-ECBCB958BF2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C1637</xm:sqref>
        </x14:conditionalFormatting>
        <x14:conditionalFormatting xmlns:xm="http://schemas.microsoft.com/office/excel/2006/main">
          <x14:cfRule type="cellIs" priority="71" operator="greaterThanOrEqual" id="{A0B10C22-B16A-4B30-8C20-6698C32929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" operator="lessThan" id="{C9A47E7D-C549-40F2-B41A-E86E8777D2C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E1637</xm:sqref>
        </x14:conditionalFormatting>
        <x14:conditionalFormatting xmlns:xm="http://schemas.microsoft.com/office/excel/2006/main">
          <x14:cfRule type="cellIs" priority="73" operator="greaterThanOrEqual" id="{7D61E889-EB4C-4854-97E0-6B0869561D3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" operator="lessThan" id="{71FEE5CD-D593-4C24-9883-EB0D2CCA4A4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G1637</xm:sqref>
        </x14:conditionalFormatting>
        <x14:conditionalFormatting xmlns:xm="http://schemas.microsoft.com/office/excel/2006/main">
          <x14:cfRule type="cellIs" priority="75" operator="greaterThanOrEqual" id="{3C5BC967-06B7-46C6-93BA-09809A3EF60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6" operator="lessThan" id="{65B9E2B6-70C7-48EC-ADAE-5EBFA873451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I1637</xm:sqref>
        </x14:conditionalFormatting>
        <x14:conditionalFormatting xmlns:xm="http://schemas.microsoft.com/office/excel/2006/main">
          <x14:cfRule type="cellIs" priority="77" operator="greaterThanOrEqual" id="{3E5AC687-0ABE-47F4-A0F2-B63DEF7A0F6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" operator="lessThan" id="{71A9AF79-6DDF-43CD-BCC8-FB39320CAFD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K1637</xm:sqref>
        </x14:conditionalFormatting>
        <x14:conditionalFormatting xmlns:xm="http://schemas.microsoft.com/office/excel/2006/main">
          <x14:cfRule type="cellIs" priority="79" operator="greaterThanOrEqual" id="{7E0ABBC5-F68B-45D3-9992-421FBB4A615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" operator="lessThan" id="{A55E118D-0A2C-4B11-97A8-1E97D952590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M1637</xm:sqref>
        </x14:conditionalFormatting>
        <x14:conditionalFormatting xmlns:xm="http://schemas.microsoft.com/office/excel/2006/main">
          <x14:cfRule type="cellIs" priority="65" operator="lessThan" id="{35BB3A4E-6FCC-4C48-AD00-C96FA1ED92E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6" operator="greaterThanOrEqual" id="{421A2190-AF93-44FE-B3A7-2AA62515296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M1640</xm:sqref>
        </x14:conditionalFormatting>
        <x14:conditionalFormatting xmlns:xm="http://schemas.microsoft.com/office/excel/2006/main">
          <x14:cfRule type="cellIs" priority="62" operator="lessThan" id="{EB76E241-671F-47F3-AABB-AA7C5D769A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" operator="greaterThanOrEqual" id="{30EB4DFD-FFA6-4239-AD9E-4DB4CD145A5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M1643</xm:sqref>
        </x14:conditionalFormatting>
        <x14:conditionalFormatting xmlns:xm="http://schemas.microsoft.com/office/excel/2006/main">
          <x14:cfRule type="cellIs" priority="59" operator="lessThan" id="{50244433-5441-4AAB-9C08-8BF6BDAF8EC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" operator="greaterThanOrEqual" id="{D5697352-972A-4610-A984-BFDB244127A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M1646</xm:sqref>
        </x14:conditionalFormatting>
        <x14:conditionalFormatting xmlns:xm="http://schemas.microsoft.com/office/excel/2006/main">
          <x14:cfRule type="cellIs" priority="56" operator="lessThan" id="{7ECAC84B-CD74-453B-ABDF-9E0F12FEE5D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" operator="greaterThanOrEqual" id="{68415A87-1727-4E84-ADA8-CAFEDA4DB13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H1649</xm:sqref>
        </x14:conditionalFormatting>
        <x14:conditionalFormatting xmlns:xm="http://schemas.microsoft.com/office/excel/2006/main">
          <x14:cfRule type="cellIs" priority="42" operator="greaterThanOrEqual" id="{E66E6481-02BA-47E7-87B9-FFB2D71112D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3" operator="lessThan" id="{DBA780E7-CBAC-46E7-AD88-9B57B890C2F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C1654</xm:sqref>
        </x14:conditionalFormatting>
        <x14:conditionalFormatting xmlns:xm="http://schemas.microsoft.com/office/excel/2006/main">
          <x14:cfRule type="cellIs" priority="44" operator="greaterThanOrEqual" id="{FDB4164D-2257-4EEB-8A7C-78BB307EE09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" operator="lessThan" id="{D84D73EB-DD41-403F-B489-C8DAC73B7CE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E1654</xm:sqref>
        </x14:conditionalFormatting>
        <x14:conditionalFormatting xmlns:xm="http://schemas.microsoft.com/office/excel/2006/main">
          <x14:cfRule type="cellIs" priority="46" operator="greaterThanOrEqual" id="{81CEC0A2-0B0B-43E9-A5C3-38297E57DEA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" operator="lessThan" id="{C1DB6F67-B605-4199-8186-D87D7CADBA5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G1654</xm:sqref>
        </x14:conditionalFormatting>
        <x14:conditionalFormatting xmlns:xm="http://schemas.microsoft.com/office/excel/2006/main">
          <x14:cfRule type="cellIs" priority="48" operator="greaterThanOrEqual" id="{4EF209BC-02A3-47AF-A363-861189A7D85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9" operator="lessThan" id="{3708E214-0ED3-4583-B21D-9B9DB3D04EE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I1654</xm:sqref>
        </x14:conditionalFormatting>
        <x14:conditionalFormatting xmlns:xm="http://schemas.microsoft.com/office/excel/2006/main">
          <x14:cfRule type="cellIs" priority="50" operator="greaterThanOrEqual" id="{5473F414-D50A-4E77-A381-2918CEFA475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" operator="lessThan" id="{B497DA15-388B-4F32-AB45-0B9B742C2B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K1654</xm:sqref>
        </x14:conditionalFormatting>
        <x14:conditionalFormatting xmlns:xm="http://schemas.microsoft.com/office/excel/2006/main">
          <x14:cfRule type="cellIs" priority="52" operator="greaterThanOrEqual" id="{69C731AB-E71B-4585-8E94-52C53725E27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" operator="lessThan" id="{6EFBF3F0-8151-431D-8AD6-87B640BA688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M1654</xm:sqref>
        </x14:conditionalFormatting>
        <x14:conditionalFormatting xmlns:xm="http://schemas.microsoft.com/office/excel/2006/main">
          <x14:cfRule type="cellIs" priority="38" operator="lessThan" id="{273FB185-B84F-4B6A-9954-651956495D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9" operator="greaterThanOrEqual" id="{9BD66BC4-AA36-4207-B0B4-4DA38F9C73A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M1657</xm:sqref>
        </x14:conditionalFormatting>
        <x14:conditionalFormatting xmlns:xm="http://schemas.microsoft.com/office/excel/2006/main">
          <x14:cfRule type="cellIs" priority="35" operator="lessThan" id="{A3979CD8-0B06-44E4-93E9-AD58BF6DEF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" operator="greaterThanOrEqual" id="{3082318B-931F-4A51-9D9E-F1CACE00E06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M1660</xm:sqref>
        </x14:conditionalFormatting>
        <x14:conditionalFormatting xmlns:xm="http://schemas.microsoft.com/office/excel/2006/main">
          <x14:cfRule type="cellIs" priority="32" operator="lessThan" id="{C93D053A-DC27-4EDC-9488-533733CADAD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" operator="greaterThanOrEqual" id="{B90586CE-23F8-41C3-803F-481C3C6ACE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M1663</xm:sqref>
        </x14:conditionalFormatting>
        <x14:conditionalFormatting xmlns:xm="http://schemas.microsoft.com/office/excel/2006/main">
          <x14:cfRule type="cellIs" priority="29" operator="lessThan" id="{0871E477-F4D3-4EAE-BC9E-14EA15C8B3E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" operator="greaterThanOrEqual" id="{7D951D01-390A-43A5-BFF1-338BE6BA735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H1666</xm:sqref>
        </x14:conditionalFormatting>
        <x14:conditionalFormatting xmlns:xm="http://schemas.microsoft.com/office/excel/2006/main">
          <x14:cfRule type="cellIs" priority="15" operator="greaterThanOrEqual" id="{C581A46D-5F53-4738-99A6-0A2C92C91AD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" operator="lessThan" id="{1578CAC7-D6F7-4CA1-87C7-E411D3CE907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C1671</xm:sqref>
        </x14:conditionalFormatting>
        <x14:conditionalFormatting xmlns:xm="http://schemas.microsoft.com/office/excel/2006/main">
          <x14:cfRule type="cellIs" priority="17" operator="greaterThanOrEqual" id="{2CFFBDA3-B054-46A3-9E14-5180EBDEC49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" operator="lessThan" id="{1839FDD0-F552-44D0-BB9D-7896071CF7D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E1671</xm:sqref>
        </x14:conditionalFormatting>
        <x14:conditionalFormatting xmlns:xm="http://schemas.microsoft.com/office/excel/2006/main">
          <x14:cfRule type="cellIs" priority="19" operator="greaterThanOrEqual" id="{3171D874-CBCB-4B4F-BFD4-B49056BBEC8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" operator="lessThan" id="{594DCAA5-3614-48E0-9FCA-52C2B804821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G1671</xm:sqref>
        </x14:conditionalFormatting>
        <x14:conditionalFormatting xmlns:xm="http://schemas.microsoft.com/office/excel/2006/main">
          <x14:cfRule type="cellIs" priority="21" operator="greaterThanOrEqual" id="{5B68D856-9B2A-430E-B128-E97AEF99E23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" operator="lessThan" id="{B56F10D7-B9F0-4453-8056-BADDCC1AB34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I1671</xm:sqref>
        </x14:conditionalFormatting>
        <x14:conditionalFormatting xmlns:xm="http://schemas.microsoft.com/office/excel/2006/main">
          <x14:cfRule type="cellIs" priority="23" operator="greaterThanOrEqual" id="{A5A4813B-E654-4971-8B1B-E0AC20CC076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" operator="lessThan" id="{FB88DFA5-C79A-4DAB-BE5E-FC09CC5A715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K1671</xm:sqref>
        </x14:conditionalFormatting>
        <x14:conditionalFormatting xmlns:xm="http://schemas.microsoft.com/office/excel/2006/main">
          <x14:cfRule type="cellIs" priority="25" operator="greaterThanOrEqual" id="{9E4EB50A-FD47-47C9-AEB4-D9DDCED0CC9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" operator="lessThan" id="{A7BA75CE-10BD-4056-BE66-8C8ECCF57CA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M1671</xm:sqref>
        </x14:conditionalFormatting>
        <x14:conditionalFormatting xmlns:xm="http://schemas.microsoft.com/office/excel/2006/main">
          <x14:cfRule type="cellIs" priority="11" operator="lessThan" id="{D978A802-CD47-4EFC-8841-3270DF9F099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" operator="greaterThanOrEqual" id="{B45590C8-4FF3-461F-97FD-D36F0479B3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M1674</xm:sqref>
        </x14:conditionalFormatting>
        <x14:conditionalFormatting xmlns:xm="http://schemas.microsoft.com/office/excel/2006/main">
          <x14:cfRule type="cellIs" priority="8" operator="lessThan" id="{6E184267-B88A-450F-88DB-C32FC05942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" operator="greaterThanOrEqual" id="{11B92995-93DD-449F-A52D-3E49C07D69C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M1677</xm:sqref>
        </x14:conditionalFormatting>
        <x14:conditionalFormatting xmlns:xm="http://schemas.microsoft.com/office/excel/2006/main">
          <x14:cfRule type="cellIs" priority="5" operator="lessThan" id="{5E765FFC-44C5-4FE6-A208-59C2A211D2D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" operator="greaterThanOrEqual" id="{EAD70831-F43B-484B-B10F-07C098F556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M1680</xm:sqref>
        </x14:conditionalFormatting>
        <x14:conditionalFormatting xmlns:xm="http://schemas.microsoft.com/office/excel/2006/main">
          <x14:cfRule type="cellIs" priority="2" operator="lessThan" id="{66CC9219-DD32-4338-A08A-0B8E200F80A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" operator="greaterThanOrEqual" id="{4DA66415-734C-4109-A66E-98474E2691D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H1683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095E-7748-4815-B8B8-FDD065D902B5}">
  <sheetPr codeName="Planilha8"/>
  <dimension ref="A1:C4"/>
  <sheetViews>
    <sheetView workbookViewId="0">
      <selection activeCell="C6" sqref="C6"/>
    </sheetView>
  </sheetViews>
  <sheetFormatPr defaultColWidth="9.109375" defaultRowHeight="14.4" x14ac:dyDescent="0.3"/>
  <cols>
    <col min="1" max="1" width="13.77734375" style="7" customWidth="1"/>
    <col min="2" max="3" width="47.44140625" style="7" customWidth="1"/>
    <col min="4" max="16384" width="9.109375" style="7"/>
  </cols>
  <sheetData>
    <row r="1" spans="1:3" x14ac:dyDescent="0.3">
      <c r="A1" s="38" t="s">
        <v>66</v>
      </c>
      <c r="B1" s="39" t="s">
        <v>65</v>
      </c>
      <c r="C1" s="62" t="s">
        <v>86</v>
      </c>
    </row>
    <row r="2" spans="1:3" x14ac:dyDescent="0.3">
      <c r="A2" s="36" t="s">
        <v>85</v>
      </c>
      <c r="B2" s="37" t="s">
        <v>87</v>
      </c>
      <c r="C2" s="63">
        <v>558599740771</v>
      </c>
    </row>
    <row r="3" spans="1:3" x14ac:dyDescent="0.3">
      <c r="A3" s="36" t="s">
        <v>85</v>
      </c>
      <c r="B3" s="37" t="s">
        <v>88</v>
      </c>
      <c r="C3" s="63">
        <v>558599340583</v>
      </c>
    </row>
    <row r="4" spans="1:3" x14ac:dyDescent="0.3">
      <c r="A4" s="36" t="s">
        <v>85</v>
      </c>
      <c r="B4" s="37" t="s">
        <v>89</v>
      </c>
      <c r="C4" s="63">
        <v>559581166290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2BEFC-188D-4AEF-AD6B-9D91C205B7CF}">
  <sheetPr codeName="Planilha9"/>
  <dimension ref="A3:I31"/>
  <sheetViews>
    <sheetView workbookViewId="0">
      <selection activeCell="B6" sqref="B6"/>
    </sheetView>
  </sheetViews>
  <sheetFormatPr defaultColWidth="9.109375" defaultRowHeight="14.4" x14ac:dyDescent="0.3"/>
  <cols>
    <col min="1" max="1" width="12.109375" style="7" customWidth="1"/>
    <col min="2" max="2" width="19.33203125" style="7" customWidth="1"/>
    <col min="3" max="3" width="18.44140625" style="7" customWidth="1"/>
    <col min="4" max="4" width="20.6640625" style="7" customWidth="1"/>
    <col min="5" max="16384" width="9.109375" style="7"/>
  </cols>
  <sheetData>
    <row r="3" spans="1:9" x14ac:dyDescent="0.3">
      <c r="A3" s="1" t="s">
        <v>28</v>
      </c>
      <c r="B3" s="1" t="s">
        <v>29</v>
      </c>
      <c r="C3" s="1" t="s">
        <v>30</v>
      </c>
      <c r="D3" s="1" t="s">
        <v>31</v>
      </c>
      <c r="I3" s="1" t="s">
        <v>67</v>
      </c>
    </row>
    <row r="4" spans="1:9" x14ac:dyDescent="0.3">
      <c r="A4" s="28" t="s">
        <v>23</v>
      </c>
      <c r="B4" s="29">
        <v>6</v>
      </c>
      <c r="C4" s="30">
        <f>B4/15*10</f>
        <v>4</v>
      </c>
      <c r="D4" s="74">
        <v>5</v>
      </c>
      <c r="I4" s="30">
        <v>4</v>
      </c>
    </row>
    <row r="5" spans="1:9" x14ac:dyDescent="0.3">
      <c r="A5" s="28" t="s">
        <v>24</v>
      </c>
      <c r="B5" s="29">
        <v>6</v>
      </c>
      <c r="C5" s="30">
        <f>B5/15*10</f>
        <v>4</v>
      </c>
      <c r="D5" s="74"/>
      <c r="I5" s="30">
        <v>4</v>
      </c>
    </row>
    <row r="6" spans="1:9" x14ac:dyDescent="0.3">
      <c r="A6" s="28" t="s">
        <v>25</v>
      </c>
      <c r="B6" s="29">
        <v>4</v>
      </c>
      <c r="C6" s="30">
        <f>B6/10*10</f>
        <v>4</v>
      </c>
      <c r="D6" s="74"/>
      <c r="I6" s="30">
        <v>4</v>
      </c>
    </row>
    <row r="7" spans="1:9" x14ac:dyDescent="0.3">
      <c r="A7" s="28" t="s">
        <v>21</v>
      </c>
      <c r="B7" s="29">
        <v>6</v>
      </c>
      <c r="C7" s="30">
        <f>B7/15*10</f>
        <v>4</v>
      </c>
      <c r="D7" s="74"/>
      <c r="I7" s="30">
        <v>4</v>
      </c>
    </row>
    <row r="8" spans="1:9" x14ac:dyDescent="0.3">
      <c r="A8" s="28" t="s">
        <v>22</v>
      </c>
      <c r="B8" s="29">
        <v>6</v>
      </c>
      <c r="C8" s="30">
        <f>B8/15*10</f>
        <v>4</v>
      </c>
      <c r="D8" s="74"/>
      <c r="I8" s="30">
        <v>4</v>
      </c>
    </row>
    <row r="9" spans="1:9" x14ac:dyDescent="0.3">
      <c r="I9" s="30">
        <v>4</v>
      </c>
    </row>
    <row r="10" spans="1:9" x14ac:dyDescent="0.3">
      <c r="I10" s="30">
        <v>4</v>
      </c>
    </row>
    <row r="11" spans="1:9" x14ac:dyDescent="0.3">
      <c r="A11" s="1" t="s">
        <v>19</v>
      </c>
      <c r="B11" s="1" t="s">
        <v>20</v>
      </c>
      <c r="C11" s="1" t="s">
        <v>27</v>
      </c>
      <c r="D11" s="1" t="s">
        <v>31</v>
      </c>
      <c r="I11" s="30">
        <v>4</v>
      </c>
    </row>
    <row r="12" spans="1:9" x14ac:dyDescent="0.3">
      <c r="A12" s="28" t="s">
        <v>23</v>
      </c>
      <c r="B12" s="31">
        <v>0.2</v>
      </c>
      <c r="C12" s="30">
        <v>4</v>
      </c>
      <c r="D12" s="74">
        <v>5</v>
      </c>
      <c r="I12" s="30">
        <v>4</v>
      </c>
    </row>
    <row r="13" spans="1:9" x14ac:dyDescent="0.3">
      <c r="A13" s="28" t="s">
        <v>22</v>
      </c>
      <c r="B13" s="31">
        <v>0.2</v>
      </c>
      <c r="C13" s="30">
        <v>4</v>
      </c>
      <c r="D13" s="74"/>
      <c r="I13" s="30">
        <v>4</v>
      </c>
    </row>
    <row r="14" spans="1:9" x14ac:dyDescent="0.3">
      <c r="A14" s="28" t="s">
        <v>21</v>
      </c>
      <c r="B14" s="31">
        <v>0.2</v>
      </c>
      <c r="C14" s="30">
        <v>4</v>
      </c>
      <c r="D14" s="74"/>
      <c r="I14" s="30">
        <v>4</v>
      </c>
    </row>
    <row r="15" spans="1:9" x14ac:dyDescent="0.3">
      <c r="A15" s="28" t="s">
        <v>26</v>
      </c>
      <c r="B15" s="31">
        <v>0.2</v>
      </c>
      <c r="C15" s="30">
        <v>4</v>
      </c>
      <c r="D15" s="74"/>
      <c r="I15" s="30">
        <v>4</v>
      </c>
    </row>
    <row r="16" spans="1:9" x14ac:dyDescent="0.3">
      <c r="A16" s="28" t="s">
        <v>40</v>
      </c>
      <c r="B16" s="31">
        <v>0.2</v>
      </c>
      <c r="C16" s="30">
        <v>5</v>
      </c>
      <c r="D16" s="74"/>
      <c r="I16" s="30">
        <v>4</v>
      </c>
    </row>
    <row r="17" spans="9:9" x14ac:dyDescent="0.3">
      <c r="I17" s="30">
        <v>4</v>
      </c>
    </row>
    <row r="18" spans="9:9" x14ac:dyDescent="0.3">
      <c r="I18" s="30">
        <v>4</v>
      </c>
    </row>
    <row r="19" spans="9:9" x14ac:dyDescent="0.3">
      <c r="I19" s="30">
        <v>4</v>
      </c>
    </row>
    <row r="20" spans="9:9" x14ac:dyDescent="0.3">
      <c r="I20" s="30">
        <v>4</v>
      </c>
    </row>
    <row r="21" spans="9:9" x14ac:dyDescent="0.3">
      <c r="I21" s="30">
        <v>4</v>
      </c>
    </row>
    <row r="22" spans="9:9" x14ac:dyDescent="0.3">
      <c r="I22" s="30">
        <v>4</v>
      </c>
    </row>
    <row r="23" spans="9:9" x14ac:dyDescent="0.3">
      <c r="I23" s="30">
        <v>4</v>
      </c>
    </row>
    <row r="24" spans="9:9" x14ac:dyDescent="0.3">
      <c r="I24" s="30">
        <v>4</v>
      </c>
    </row>
    <row r="25" spans="9:9" x14ac:dyDescent="0.3">
      <c r="I25" s="30">
        <v>4</v>
      </c>
    </row>
    <row r="26" spans="9:9" x14ac:dyDescent="0.3">
      <c r="I26" s="30">
        <v>4</v>
      </c>
    </row>
    <row r="27" spans="9:9" x14ac:dyDescent="0.3">
      <c r="I27" s="30">
        <v>4</v>
      </c>
    </row>
    <row r="28" spans="9:9" x14ac:dyDescent="0.3">
      <c r="I28" s="30">
        <v>4</v>
      </c>
    </row>
    <row r="29" spans="9:9" x14ac:dyDescent="0.3">
      <c r="I29" s="30">
        <v>4</v>
      </c>
    </row>
    <row r="30" spans="9:9" x14ac:dyDescent="0.3">
      <c r="I30" s="30">
        <v>4</v>
      </c>
    </row>
    <row r="31" spans="9:9" x14ac:dyDescent="0.3">
      <c r="I31" s="30">
        <v>4</v>
      </c>
    </row>
  </sheetData>
  <mergeCells count="2">
    <mergeCell ref="D4:D8"/>
    <mergeCell ref="D12:D16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55F9-4495-445D-B031-D3E8A9BB7ED6}">
  <sheetPr codeName="Planilha10"/>
  <dimension ref="C1:F21"/>
  <sheetViews>
    <sheetView zoomScale="145" zoomScaleNormal="145" workbookViewId="0">
      <selection activeCell="C4" sqref="C4:C8"/>
    </sheetView>
  </sheetViews>
  <sheetFormatPr defaultRowHeight="13.8" x14ac:dyDescent="0.25"/>
  <cols>
    <col min="1" max="1" width="8.88671875" style="35"/>
    <col min="2" max="2" width="5.5546875" style="35" bestFit="1" customWidth="1"/>
    <col min="3" max="6" width="14" style="35" customWidth="1"/>
    <col min="7" max="16384" width="8.88671875" style="35"/>
  </cols>
  <sheetData>
    <row r="1" spans="3:6" x14ac:dyDescent="0.25">
      <c r="C1" s="75" t="s">
        <v>79</v>
      </c>
      <c r="D1" s="75"/>
      <c r="E1" s="75"/>
      <c r="F1" s="75"/>
    </row>
    <row r="2" spans="3:6" x14ac:dyDescent="0.25">
      <c r="C2" s="75" t="s">
        <v>12</v>
      </c>
      <c r="D2" s="75"/>
      <c r="E2" s="75"/>
      <c r="F2" s="75"/>
    </row>
    <row r="3" spans="3:6" x14ac:dyDescent="0.25">
      <c r="C3" s="35" t="s">
        <v>69</v>
      </c>
      <c r="D3" s="35" t="s">
        <v>70</v>
      </c>
      <c r="E3" s="35" t="s">
        <v>71</v>
      </c>
      <c r="F3" s="35" t="s">
        <v>72</v>
      </c>
    </row>
    <row r="4" spans="3:6" x14ac:dyDescent="0.25">
      <c r="C4" s="35">
        <v>1</v>
      </c>
      <c r="D4" s="35">
        <v>4</v>
      </c>
      <c r="E4" s="35">
        <v>7</v>
      </c>
      <c r="F4" s="35">
        <v>9</v>
      </c>
    </row>
    <row r="5" spans="3:6" x14ac:dyDescent="0.25">
      <c r="C5" s="35">
        <v>2</v>
      </c>
      <c r="D5" s="35">
        <v>5</v>
      </c>
      <c r="E5" s="35">
        <v>8</v>
      </c>
      <c r="F5" s="35">
        <v>10</v>
      </c>
    </row>
    <row r="6" spans="3:6" x14ac:dyDescent="0.25">
      <c r="C6" s="35">
        <v>3</v>
      </c>
      <c r="D6" s="35">
        <v>6</v>
      </c>
    </row>
    <row r="9" spans="3:6" x14ac:dyDescent="0.25">
      <c r="C9" s="75" t="s">
        <v>15</v>
      </c>
      <c r="D9" s="75"/>
      <c r="E9" s="75"/>
      <c r="F9" s="75"/>
    </row>
    <row r="10" spans="3:6" x14ac:dyDescent="0.25">
      <c r="C10" s="35" t="s">
        <v>73</v>
      </c>
      <c r="D10" s="35" t="s">
        <v>74</v>
      </c>
      <c r="E10" s="35" t="s">
        <v>75</v>
      </c>
    </row>
    <row r="11" spans="3:6" x14ac:dyDescent="0.25">
      <c r="C11" s="35">
        <v>1</v>
      </c>
      <c r="D11" s="35">
        <v>6</v>
      </c>
      <c r="E11" s="35">
        <v>10</v>
      </c>
    </row>
    <row r="12" spans="3:6" x14ac:dyDescent="0.25">
      <c r="C12" s="35">
        <v>2</v>
      </c>
      <c r="D12" s="35">
        <v>7</v>
      </c>
    </row>
    <row r="13" spans="3:6" x14ac:dyDescent="0.25">
      <c r="C13" s="35">
        <v>3</v>
      </c>
      <c r="D13" s="35">
        <v>8</v>
      </c>
    </row>
    <row r="14" spans="3:6" x14ac:dyDescent="0.25">
      <c r="C14" s="35">
        <v>4</v>
      </c>
      <c r="D14" s="35">
        <v>9</v>
      </c>
    </row>
    <row r="15" spans="3:6" x14ac:dyDescent="0.25">
      <c r="C15" s="35">
        <v>5</v>
      </c>
    </row>
    <row r="16" spans="3:6" x14ac:dyDescent="0.25">
      <c r="C16" s="75" t="s">
        <v>14</v>
      </c>
      <c r="D16" s="75"/>
      <c r="E16" s="75"/>
      <c r="F16" s="75"/>
    </row>
    <row r="17" spans="3:6" x14ac:dyDescent="0.25">
      <c r="C17" s="35" t="s">
        <v>77</v>
      </c>
      <c r="D17" s="35" t="s">
        <v>76</v>
      </c>
      <c r="E17" s="35" t="s">
        <v>78</v>
      </c>
      <c r="F17" s="35" t="s">
        <v>83</v>
      </c>
    </row>
    <row r="18" spans="3:6" x14ac:dyDescent="0.25">
      <c r="C18" s="35">
        <v>1</v>
      </c>
      <c r="D18" s="35">
        <v>5</v>
      </c>
      <c r="E18" s="35">
        <v>9</v>
      </c>
    </row>
    <row r="19" spans="3:6" x14ac:dyDescent="0.25">
      <c r="C19" s="35">
        <v>2</v>
      </c>
      <c r="D19" s="35">
        <v>6</v>
      </c>
      <c r="E19" s="35">
        <v>10</v>
      </c>
    </row>
    <row r="20" spans="3:6" x14ac:dyDescent="0.25">
      <c r="C20" s="35">
        <v>3</v>
      </c>
      <c r="D20" s="35">
        <v>7</v>
      </c>
    </row>
    <row r="21" spans="3:6" x14ac:dyDescent="0.25">
      <c r="C21" s="35">
        <v>4</v>
      </c>
      <c r="D21" s="35">
        <v>8</v>
      </c>
    </row>
  </sheetData>
  <mergeCells count="4">
    <mergeCell ref="C16:F16"/>
    <mergeCell ref="C1:F1"/>
    <mergeCell ref="C2:F2"/>
    <mergeCell ref="C9:F9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50535-A466-4D37-B8F0-12F2907C69A6}">
  <sheetPr codeName="Planilha11"/>
  <dimension ref="A1:G29"/>
  <sheetViews>
    <sheetView zoomScale="85" zoomScaleNormal="85" workbookViewId="0">
      <selection activeCell="G25" sqref="G25"/>
    </sheetView>
  </sheetViews>
  <sheetFormatPr defaultColWidth="9.109375" defaultRowHeight="14.4" x14ac:dyDescent="0.3"/>
  <cols>
    <col min="1" max="1" width="9.109375" style="7"/>
    <col min="2" max="2" width="28.44140625" style="7" customWidth="1"/>
    <col min="3" max="3" width="16.6640625" style="7" customWidth="1"/>
    <col min="4" max="4" width="37.77734375" style="7" customWidth="1"/>
    <col min="5" max="16384" width="9.109375" style="7"/>
  </cols>
  <sheetData>
    <row r="1" spans="1:7" x14ac:dyDescent="0.3">
      <c r="C1" s="1" t="s">
        <v>18</v>
      </c>
      <c r="D1" s="1" t="s">
        <v>17</v>
      </c>
    </row>
    <row r="2" spans="1:7" x14ac:dyDescent="0.3">
      <c r="A2" s="33">
        <f>COUNTIF($C$2:C2,C2)</f>
        <v>1</v>
      </c>
      <c r="B2" s="33" t="str">
        <f>CONCATENATE(C2,A2)</f>
        <v>01</v>
      </c>
      <c r="C2" s="34">
        <f>NOTAS!I2</f>
        <v>0</v>
      </c>
      <c r="D2" s="28" t="str">
        <f>NOTAS!C2</f>
        <v>LEONARDO MESQUITA</v>
      </c>
      <c r="F2" s="33">
        <f>COUNTIF(NOTAS!$R$31:'NOTAS'!R31,NOTAS!R31)</f>
        <v>1</v>
      </c>
      <c r="G2" s="33" t="str">
        <f>CONCATENATE(NOTAS!R31,F2)</f>
        <v>01</v>
      </c>
    </row>
    <row r="3" spans="1:7" x14ac:dyDescent="0.3">
      <c r="A3" s="33">
        <f>COUNTIF($C$2:C3,C3)</f>
        <v>2</v>
      </c>
      <c r="B3" s="33" t="str">
        <f t="shared" ref="B3:B29" si="0">CONCATENATE(C3,A3)</f>
        <v>02</v>
      </c>
      <c r="C3" s="34">
        <f>NOTAS!I3</f>
        <v>0</v>
      </c>
      <c r="D3" s="28" t="str">
        <f>NOTAS!C3</f>
        <v>CAIO CITÓ</v>
      </c>
      <c r="F3" s="33">
        <f>COUNTIF(NOTAS!$R$31:'NOTAS'!R32,NOTAS!R32)</f>
        <v>2</v>
      </c>
      <c r="G3" s="33" t="str">
        <f>CONCATENATE(NOTAS!R32,F3)</f>
        <v>02</v>
      </c>
    </row>
    <row r="4" spans="1:7" x14ac:dyDescent="0.3">
      <c r="A4" s="33">
        <f>COUNTIF($C$2:C4,C4)</f>
        <v>3</v>
      </c>
      <c r="B4" s="33" t="str">
        <f t="shared" si="0"/>
        <v>03</v>
      </c>
      <c r="C4" s="34">
        <f>NOTAS!I4</f>
        <v>0</v>
      </c>
      <c r="D4" s="28" t="str">
        <f>NOTAS!C4</f>
        <v>ARTHUR CITÓ</v>
      </c>
      <c r="F4" s="33">
        <f>COUNTIF(NOTAS!$R$31:'NOTAS'!R33,NOTAS!R33)</f>
        <v>3</v>
      </c>
      <c r="G4" s="33" t="str">
        <f>CONCATENATE(NOTAS!R33,F4)</f>
        <v>03</v>
      </c>
    </row>
    <row r="5" spans="1:7" x14ac:dyDescent="0.3">
      <c r="A5" s="33">
        <f>COUNTIF($C$2:C5,C5)</f>
        <v>1</v>
      </c>
      <c r="B5" s="33" t="str">
        <f t="shared" si="0"/>
        <v>1</v>
      </c>
      <c r="C5" s="34" t="str">
        <f>NOTAS!I5</f>
        <v/>
      </c>
      <c r="D5" s="28" t="str">
        <f>NOTAS!C5</f>
        <v/>
      </c>
      <c r="F5" s="33">
        <f>COUNTIF(NOTAS!$R$31:'NOTAS'!R34,NOTAS!R34)</f>
        <v>1</v>
      </c>
      <c r="G5" s="33" t="e">
        <f>CONCATENATE(NOTAS!R34,F5)</f>
        <v>#NUM!</v>
      </c>
    </row>
    <row r="6" spans="1:7" x14ac:dyDescent="0.3">
      <c r="A6" s="33">
        <f>COUNTIF($C$2:C6,C6)</f>
        <v>2</v>
      </c>
      <c r="B6" s="33" t="str">
        <f t="shared" si="0"/>
        <v>2</v>
      </c>
      <c r="C6" s="34" t="str">
        <f>NOTAS!I6</f>
        <v/>
      </c>
      <c r="D6" s="28" t="str">
        <f>NOTAS!C6</f>
        <v/>
      </c>
      <c r="F6" s="33">
        <f>COUNTIF(NOTAS!$R$31:'NOTAS'!R35,NOTAS!R35)</f>
        <v>2</v>
      </c>
      <c r="G6" s="33" t="e">
        <f>CONCATENATE(NOTAS!R35,F6)</f>
        <v>#NUM!</v>
      </c>
    </row>
    <row r="7" spans="1:7" x14ac:dyDescent="0.3">
      <c r="A7" s="33">
        <f>COUNTIF($C$2:C7,C7)</f>
        <v>3</v>
      </c>
      <c r="B7" s="33" t="str">
        <f t="shared" si="0"/>
        <v>3</v>
      </c>
      <c r="C7" s="34" t="str">
        <f>NOTAS!I7</f>
        <v/>
      </c>
      <c r="D7" s="28" t="str">
        <f>NOTAS!C7</f>
        <v/>
      </c>
      <c r="F7" s="33">
        <f>COUNTIF(NOTAS!$R$31:'NOTAS'!R36,NOTAS!R36)</f>
        <v>3</v>
      </c>
      <c r="G7" s="33" t="e">
        <f>CONCATENATE(NOTAS!R36,F7)</f>
        <v>#NUM!</v>
      </c>
    </row>
    <row r="8" spans="1:7" x14ac:dyDescent="0.3">
      <c r="A8" s="33">
        <f>COUNTIF($C$2:C8,C8)</f>
        <v>4</v>
      </c>
      <c r="B8" s="33" t="str">
        <f t="shared" si="0"/>
        <v>4</v>
      </c>
      <c r="C8" s="34" t="str">
        <f>NOTAS!I8</f>
        <v/>
      </c>
      <c r="D8" s="28" t="str">
        <f>NOTAS!C8</f>
        <v/>
      </c>
      <c r="F8" s="33">
        <f>COUNTIF(NOTAS!$R$31:'NOTAS'!R37,NOTAS!R37)</f>
        <v>4</v>
      </c>
      <c r="G8" s="33" t="e">
        <f>CONCATENATE(NOTAS!R37,F8)</f>
        <v>#NUM!</v>
      </c>
    </row>
    <row r="9" spans="1:7" x14ac:dyDescent="0.3">
      <c r="A9" s="33">
        <f>COUNTIF($C$2:C9,C9)</f>
        <v>5</v>
      </c>
      <c r="B9" s="33" t="str">
        <f t="shared" si="0"/>
        <v>5</v>
      </c>
      <c r="C9" s="34" t="str">
        <f>NOTAS!I9</f>
        <v/>
      </c>
      <c r="D9" s="28" t="str">
        <f>NOTAS!C9</f>
        <v/>
      </c>
      <c r="F9" s="33">
        <f>COUNTIF(NOTAS!$R$31:'NOTAS'!R38,NOTAS!R38)</f>
        <v>5</v>
      </c>
      <c r="G9" s="33" t="e">
        <f>CONCATENATE(NOTAS!R38,F9)</f>
        <v>#NUM!</v>
      </c>
    </row>
    <row r="10" spans="1:7" x14ac:dyDescent="0.3">
      <c r="A10" s="33">
        <f>COUNTIF($C$2:C10,C10)</f>
        <v>6</v>
      </c>
      <c r="B10" s="33" t="str">
        <f t="shared" si="0"/>
        <v>6</v>
      </c>
      <c r="C10" s="34" t="str">
        <f>NOTAS!I10</f>
        <v/>
      </c>
      <c r="D10" s="28" t="str">
        <f>NOTAS!C10</f>
        <v/>
      </c>
      <c r="F10" s="33">
        <f>COUNTIF(NOTAS!$R$31:'NOTAS'!R39,NOTAS!R39)</f>
        <v>6</v>
      </c>
      <c r="G10" s="33" t="e">
        <f>CONCATENATE(NOTAS!R39,F10)</f>
        <v>#NUM!</v>
      </c>
    </row>
    <row r="11" spans="1:7" x14ac:dyDescent="0.3">
      <c r="A11" s="33">
        <f>COUNTIF($C$2:C11,C11)</f>
        <v>7</v>
      </c>
      <c r="B11" s="33" t="str">
        <f t="shared" si="0"/>
        <v>7</v>
      </c>
      <c r="C11" s="34" t="str">
        <f>NOTAS!I11</f>
        <v/>
      </c>
      <c r="D11" s="28" t="str">
        <f>NOTAS!C11</f>
        <v/>
      </c>
      <c r="F11" s="33">
        <f>COUNTIF(NOTAS!$R$31:'NOTAS'!R40,NOTAS!R40)</f>
        <v>7</v>
      </c>
      <c r="G11" s="33" t="e">
        <f>CONCATENATE(NOTAS!R40,F11)</f>
        <v>#NUM!</v>
      </c>
    </row>
    <row r="12" spans="1:7" x14ac:dyDescent="0.3">
      <c r="A12" s="33">
        <f>COUNTIF($C$2:C12,C12)</f>
        <v>8</v>
      </c>
      <c r="B12" s="33" t="str">
        <f t="shared" si="0"/>
        <v>8</v>
      </c>
      <c r="C12" s="34" t="str">
        <f>NOTAS!I12</f>
        <v/>
      </c>
      <c r="D12" s="28" t="str">
        <f>NOTAS!C12</f>
        <v/>
      </c>
      <c r="F12" s="33">
        <f>COUNTIF(NOTAS!$R$31:'NOTAS'!R41,NOTAS!R41)</f>
        <v>8</v>
      </c>
      <c r="G12" s="33" t="e">
        <f>CONCATENATE(NOTAS!R41,F12)</f>
        <v>#NUM!</v>
      </c>
    </row>
    <row r="13" spans="1:7" x14ac:dyDescent="0.3">
      <c r="A13" s="33">
        <f>COUNTIF($C$2:C13,C13)</f>
        <v>9</v>
      </c>
      <c r="B13" s="33" t="str">
        <f t="shared" si="0"/>
        <v>9</v>
      </c>
      <c r="C13" s="34" t="str">
        <f>NOTAS!I13</f>
        <v/>
      </c>
      <c r="D13" s="28" t="str">
        <f>NOTAS!C13</f>
        <v/>
      </c>
      <c r="F13" s="33">
        <f>COUNTIF(NOTAS!$R$31:'NOTAS'!R42,NOTAS!R42)</f>
        <v>9</v>
      </c>
      <c r="G13" s="33" t="e">
        <f>CONCATENATE(NOTAS!R42,F13)</f>
        <v>#NUM!</v>
      </c>
    </row>
    <row r="14" spans="1:7" x14ac:dyDescent="0.3">
      <c r="A14" s="33">
        <f>COUNTIF($C$2:C14,C14)</f>
        <v>10</v>
      </c>
      <c r="B14" s="33" t="str">
        <f t="shared" si="0"/>
        <v>10</v>
      </c>
      <c r="C14" s="34" t="str">
        <f>NOTAS!I14</f>
        <v/>
      </c>
      <c r="D14" s="28" t="str">
        <f>NOTAS!C14</f>
        <v/>
      </c>
      <c r="F14" s="33">
        <f>COUNTIF(NOTAS!$R$31:'NOTAS'!R43,NOTAS!R43)</f>
        <v>10</v>
      </c>
      <c r="G14" s="33" t="e">
        <f>CONCATENATE(NOTAS!R43,F14)</f>
        <v>#NUM!</v>
      </c>
    </row>
    <row r="15" spans="1:7" x14ac:dyDescent="0.3">
      <c r="A15" s="33">
        <f>COUNTIF($C$2:C15,C15)</f>
        <v>11</v>
      </c>
      <c r="B15" s="33" t="str">
        <f t="shared" si="0"/>
        <v>11</v>
      </c>
      <c r="C15" s="34" t="str">
        <f>NOTAS!I15</f>
        <v/>
      </c>
      <c r="D15" s="28" t="str">
        <f>NOTAS!C15</f>
        <v/>
      </c>
      <c r="F15" s="33">
        <f>COUNTIF(NOTAS!$R$31:'NOTAS'!R44,NOTAS!R44)</f>
        <v>11</v>
      </c>
      <c r="G15" s="33" t="e">
        <f>CONCATENATE(NOTAS!R44,F15)</f>
        <v>#NUM!</v>
      </c>
    </row>
    <row r="16" spans="1:7" x14ac:dyDescent="0.3">
      <c r="A16" s="33">
        <f>COUNTIF($C$2:C16,C16)</f>
        <v>12</v>
      </c>
      <c r="B16" s="33" t="str">
        <f t="shared" si="0"/>
        <v>12</v>
      </c>
      <c r="C16" s="34" t="str">
        <f>NOTAS!I16</f>
        <v/>
      </c>
      <c r="D16" s="28" t="str">
        <f>NOTAS!C16</f>
        <v/>
      </c>
      <c r="F16" s="33">
        <f>COUNTIF(NOTAS!$R$31:'NOTAS'!R45,NOTAS!R45)</f>
        <v>12</v>
      </c>
      <c r="G16" s="33" t="e">
        <f>CONCATENATE(NOTAS!R45,F16)</f>
        <v>#NUM!</v>
      </c>
    </row>
    <row r="17" spans="1:7" x14ac:dyDescent="0.3">
      <c r="A17" s="33">
        <f>COUNTIF($C$2:C17,C17)</f>
        <v>13</v>
      </c>
      <c r="B17" s="33" t="str">
        <f t="shared" si="0"/>
        <v>13</v>
      </c>
      <c r="C17" s="34" t="str">
        <f>NOTAS!I17</f>
        <v/>
      </c>
      <c r="D17" s="28" t="str">
        <f>NOTAS!C17</f>
        <v/>
      </c>
      <c r="F17" s="33">
        <f>COUNTIF(NOTAS!$R$31:'NOTAS'!R46,NOTAS!R46)</f>
        <v>13</v>
      </c>
      <c r="G17" s="33" t="e">
        <f>CONCATENATE(NOTAS!R46,F17)</f>
        <v>#NUM!</v>
      </c>
    </row>
    <row r="18" spans="1:7" x14ac:dyDescent="0.3">
      <c r="A18" s="33">
        <f>COUNTIF($C$2:C18,C18)</f>
        <v>14</v>
      </c>
      <c r="B18" s="33" t="str">
        <f t="shared" si="0"/>
        <v>14</v>
      </c>
      <c r="C18" s="34" t="str">
        <f>NOTAS!I18</f>
        <v/>
      </c>
      <c r="D18" s="28" t="str">
        <f>NOTAS!C18</f>
        <v/>
      </c>
      <c r="F18" s="33">
        <f>COUNTIF(NOTAS!$R$31:'NOTAS'!R47,NOTAS!R47)</f>
        <v>14</v>
      </c>
      <c r="G18" s="33" t="e">
        <f>CONCATENATE(NOTAS!R47,F18)</f>
        <v>#NUM!</v>
      </c>
    </row>
    <row r="19" spans="1:7" x14ac:dyDescent="0.3">
      <c r="A19" s="33">
        <f>COUNTIF($C$2:C19,C19)</f>
        <v>15</v>
      </c>
      <c r="B19" s="33" t="str">
        <f t="shared" si="0"/>
        <v>15</v>
      </c>
      <c r="C19" s="34" t="str">
        <f>NOTAS!I19</f>
        <v/>
      </c>
      <c r="D19" s="28" t="str">
        <f>NOTAS!C19</f>
        <v/>
      </c>
      <c r="F19" s="33">
        <f>COUNTIF(NOTAS!$R$31:'NOTAS'!R48,NOTAS!R48)</f>
        <v>15</v>
      </c>
      <c r="G19" s="33" t="e">
        <f>CONCATENATE(NOTAS!R48,F19)</f>
        <v>#NUM!</v>
      </c>
    </row>
    <row r="20" spans="1:7" x14ac:dyDescent="0.3">
      <c r="A20" s="33">
        <f>COUNTIF($C$2:C20,C20)</f>
        <v>16</v>
      </c>
      <c r="B20" s="33" t="str">
        <f t="shared" si="0"/>
        <v>16</v>
      </c>
      <c r="C20" s="34" t="str">
        <f>NOTAS!I20</f>
        <v/>
      </c>
      <c r="D20" s="28" t="str">
        <f>NOTAS!C20</f>
        <v/>
      </c>
      <c r="F20" s="33">
        <f>COUNTIF(NOTAS!$R$31:'NOTAS'!R49,NOTAS!R49)</f>
        <v>16</v>
      </c>
      <c r="G20" s="33" t="e">
        <f>CONCATENATE(NOTAS!R49,F20)</f>
        <v>#NUM!</v>
      </c>
    </row>
    <row r="21" spans="1:7" x14ac:dyDescent="0.3">
      <c r="A21" s="33">
        <f>COUNTIF($C$2:C21,C21)</f>
        <v>17</v>
      </c>
      <c r="B21" s="33" t="str">
        <f t="shared" si="0"/>
        <v>17</v>
      </c>
      <c r="C21" s="34" t="str">
        <f>NOTAS!I21</f>
        <v/>
      </c>
      <c r="D21" s="28" t="str">
        <f>NOTAS!C21</f>
        <v/>
      </c>
      <c r="F21" s="33">
        <f>COUNTIF(NOTAS!$R$31:'NOTAS'!R50,NOTAS!R50)</f>
        <v>17</v>
      </c>
      <c r="G21" s="33" t="e">
        <f>CONCATENATE(NOTAS!R50,F21)</f>
        <v>#NUM!</v>
      </c>
    </row>
    <row r="22" spans="1:7" x14ac:dyDescent="0.3">
      <c r="A22" s="33">
        <f>COUNTIF($C$2:C22,C22)</f>
        <v>18</v>
      </c>
      <c r="B22" s="33" t="str">
        <f t="shared" si="0"/>
        <v>18</v>
      </c>
      <c r="C22" s="34" t="str">
        <f>NOTAS!I22</f>
        <v/>
      </c>
      <c r="D22" s="28" t="str">
        <f>NOTAS!C22</f>
        <v/>
      </c>
      <c r="F22" s="33">
        <f>COUNTIF(NOTAS!$R$31:'NOTAS'!R51,NOTAS!R51)</f>
        <v>18</v>
      </c>
      <c r="G22" s="33" t="e">
        <f>CONCATENATE(NOTAS!R51,F22)</f>
        <v>#NUM!</v>
      </c>
    </row>
    <row r="23" spans="1:7" x14ac:dyDescent="0.3">
      <c r="A23" s="33">
        <f>COUNTIF($C$2:C23,C23)</f>
        <v>19</v>
      </c>
      <c r="B23" s="33" t="str">
        <f t="shared" si="0"/>
        <v>19</v>
      </c>
      <c r="C23" s="34" t="str">
        <f>NOTAS!I23</f>
        <v/>
      </c>
      <c r="D23" s="28" t="str">
        <f>NOTAS!C23</f>
        <v/>
      </c>
      <c r="F23" s="33">
        <f>COUNTIF(NOTAS!$R$31:'NOTAS'!R52,NOTAS!R52)</f>
        <v>19</v>
      </c>
      <c r="G23" s="33" t="e">
        <f>CONCATENATE(NOTAS!R52,F23)</f>
        <v>#NUM!</v>
      </c>
    </row>
    <row r="24" spans="1:7" x14ac:dyDescent="0.3">
      <c r="A24" s="33">
        <f>COUNTIF($C$2:C24,C24)</f>
        <v>20</v>
      </c>
      <c r="B24" s="33" t="str">
        <f t="shared" si="0"/>
        <v>20</v>
      </c>
      <c r="C24" s="34" t="str">
        <f>NOTAS!I24</f>
        <v/>
      </c>
      <c r="D24" s="28" t="str">
        <f>NOTAS!C24</f>
        <v/>
      </c>
      <c r="F24" s="33">
        <f>COUNTIF(NOTAS!$R$31:'NOTAS'!R53,NOTAS!R53)</f>
        <v>20</v>
      </c>
      <c r="G24" s="33" t="e">
        <f>CONCATENATE(NOTAS!R53,F24)</f>
        <v>#NUM!</v>
      </c>
    </row>
    <row r="25" spans="1:7" x14ac:dyDescent="0.3">
      <c r="A25" s="33">
        <f>COUNTIF($C$2:C25,C25)</f>
        <v>21</v>
      </c>
      <c r="B25" s="33" t="str">
        <f t="shared" si="0"/>
        <v>21</v>
      </c>
      <c r="C25" s="34" t="str">
        <f>NOTAS!I25</f>
        <v/>
      </c>
      <c r="D25" s="28" t="str">
        <f>NOTAS!C25</f>
        <v/>
      </c>
      <c r="F25" s="33">
        <f>COUNTIF(NOTAS!$R$31:'NOTAS'!R54,NOTAS!R54)</f>
        <v>21</v>
      </c>
      <c r="G25" s="33" t="e">
        <f>CONCATENATE(NOTAS!R54,F25)</f>
        <v>#NUM!</v>
      </c>
    </row>
    <row r="26" spans="1:7" x14ac:dyDescent="0.3">
      <c r="A26" s="33">
        <f>COUNTIF($C$2:C26,C26)</f>
        <v>22</v>
      </c>
      <c r="B26" s="33" t="str">
        <f t="shared" si="0"/>
        <v>22</v>
      </c>
      <c r="C26" s="34" t="str">
        <f>NOTAS!I26</f>
        <v/>
      </c>
      <c r="D26" s="28" t="str">
        <f>NOTAS!C26</f>
        <v/>
      </c>
      <c r="F26" s="33">
        <f>COUNTIF(NOTAS!$R$31:'NOTAS'!R55,NOTAS!R55)</f>
        <v>22</v>
      </c>
      <c r="G26" s="33" t="e">
        <f>CONCATENATE(NOTAS!R55,F26)</f>
        <v>#NUM!</v>
      </c>
    </row>
    <row r="27" spans="1:7" x14ac:dyDescent="0.3">
      <c r="A27" s="33">
        <f>COUNTIF($C$2:C27,C27)</f>
        <v>23</v>
      </c>
      <c r="B27" s="33" t="str">
        <f t="shared" si="0"/>
        <v>23</v>
      </c>
      <c r="C27" s="34" t="str">
        <f>NOTAS!I27</f>
        <v/>
      </c>
      <c r="D27" s="28" t="str">
        <f>NOTAS!C27</f>
        <v/>
      </c>
      <c r="F27" s="33">
        <f>COUNTIF(NOTAS!$R$31:'NOTAS'!R56,NOTAS!R56)</f>
        <v>23</v>
      </c>
      <c r="G27" s="33" t="e">
        <f>CONCATENATE(NOTAS!R56,F27)</f>
        <v>#NUM!</v>
      </c>
    </row>
    <row r="28" spans="1:7" x14ac:dyDescent="0.3">
      <c r="A28" s="33">
        <f>COUNTIF($C$2:C28,C28)</f>
        <v>24</v>
      </c>
      <c r="B28" s="33" t="str">
        <f t="shared" si="0"/>
        <v>24</v>
      </c>
      <c r="C28" s="34" t="str">
        <f>NOTAS!I28</f>
        <v/>
      </c>
      <c r="D28" s="28" t="str">
        <f>NOTAS!C28</f>
        <v/>
      </c>
      <c r="F28" s="33">
        <f>COUNTIF(NOTAS!$R$31:'NOTAS'!R57,NOTAS!R57)</f>
        <v>24</v>
      </c>
      <c r="G28" s="33" t="e">
        <f>CONCATENATE(NOTAS!R57,F28)</f>
        <v>#NUM!</v>
      </c>
    </row>
    <row r="29" spans="1:7" x14ac:dyDescent="0.3">
      <c r="A29" s="33">
        <f>COUNTIF($C$2:C29,C29)</f>
        <v>25</v>
      </c>
      <c r="B29" s="33" t="str">
        <f t="shared" si="0"/>
        <v>25</v>
      </c>
      <c r="C29" s="34" t="str">
        <f>NOTAS!I29</f>
        <v/>
      </c>
      <c r="D29" s="28" t="str">
        <f>NOTAS!C29</f>
        <v/>
      </c>
      <c r="F29" s="33">
        <f>COUNTIF(NOTAS!$R$31:'NOTAS'!R58,NOTAS!R58)</f>
        <v>25</v>
      </c>
      <c r="G29" s="33" t="e">
        <f>CONCATENATE(NOTAS!R58,F29)</f>
        <v>#NUM!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21</vt:i4>
      </vt:variant>
    </vt:vector>
  </HeadingPairs>
  <TitlesOfParts>
    <vt:vector size="32" baseType="lpstr">
      <vt:lpstr>NOTAS</vt:lpstr>
      <vt:lpstr>PROVÃO ITA</vt:lpstr>
      <vt:lpstr>ITA - MAT</vt:lpstr>
      <vt:lpstr>ITA - QUI</vt:lpstr>
      <vt:lpstr>ITA - FIS</vt:lpstr>
      <vt:lpstr>ITA - RED</vt:lpstr>
      <vt:lpstr>RES. INDIVIDUAL</vt:lpstr>
      <vt:lpstr>ALUNOS</vt:lpstr>
      <vt:lpstr>CORTES</vt:lpstr>
      <vt:lpstr>BANCO DE DADOS</vt:lpstr>
      <vt:lpstr>RANKING</vt:lpstr>
      <vt:lpstr>ListaDeAlunos</vt:lpstr>
      <vt:lpstr>ListaDeProfFIS</vt:lpstr>
      <vt:lpstr>ListaDeProfMAT</vt:lpstr>
      <vt:lpstr>ListaDeProfQUI</vt:lpstr>
      <vt:lpstr>NotaIndividualPorAlunoFIS</vt:lpstr>
      <vt:lpstr>NotaIndividualPorAlunoMAT</vt:lpstr>
      <vt:lpstr>NotaIndividualPorAlunoPROVAO</vt:lpstr>
      <vt:lpstr>NotaIndividualPorAlunoQUI</vt:lpstr>
      <vt:lpstr>NotaIndividualPorAlunoRED</vt:lpstr>
      <vt:lpstr>QuestõesFISProf1</vt:lpstr>
      <vt:lpstr>QuestõesFISProf2</vt:lpstr>
      <vt:lpstr>QuestõesFISProf3</vt:lpstr>
      <vt:lpstr>QuestõesFISProf4</vt:lpstr>
      <vt:lpstr>QuestõesMATProf1</vt:lpstr>
      <vt:lpstr>QuestõesMATProf2</vt:lpstr>
      <vt:lpstr>QuestõesMATProf3</vt:lpstr>
      <vt:lpstr>QuestõesMATProf4</vt:lpstr>
      <vt:lpstr>QuestõesQUIProf1</vt:lpstr>
      <vt:lpstr>QuestõesQUIProf2</vt:lpstr>
      <vt:lpstr>QuestõesQUIProf3</vt:lpstr>
      <vt:lpstr>QuestõesQUIProf4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Pinheiro</dc:creator>
  <cp:lastModifiedBy>Citó</cp:lastModifiedBy>
  <dcterms:created xsi:type="dcterms:W3CDTF">2015-06-05T18:19:34Z</dcterms:created>
  <dcterms:modified xsi:type="dcterms:W3CDTF">2022-01-30T00:52:29Z</dcterms:modified>
</cp:coreProperties>
</file>